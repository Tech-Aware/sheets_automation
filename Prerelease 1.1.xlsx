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stockvaleurs" sheetId="1" r:id="rId4"/>
    <sheet state="visible" name="Achats" sheetId="2" r:id="rId5"/>
    <sheet state="visible" name="Stock" sheetId="3" r:id="rId6"/>
    <sheet state="visible" name="Ventes" sheetId="4" r:id="rId7"/>
    <sheet state="visible" name="Compta 09-2025" sheetId="5" r:id="rId8"/>
    <sheet state="visible" name="Compta 10-2025" sheetId="6" r:id="rId9"/>
    <sheet state="visible" name="Compta 11-2025" sheetId="7" r:id="rId10"/>
    <sheet state="visible" name="Frais" sheetId="8" r:id="rId11"/>
  </sheets>
  <definedNames>
    <definedName name="MARQUES">Achats!$C$4:$C$18</definedName>
    <definedName name="GENRE">Achats!$E$4:$E$18</definedName>
    <definedName name="ARTICLES">Achats!$B$4:$B$18</definedName>
    <definedName name="DATE_ACHAT">Achats!$F$4:$F$18</definedName>
    <definedName name="SKU">Achats!$G$4:$G$18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SKU:sm-1</t>
      </text>
    </comment>
    <comment authorId="0" ref="A4">
      <text>
        <t xml:space="preserve">SKU:vphb-1</t>
      </text>
    </comment>
    <comment authorId="0" ref="A5">
      <text>
        <t xml:space="preserve">SKU:sm-2</t>
      </text>
    </comment>
    <comment authorId="0" ref="A6">
      <text>
        <t xml:space="preserve">SKU:sm-3</t>
      </text>
    </comment>
    <comment authorId="0" ref="A7">
      <text>
        <t xml:space="preserve">SKU:vwn-1</t>
      </text>
    </comment>
    <comment authorId="0" ref="A8">
      <text>
        <t xml:space="preserve">SKU:vwn-2</t>
      </text>
    </comment>
    <comment authorId="0" ref="A9">
      <text>
        <t xml:space="preserve">SKU:vwn-3</t>
      </text>
    </comment>
    <comment authorId="0" ref="A10">
      <text>
        <t xml:space="preserve">SKU:vwn-4</t>
      </text>
    </comment>
    <comment authorId="0" ref="A11">
      <text>
        <t xml:space="preserve">SKU:sm-4</t>
      </text>
    </comment>
    <comment authorId="0" ref="A12">
      <text>
        <t xml:space="preserve">SKU:vwn-5</t>
      </text>
    </comment>
    <comment authorId="0" ref="A13">
      <text>
        <t xml:space="preserve">SKU:vwn-6</t>
      </text>
    </comment>
    <comment authorId="0" ref="A14">
      <text>
        <t xml:space="preserve">SKU:vwn-7</t>
      </text>
    </comment>
    <comment authorId="0" ref="A15">
      <text>
        <t xml:space="preserve">SKU:sm-5</t>
      </text>
    </comment>
    <comment authorId="0" ref="A16">
      <text>
        <t xml:space="preserve">SKU:jlfk-24</t>
      </text>
    </comment>
    <comment authorId="0" ref="A20">
      <text>
        <t xml:space="preserve">SKU:jlfk-23</t>
      </text>
    </comment>
    <comment authorId="0" ref="A21">
      <text>
        <t xml:space="preserve">SKU:jlfk-28</t>
      </text>
    </comment>
    <comment authorId="0" ref="A22">
      <text>
        <t xml:space="preserve">SKU:jlfk-29</t>
      </text>
    </comment>
    <comment authorId="0" ref="A23">
      <text>
        <t xml:space="preserve">SKU:jlfk-25</t>
      </text>
    </comment>
    <comment authorId="0" ref="A24">
      <text>
        <t xml:space="preserve">SKU:jlfk-41</t>
      </text>
    </comment>
    <comment authorId="0" ref="A25">
      <text>
        <t xml:space="preserve">SKU:jlfk-42</t>
      </text>
    </comment>
    <comment authorId="0" ref="A26">
      <text>
        <t xml:space="preserve">SKU:vphb-2</t>
      </text>
    </comment>
    <comment authorId="0" ref="A27">
      <text>
        <t xml:space="preserve">SKU:jlfk-47</t>
      </text>
    </comment>
    <comment authorId="0" ref="A28">
      <text>
        <t xml:space="preserve">SKU:jlfk-59</t>
      </text>
    </comment>
    <comment authorId="0" ref="A29">
      <text>
        <t xml:space="preserve">SKU:jlfk-67</t>
      </text>
    </comment>
    <comment authorId="0" ref="A30">
      <text>
        <t xml:space="preserve">SKU:jlfk-68</t>
      </text>
    </comment>
    <comment authorId="0" ref="A31">
      <text>
        <t xml:space="preserve">SKU:sm-6</t>
      </text>
    </comment>
    <comment authorId="0" ref="A32">
      <text>
        <t xml:space="preserve">SKU:jlfk-26</t>
      </text>
    </comment>
    <comment authorId="0" ref="A33">
      <text>
        <t xml:space="preserve">SKU:jlfk-54</t>
      </text>
    </comment>
    <comment authorId="0" ref="A34">
      <text>
        <t xml:space="preserve">SKU:jlfk-57</t>
      </text>
    </comment>
    <comment authorId="0" ref="A35">
      <text>
        <t xml:space="preserve">SKU:jlfk-71</t>
      </text>
    </comment>
    <comment authorId="0" ref="A39">
      <text>
        <t xml:space="preserve">SKU:sm-7</t>
      </text>
    </comment>
    <comment authorId="0" ref="A40">
      <text>
        <t xml:space="preserve">SKU:sm-8</t>
      </text>
    </comment>
    <comment authorId="0" ref="A41">
      <text>
        <t xml:space="preserve">SKU:jlfk-34</t>
      </text>
    </comment>
    <comment authorId="0" ref="A42">
      <text>
        <t xml:space="preserve">SKU:jlfk-52</t>
      </text>
    </comment>
    <comment authorId="0" ref="A43">
      <text>
        <t xml:space="preserve">SKU:jlfk-53</t>
      </text>
    </comment>
    <comment authorId="0" ref="A44">
      <text>
        <t xml:space="preserve">SKU:jlfk-62</t>
      </text>
    </comment>
    <comment authorId="0" ref="A45">
      <text>
        <t xml:space="preserve">SKU:jlfk-78</t>
      </text>
    </comment>
    <comment authorId="0" ref="A46">
      <text>
        <t xml:space="preserve">SKU:vth-1</t>
      </text>
    </comment>
    <comment authorId="0" ref="A47">
      <text>
        <t xml:space="preserve">SKU:vth-2</t>
      </text>
    </comment>
    <comment authorId="0" ref="A48">
      <text>
        <t xml:space="preserve">SKU:jlfk-64</t>
      </text>
    </comment>
    <comment authorId="0" ref="A49">
      <text>
        <t xml:space="preserve">SKU:vth-3</t>
      </text>
    </comment>
    <comment authorId="0" ref="A53">
      <text>
        <t xml:space="preserve">SKU:vth-4</t>
      </text>
    </comment>
    <comment authorId="0" ref="A54">
      <text>
        <t xml:space="preserve">SKU:vth-5</t>
      </text>
    </comment>
    <comment authorId="0" ref="A55">
      <text>
        <t xml:space="preserve">SKU:vtf-1</t>
      </text>
    </comment>
    <comment authorId="0" ref="A56">
      <text>
        <t xml:space="preserve">SKU:jlfk-45</t>
      </text>
    </comment>
    <comment authorId="0" ref="A57">
      <text>
        <t xml:space="preserve">SKU:jlfk-73</t>
      </text>
    </comment>
    <comment authorId="0" ref="A58">
      <text>
        <t xml:space="preserve">SKU:jlfk-76</t>
      </text>
    </comment>
    <comment authorId="0" ref="A59">
      <text>
        <t xml:space="preserve">SKU:vtf-2</t>
      </text>
    </comment>
    <comment authorId="0" ref="A60">
      <text>
        <t xml:space="preserve">SKU:sm-9</t>
      </text>
    </comment>
    <comment authorId="0" ref="A61">
      <text>
        <t xml:space="preserve">SKU:vtf-3</t>
      </text>
    </comment>
    <comment authorId="0" ref="A62">
      <text>
        <t xml:space="preserve">SKU:vtf-4</t>
      </text>
    </comment>
    <comment authorId="0" ref="A63">
      <text>
        <t xml:space="preserve">SKU:jlfk-75</t>
      </text>
    </comment>
    <comment authorId="0" ref="A64">
      <text>
        <t xml:space="preserve">SKU:jmb-82</t>
      </text>
    </comment>
    <comment authorId="0" ref="A65">
      <text>
        <t xml:space="preserve">SKU:jmb-83</t>
      </text>
    </comment>
    <comment authorId="0" ref="A66">
      <text>
        <t xml:space="preserve">SKU:jlfk-63</t>
      </text>
    </comment>
    <comment authorId="0" ref="A67">
      <text>
        <t xml:space="preserve">SKU:sm-10</t>
      </text>
    </comment>
    <comment authorId="0" ref="A68">
      <text>
        <t xml:space="preserve">SKU:jlfk-36</t>
      </text>
    </comment>
    <comment authorId="0" ref="A69">
      <text>
        <t xml:space="preserve">SKU:jlfk-48</t>
      </text>
    </comment>
    <comment authorId="0" ref="A70">
      <text>
        <t xml:space="preserve">SKU:jmb-88</t>
      </text>
    </comment>
    <comment authorId="0" ref="A71">
      <text>
        <t xml:space="preserve">SKU:jmb-89</t>
      </text>
    </comment>
    <comment authorId="0" ref="A72">
      <text>
        <t xml:space="preserve">SKU:jmb-96</t>
      </text>
    </comment>
    <comment authorId="0" ref="A73">
      <text>
        <t xml:space="preserve">SKU:jmb-97</t>
      </text>
    </comment>
    <comment authorId="0" ref="A74">
      <text>
        <t xml:space="preserve">SKU:jmb-103</t>
      </text>
    </comment>
    <comment authorId="0" ref="A75">
      <text>
        <t xml:space="preserve">SKU:vth-6</t>
      </text>
    </comment>
    <comment authorId="0" ref="A76">
      <text>
        <t xml:space="preserve">SKU:vtf-5</t>
      </text>
    </comment>
    <comment authorId="0" ref="A77">
      <text>
        <t xml:space="preserve">SKU:jlfk-22</t>
      </text>
    </comment>
    <comment authorId="0" ref="A78">
      <text>
        <t xml:space="preserve">SKU:jlfk-38</t>
      </text>
    </comment>
    <comment authorId="0" ref="A79">
      <text>
        <t xml:space="preserve">SKU:jlfk-39</t>
      </text>
    </comment>
    <comment authorId="0" ref="A80">
      <text>
        <t xml:space="preserve">SKU:jlfk-50</t>
      </text>
    </comment>
    <comment authorId="0" ref="A81">
      <text>
        <t xml:space="preserve">SKU:jlfk-58</t>
      </text>
    </comment>
    <comment authorId="0" ref="A82">
      <text>
        <t xml:space="preserve">SKU:jmb-104</t>
      </text>
    </comment>
    <comment authorId="0" ref="A83">
      <text>
        <t xml:space="preserve">SKU:jmb-108</t>
      </text>
    </comment>
    <comment authorId="0" ref="A84">
      <text>
        <t xml:space="preserve">SKU:jmb-85</t>
      </text>
    </comment>
    <comment authorId="0" ref="A85">
      <text>
        <t xml:space="preserve">SKU:jmb-115</t>
      </text>
    </comment>
    <comment authorId="0" ref="A89">
      <text>
        <t xml:space="preserve">SKU:jlfk-61</t>
      </text>
    </comment>
    <comment authorId="0" ref="A90">
      <text>
        <t xml:space="preserve">SKU:jlfk-80</t>
      </text>
    </comment>
    <comment authorId="0" ref="A91">
      <text>
        <t xml:space="preserve">SKU:jmb-95</t>
      </text>
    </comment>
    <comment authorId="0" ref="A92">
      <text>
        <t xml:space="preserve">SKU:jmb-100</t>
      </text>
    </comment>
    <comment authorId="0" ref="A93">
      <text>
        <t xml:space="preserve">SKU:jmb-102</t>
      </text>
    </comment>
    <comment authorId="0" ref="A94">
      <text>
        <t xml:space="preserve">SKU:jmb-109</t>
      </text>
    </comment>
    <comment authorId="0" ref="A95">
      <text>
        <t xml:space="preserve">SKU:jmb-93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SKU:jmb-99</t>
      </text>
    </comment>
    <comment authorId="0" ref="A4">
      <text>
        <t xml:space="preserve">SKU:jmb-127</t>
      </text>
    </comment>
    <comment authorId="0" ref="A5">
      <text>
        <t xml:space="preserve">SKU:jlfk-35</t>
      </text>
    </comment>
    <comment authorId="0" ref="A6">
      <text>
        <t xml:space="preserve">SKU:vth-7</t>
      </text>
    </comment>
    <comment authorId="0" ref="A7">
      <text>
        <t xml:space="preserve">SKU:jmb-91</t>
      </text>
    </comment>
    <comment authorId="0" ref="A8">
      <text>
        <t xml:space="preserve">SKU:jmb-119</t>
      </text>
    </comment>
    <comment authorId="0" ref="A9">
      <text>
        <t xml:space="preserve">SKU:jmb-126</t>
      </text>
    </comment>
    <comment authorId="0" ref="A10">
      <text>
        <t xml:space="preserve">SKU:jmb-131</t>
      </text>
    </comment>
    <comment authorId="0" ref="A11">
      <text>
        <t xml:space="preserve">SKU:jmb-135</t>
      </text>
    </comment>
    <comment authorId="0" ref="A12">
      <text>
        <t xml:space="preserve">SKU:jmb-136</t>
      </text>
    </comment>
    <comment authorId="0" ref="A16">
      <text>
        <t xml:space="preserve">SKU:sm-11</t>
      </text>
    </comment>
    <comment authorId="0" ref="A17">
      <text>
        <t xml:space="preserve">SKU:sm-12</t>
      </text>
    </comment>
    <comment authorId="0" ref="A18">
      <text>
        <t xml:space="preserve">SKU:jlfk-51</t>
      </text>
    </comment>
    <comment authorId="0" ref="A19">
      <text>
        <t xml:space="preserve">SKU:jmb-116</t>
      </text>
    </comment>
    <comment authorId="0" ref="A20">
      <text>
        <t xml:space="preserve">SKU:jlfk-79</t>
      </text>
    </comment>
    <comment authorId="0" ref="A21">
      <text>
        <t xml:space="preserve">SKU:jlfk-43</t>
      </text>
    </comment>
    <comment authorId="0" ref="A22">
      <text>
        <t xml:space="preserve">SKU:jmb-124</t>
      </text>
    </comment>
    <comment authorId="0" ref="A23">
      <text>
        <t xml:space="preserve">SKU:jmb-111</t>
      </text>
    </comment>
    <comment authorId="0" ref="A24">
      <text>
        <t xml:space="preserve">SKU:jlf-1</t>
      </text>
    </comment>
    <comment authorId="0" ref="A25">
      <text>
        <t xml:space="preserve">SKU:jlf-3</t>
      </text>
    </comment>
    <comment authorId="0" ref="A26">
      <text>
        <t xml:space="preserve">SKU:jlf-4</t>
      </text>
    </comment>
    <comment authorId="0" ref="A27">
      <text>
        <t xml:space="preserve">SKU:jlf-8</t>
      </text>
    </comment>
    <comment authorId="0" ref="A28">
      <text>
        <t xml:space="preserve">SKU:jlf-5</t>
      </text>
    </comment>
    <comment authorId="0" ref="A29">
      <text>
        <t xml:space="preserve">SKU:jlf-6</t>
      </text>
    </comment>
    <comment authorId="0" ref="A30">
      <text>
        <t xml:space="preserve">SKU:jlf-17</t>
      </text>
    </comment>
    <comment authorId="0" ref="A34">
      <text>
        <t xml:space="preserve">SKU:jlf-2</t>
      </text>
    </comment>
    <comment authorId="0" ref="A35">
      <text>
        <t xml:space="preserve">SKU:jlf-18</t>
      </text>
    </comment>
    <comment authorId="0" ref="A36">
      <text>
        <t xml:space="preserve">SKU:jlf-22</t>
      </text>
    </comment>
    <comment authorId="0" ref="A37">
      <text>
        <t xml:space="preserve">SKU:jlf-27</t>
      </text>
    </comment>
    <comment authorId="0" ref="A38">
      <text>
        <t xml:space="preserve">SKU:jmb-87</t>
      </text>
    </comment>
    <comment authorId="0" ref="A39">
      <text>
        <t xml:space="preserve">SKU:sm-13</t>
      </text>
    </comment>
    <comment authorId="0" ref="A40">
      <text>
        <t xml:space="preserve">SKU:jlfk-56</t>
      </text>
    </comment>
    <comment authorId="0" ref="A41">
      <text>
        <t xml:space="preserve">SKU:jlf-23</t>
      </text>
    </comment>
    <comment authorId="0" ref="A42">
      <text>
        <t xml:space="preserve">SKU:jlf-26</t>
      </text>
    </comment>
    <comment authorId="0" ref="A43">
      <text>
        <t xml:space="preserve">SKU:jmb-137</t>
      </text>
    </comment>
    <comment authorId="0" ref="A44">
      <text>
        <t xml:space="preserve">SKU:jlf-31</t>
      </text>
    </comment>
    <comment authorId="0" ref="A45">
      <text>
        <t xml:space="preserve">SKU:jlf-42</t>
      </text>
    </comment>
    <comment authorId="0" ref="A46">
      <text>
        <t xml:space="preserve">SKU:jlf-46</t>
      </text>
    </comment>
    <comment authorId="0" ref="A47">
      <text>
        <t xml:space="preserve">SKU:jlf-47</t>
      </text>
    </comment>
    <comment authorId="0" ref="A48">
      <text>
        <t xml:space="preserve">SKU:jlf-49</t>
      </text>
    </comment>
    <comment authorId="0" ref="A49">
      <text>
        <t xml:space="preserve">SKU:jlf-55</t>
      </text>
    </comment>
    <comment authorId="0" ref="A50">
      <text>
        <t xml:space="preserve">SKU:jlf-58</t>
      </text>
    </comment>
    <comment authorId="0" ref="A51">
      <text>
        <t xml:space="preserve">SKU:vtf-6</t>
      </text>
    </comment>
    <comment authorId="0" ref="A52">
      <text>
        <t xml:space="preserve">SKU:jlfk-30</t>
      </text>
    </comment>
    <comment authorId="0" ref="A53">
      <text>
        <t xml:space="preserve">SKU:jlfk-40</t>
      </text>
    </comment>
    <comment authorId="0" ref="A54">
      <text>
        <t xml:space="preserve">SKU:jmb-121</t>
      </text>
    </comment>
    <comment authorId="0" ref="A55">
      <text>
        <t xml:space="preserve">SKU:jlf-34</t>
      </text>
    </comment>
    <comment authorId="0" ref="A56">
      <text>
        <t xml:space="preserve">SKU:jlf-43</t>
      </text>
    </comment>
    <comment authorId="0" ref="A57">
      <text>
        <t xml:space="preserve">SKU:jlf-51</t>
      </text>
    </comment>
    <comment authorId="0" ref="A58">
      <text>
        <t xml:space="preserve">SKU:jlf-52</t>
      </text>
    </comment>
    <comment authorId="0" ref="A59">
      <text>
        <t xml:space="preserve">SKU:jlf-54</t>
      </text>
    </comment>
    <comment authorId="0" ref="A60">
      <text>
        <t xml:space="preserve">SKU:jlf-59</t>
      </text>
    </comment>
    <comment authorId="0" ref="A61">
      <text>
        <t xml:space="preserve">SKU:jlf-61</t>
      </text>
    </comment>
    <comment authorId="0" ref="A62">
      <text>
        <t xml:space="preserve">SKU:jlf-62</t>
      </text>
    </comment>
    <comment authorId="0" ref="A63">
      <text>
        <t xml:space="preserve">SKU:jlf-64</t>
      </text>
    </comment>
    <comment authorId="0" ref="A64">
      <text>
        <t xml:space="preserve">SKU:jlf-66</t>
      </text>
    </comment>
    <comment authorId="0" ref="A65">
      <text>
        <t xml:space="preserve">SKU:jlf-73</t>
      </text>
    </comment>
    <comment authorId="0" ref="A66">
      <text>
        <t xml:space="preserve">SKU:jlf-75</t>
      </text>
    </comment>
    <comment authorId="0" ref="A67">
      <text>
        <t xml:space="preserve">SKU:jlf-76</t>
      </text>
    </comment>
    <comment authorId="0" ref="A68">
      <text>
        <t xml:space="preserve">SKU:jlfk-49</t>
      </text>
    </comment>
    <comment authorId="0" ref="A69">
      <text>
        <t xml:space="preserve">SKU:jlfk-66</t>
      </text>
    </comment>
    <comment authorId="0" ref="A70">
      <text>
        <t xml:space="preserve">SKU:jlf-7</t>
      </text>
    </comment>
    <comment authorId="0" ref="A71">
      <text>
        <t xml:space="preserve">SKU:jlf-11</t>
      </text>
    </comment>
    <comment authorId="0" ref="A72">
      <text>
        <t xml:space="preserve">SKU:jlf-35</t>
      </text>
    </comment>
    <comment authorId="0" ref="A73">
      <text>
        <t xml:space="preserve">SKU:jlf-36</t>
      </text>
    </comment>
    <comment authorId="0" ref="A74">
      <text>
        <t xml:space="preserve">SKU:jlf-40</t>
      </text>
    </comment>
    <comment authorId="0" ref="A75">
      <text>
        <t xml:space="preserve">SKU:jlf-69</t>
      </text>
    </comment>
    <comment authorId="0" ref="A76">
      <text>
        <t xml:space="preserve">SKU:jlf-77</t>
      </text>
    </comment>
    <comment authorId="0" ref="A77">
      <text>
        <t xml:space="preserve">SKU:jlf-80</t>
      </text>
    </comment>
    <comment authorId="0" ref="A78">
      <text>
        <t xml:space="preserve">SKU:jlf-81</t>
      </text>
    </comment>
    <comment authorId="0" ref="A79">
      <text>
        <t xml:space="preserve">SKU:jlf-86</t>
      </text>
    </comment>
    <comment authorId="0" ref="A80">
      <text>
        <t xml:space="preserve">SKU:jlf-90</t>
      </text>
    </comment>
    <comment authorId="0" ref="A84">
      <text>
        <t xml:space="preserve">SKU:vtf-7</t>
      </text>
    </comment>
    <comment authorId="0" ref="A85">
      <text>
        <t xml:space="preserve">SKU:jlf-13</t>
      </text>
    </comment>
    <comment authorId="0" ref="A86">
      <text>
        <t xml:space="preserve">SKU:jlf-20</t>
      </text>
    </comment>
    <comment authorId="0" ref="A87">
      <text>
        <t xml:space="preserve">SKU:jlf-41</t>
      </text>
    </comment>
    <comment authorId="0" ref="A88">
      <text>
        <t xml:space="preserve">SKU:jlf-79</t>
      </text>
    </comment>
    <comment authorId="0" ref="A89">
      <text>
        <t xml:space="preserve">SKU:jlf-91</t>
      </text>
    </comment>
    <comment authorId="0" ref="A90">
      <text>
        <t xml:space="preserve">SKU:jlf-96</t>
      </text>
    </comment>
    <comment authorId="0" ref="A91">
      <text>
        <t xml:space="preserve">SKU:jlf-97</t>
      </text>
    </comment>
    <comment authorId="0" ref="A92">
      <text>
        <t xml:space="preserve">SKU:jlf-98</t>
      </text>
    </comment>
    <comment authorId="0" ref="A93">
      <text>
        <t xml:space="preserve">SKU:jlf-99</t>
      </text>
    </comment>
    <comment authorId="0" ref="A94">
      <text>
        <t xml:space="preserve">SKU:jlf-100</t>
      </text>
    </comment>
    <comment authorId="0" ref="A95">
      <text>
        <t xml:space="preserve">SKU:jlf-102</t>
      </text>
    </comment>
    <comment authorId="0" ref="A96">
      <text>
        <t xml:space="preserve">SKU:jlf-110</t>
      </text>
    </comment>
    <comment authorId="0" ref="A97">
      <text>
        <t xml:space="preserve">SKU:jlf-116</t>
      </text>
    </comment>
    <comment authorId="0" ref="A98">
      <text>
        <t xml:space="preserve">SKU:jmb-129</t>
      </text>
    </comment>
    <comment authorId="0" ref="A99">
      <text>
        <t xml:space="preserve">SKU:jlf-67</t>
      </text>
    </comment>
    <comment authorId="0" ref="A100">
      <text>
        <t xml:space="preserve">SKU:jlf-78</t>
      </text>
    </comment>
    <comment authorId="0" ref="A101">
      <text>
        <t xml:space="preserve">SKU:jlf-88</t>
      </text>
    </comment>
    <comment authorId="0" ref="A102">
      <text>
        <t xml:space="preserve">SKU:jlf-115</t>
      </text>
    </comment>
    <comment authorId="0" ref="A103">
      <text>
        <t xml:space="preserve">SKU:jlf-122</t>
      </text>
    </comment>
    <comment authorId="0" ref="A104">
      <text>
        <t xml:space="preserve">SKU:jlf-127</t>
      </text>
    </comment>
    <comment authorId="0" ref="A105">
      <text>
        <t xml:space="preserve">SKU:jlf-70</t>
      </text>
    </comment>
    <comment authorId="0" ref="A106">
      <text>
        <t xml:space="preserve">SKU:jlf-117</t>
      </text>
    </comment>
    <comment authorId="0" ref="A107">
      <text>
        <t xml:space="preserve">SKU:jlf-133</t>
      </text>
    </comment>
    <comment authorId="0" ref="A108">
      <text>
        <t xml:space="preserve">SKU:jlfk-77</t>
      </text>
    </comment>
    <comment authorId="0" ref="A109">
      <text>
        <t xml:space="preserve">SKU:jmb-133</t>
      </text>
    </comment>
    <comment authorId="0" ref="A110">
      <text>
        <t xml:space="preserve">SKU:jlf-12</t>
      </text>
    </comment>
    <comment authorId="0" ref="A111">
      <text>
        <t xml:space="preserve">SKU:jlf-15</t>
      </text>
    </comment>
    <comment authorId="0" ref="A112">
      <text>
        <t xml:space="preserve">SKU:jlf-21</t>
      </text>
    </comment>
    <comment authorId="0" ref="A113">
      <text>
        <t xml:space="preserve">SKU:jlf-29</t>
      </text>
    </comment>
    <comment authorId="0" ref="A114">
      <text>
        <t xml:space="preserve">SKU:jlf-39</t>
      </text>
    </comment>
    <comment authorId="0" ref="A115">
      <text>
        <t xml:space="preserve">SKU:jlf-84</t>
      </text>
    </comment>
    <comment authorId="0" ref="A116">
      <text>
        <t xml:space="preserve">SKU:jlf-105</t>
      </text>
    </comment>
    <comment authorId="0" ref="A117">
      <text>
        <t xml:space="preserve">SKU:jlf-108</t>
      </text>
    </comment>
    <comment authorId="0" ref="A118">
      <text>
        <t xml:space="preserve">SKU:jlf-135</t>
      </text>
    </comment>
    <comment authorId="0" ref="A119">
      <text>
        <t xml:space="preserve">SKU:ptf-8</t>
      </text>
    </comment>
    <comment authorId="0" ref="A120">
      <text>
        <t xml:space="preserve">SKU:ptf-9</t>
      </text>
    </comment>
    <comment authorId="0" ref="A121">
      <text>
        <t xml:space="preserve">SKU:vth-8</t>
      </text>
    </comment>
    <comment authorId="0" ref="A122">
      <text>
        <t xml:space="preserve">SKU:jlf-48</t>
      </text>
    </comment>
    <comment authorId="0" ref="A123">
      <text>
        <t xml:space="preserve">SKU:jlf-92</t>
      </text>
    </comment>
    <comment authorId="0" ref="A124">
      <text>
        <t xml:space="preserve">SKU:jlf-103</t>
      </text>
    </comment>
    <comment authorId="0" ref="A125">
      <text>
        <t xml:space="preserve">SKU:jlf-113</t>
      </text>
    </comment>
    <comment authorId="0" ref="A126">
      <text>
        <t xml:space="preserve">SKU:jlf-121</t>
      </text>
    </comment>
    <comment authorId="0" ref="A127">
      <text>
        <t xml:space="preserve">SKU:jlf-123</t>
      </text>
    </comment>
    <comment authorId="0" ref="A128">
      <text>
        <t xml:space="preserve">SKU:jlf-126</t>
      </text>
    </comment>
    <comment authorId="0" ref="A129">
      <text>
        <t xml:space="preserve">SKU:ptf-14</t>
      </text>
    </comment>
    <comment authorId="0" ref="A130">
      <text>
        <t xml:space="preserve">SKU:ptf-16</t>
      </text>
    </comment>
    <comment authorId="0" ref="A134">
      <text>
        <t xml:space="preserve">SKU:ptf-20</t>
      </text>
    </comment>
    <comment authorId="0" ref="A135">
      <text>
        <t xml:space="preserve">SKU:ptf-23</t>
      </text>
    </comment>
    <comment authorId="0" ref="A136">
      <text>
        <t xml:space="preserve">SKU:ptf-27</t>
      </text>
    </comment>
    <comment authorId="0" ref="A137">
      <text>
        <t xml:space="preserve">SKU:ptf-22</t>
      </text>
    </comment>
    <comment authorId="0" ref="A138">
      <text>
        <t xml:space="preserve">SKU:ptf-32</t>
      </text>
    </comment>
    <comment authorId="0" ref="A139">
      <text>
        <t xml:space="preserve">SKU:ptf-28</t>
      </text>
    </comment>
    <comment authorId="0" ref="A140">
      <text>
        <t xml:space="preserve">SKU:ptf-38</t>
      </text>
    </comment>
    <comment authorId="0" ref="A141">
      <text>
        <t xml:space="preserve">SKU:ptf-30</t>
      </text>
    </comment>
    <comment authorId="0" ref="A142">
      <text>
        <t xml:space="preserve">SKU:ptf-33</t>
      </text>
    </comment>
    <comment authorId="0" ref="A143">
      <text>
        <t xml:space="preserve">SKU:ptf-34</t>
      </text>
    </comment>
    <comment authorId="0" ref="A144">
      <text>
        <t xml:space="preserve">SKU:ptf-35</t>
      </text>
    </comment>
    <comment authorId="0" ref="A145">
      <text>
        <t xml:space="preserve">SKU:ptf-41</t>
      </text>
    </comment>
    <comment authorId="0" ref="A146">
      <text>
        <t xml:space="preserve">SKU:ptf-43</t>
      </text>
    </comment>
    <comment authorId="0" ref="A147">
      <text>
        <t xml:space="preserve">SKU:ptf-44</t>
      </text>
    </comment>
    <comment authorId="0" ref="A148">
      <text>
        <t xml:space="preserve">SKU:vth-9</t>
      </text>
    </comment>
    <comment authorId="0" ref="A149">
      <text>
        <t xml:space="preserve">SKU:jlf-19</t>
      </text>
    </comment>
    <comment authorId="0" ref="A150">
      <text>
        <t xml:space="preserve">SKU:jlf-28</t>
      </text>
    </comment>
    <comment authorId="0" ref="A151">
      <text>
        <t xml:space="preserve">SKU:jlf-38</t>
      </text>
    </comment>
    <comment authorId="0" ref="A152">
      <text>
        <t xml:space="preserve">SKU:jlf-124</t>
      </text>
    </comment>
    <comment authorId="0" ref="A153">
      <text>
        <t xml:space="preserve">SKU:jlf-128</t>
      </text>
    </comment>
    <comment authorId="0" ref="A154">
      <text>
        <t xml:space="preserve">SKU:jlf-139</t>
      </text>
    </comment>
    <comment authorId="0" ref="A155">
      <text>
        <t xml:space="preserve">SKU:ptf-40</t>
      </text>
    </comment>
    <comment authorId="0" ref="A156">
      <text>
        <t xml:space="preserve">SKU:ptf-49</t>
      </text>
    </comment>
    <comment authorId="0" ref="A157">
      <text>
        <t xml:space="preserve">SKU:ptf-51</t>
      </text>
    </comment>
    <comment authorId="0" ref="A158">
      <text>
        <t xml:space="preserve">SKU:ptf-52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SKU:jmb-81</t>
      </text>
    </comment>
    <comment authorId="0" ref="A4">
      <text>
        <t xml:space="preserve">SKU:jlf-25</t>
      </text>
    </comment>
    <comment authorId="0" ref="A5">
      <text>
        <t xml:space="preserve">SKU:jlf-138</t>
      </text>
    </comment>
    <comment authorId="0" ref="A6">
      <text>
        <t xml:space="preserve">SKU:jlf-148</t>
      </text>
    </comment>
    <comment authorId="0" ref="A7">
      <text>
        <t xml:space="preserve">SKU:jlf-149</t>
      </text>
    </comment>
    <comment authorId="0" ref="A8">
      <text>
        <t xml:space="preserve">SKU:jlf-151</t>
      </text>
    </comment>
    <comment authorId="0" ref="A9">
      <text>
        <t xml:space="preserve">SKU:ptf-56</t>
      </text>
    </comment>
    <comment authorId="0" ref="A10">
      <text>
        <t xml:space="preserve">SKU:jlf-14</t>
      </text>
    </comment>
    <comment authorId="0" ref="A11">
      <text>
        <t xml:space="preserve">SKU:jlf-94</t>
      </text>
    </comment>
    <comment authorId="0" ref="A12">
      <text>
        <t xml:space="preserve">SKU:jlf-101</t>
      </text>
    </comment>
    <comment authorId="0" ref="A13">
      <text>
        <t xml:space="preserve">SKU:jlf-144</t>
      </text>
    </comment>
    <comment authorId="0" ref="A14">
      <text>
        <t xml:space="preserve">SKU:jlf-147</t>
      </text>
    </comment>
    <comment authorId="0" ref="A15">
      <text>
        <t xml:space="preserve">SKU:jlf-150</t>
      </text>
    </comment>
    <comment authorId="0" ref="A16">
      <text>
        <t xml:space="preserve">SKU:jlf-152</t>
      </text>
    </comment>
    <comment authorId="0" ref="A17">
      <text>
        <t xml:space="preserve">SKU:jlf-156</t>
      </text>
    </comment>
    <comment authorId="0" ref="A18">
      <text>
        <t xml:space="preserve">SKU:jlf-160</t>
      </text>
    </comment>
    <comment authorId="0" ref="A22">
      <text>
        <t xml:space="preserve">SKU:jmb-110</t>
      </text>
    </comment>
    <comment authorId="0" ref="A23">
      <text>
        <t xml:space="preserve">SKU:jmb-134</t>
      </text>
    </comment>
    <comment authorId="0" ref="A24">
      <text>
        <t xml:space="preserve">SKU:jlf-142</t>
      </text>
    </comment>
    <comment authorId="0" ref="A25">
      <text>
        <t xml:space="preserve">SKU:jlf-143</t>
      </text>
    </comment>
    <comment authorId="0" ref="A26">
      <text>
        <t xml:space="preserve">SKU:jlf-153</t>
      </text>
    </comment>
    <comment authorId="0" ref="A27">
      <text>
        <t xml:space="preserve">SKU:jlf-157</t>
      </text>
    </comment>
    <comment authorId="0" ref="A28">
      <text>
        <t xml:space="preserve">SKU:jlf-159</t>
      </text>
    </comment>
    <comment authorId="0" ref="A29">
      <text>
        <t xml:space="preserve">SKU:jlf-166</t>
      </text>
    </comment>
    <comment authorId="0" ref="A30">
      <text>
        <t xml:space="preserve">SKU:jlf-173</t>
      </text>
    </comment>
    <comment authorId="0" ref="A31">
      <text>
        <t xml:space="preserve">SKU:ptf-36</t>
      </text>
    </comment>
    <comment authorId="0" ref="A32">
      <text>
        <t xml:space="preserve">SKU:ptf-42</t>
      </text>
    </comment>
    <comment authorId="0" ref="A33">
      <text>
        <t xml:space="preserve">SKU:jlf-89</t>
      </text>
    </comment>
    <comment authorId="0" ref="A34">
      <text>
        <t xml:space="preserve">SKU:jlf-145</t>
      </text>
    </comment>
    <comment authorId="0" ref="A35">
      <text>
        <t xml:space="preserve">SKU:jlf-167</t>
      </text>
    </comment>
    <comment authorId="0" ref="A36">
      <text>
        <t xml:space="preserve">SKU:jlf-171</t>
      </text>
    </comment>
    <comment authorId="0" ref="A37">
      <text>
        <t xml:space="preserve">SKU:jlf-174</t>
      </text>
    </comment>
    <comment authorId="0" ref="A38">
      <text>
        <t xml:space="preserve">SKU:jlf-176</t>
      </text>
    </comment>
    <comment authorId="0" ref="A39">
      <text>
        <t xml:space="preserve">SKU:jlf-179</t>
      </text>
    </comment>
    <comment authorId="0" ref="A40">
      <text>
        <t xml:space="preserve">SKU:jlf-182</t>
      </text>
    </comment>
    <comment authorId="0" ref="A41">
      <text>
        <t xml:space="preserve">SKU:jlf-154</t>
      </text>
    </comment>
    <comment authorId="0" ref="A42">
      <text>
        <t xml:space="preserve">SKU:jlf-187</t>
      </text>
    </comment>
    <comment authorId="0" ref="A43">
      <text>
        <t xml:space="preserve">SKU:jlf-190</t>
      </text>
    </comment>
    <comment authorId="0" ref="A44">
      <text>
        <t xml:space="preserve">SKU:sm-14</t>
      </text>
    </comment>
    <comment authorId="0" ref="A45">
      <text>
        <t xml:space="preserve">SKU:jlf-194</t>
      </text>
    </comment>
    <comment authorId="0" ref="A46">
      <text>
        <t xml:space="preserve">SKU:jlf-197</t>
      </text>
    </comment>
    <comment authorId="0" ref="A47">
      <text>
        <t xml:space="preserve">SKU:jlf-198</t>
      </text>
    </comment>
    <comment authorId="0" ref="A48">
      <text>
        <t xml:space="preserve">SKU:jlf-206</t>
      </text>
    </comment>
    <comment authorId="0" ref="A49">
      <text>
        <t xml:space="preserve">SKU:jmb-132</t>
      </text>
    </comment>
    <comment authorId="0" ref="A50">
      <text>
        <t xml:space="preserve">SKU:jlf-170</t>
      </text>
    </comment>
    <comment authorId="0" ref="A51">
      <text>
        <t xml:space="preserve">SKU:jlf-195</t>
      </text>
    </comment>
    <comment authorId="0" ref="A52">
      <text>
        <t xml:space="preserve">SKU:jlf-196</t>
      </text>
    </comment>
    <comment authorId="0" ref="A53">
      <text>
        <t xml:space="preserve">SKU:jlf-200</t>
      </text>
    </comment>
    <comment authorId="0" ref="A54">
      <text>
        <t xml:space="preserve">SKU:jlf-201</t>
      </text>
    </comment>
    <comment authorId="0" ref="A55">
      <text>
        <t xml:space="preserve">SKU:ptf-2</t>
      </text>
    </comment>
    <comment authorId="0" ref="A56">
      <text>
        <t xml:space="preserve">SKU:jlf-63</t>
      </text>
    </comment>
    <comment authorId="0" ref="A57">
      <text>
        <t xml:space="preserve">SKU:jlf-177</t>
      </text>
    </comment>
    <comment authorId="0" ref="A58">
      <text>
        <t xml:space="preserve">SKU:jlf-199</t>
      </text>
    </comment>
    <comment authorId="0" ref="A59">
      <text>
        <t xml:space="preserve">SKU:jlf-207</t>
      </text>
    </comment>
    <comment authorId="0" ref="A60">
      <text>
        <t xml:space="preserve">SKU:jlf-211</t>
      </text>
    </comment>
    <comment authorId="0" ref="A61">
      <text>
        <t xml:space="preserve">SKU:jlf-213</t>
      </text>
    </comment>
    <comment authorId="0" ref="A62">
      <text>
        <t xml:space="preserve">SKU:jlf-216</t>
      </text>
    </comment>
    <comment authorId="0" ref="A63">
      <text>
        <t xml:space="preserve">SKU:jlf-221</t>
      </text>
    </comment>
    <comment authorId="0" ref="A64">
      <text>
        <t xml:space="preserve">SKU:jlf-225</t>
      </text>
    </comment>
    <comment authorId="0" ref="A65">
      <text>
        <t xml:space="preserve">SKU:jlf-82</t>
      </text>
    </comment>
    <comment authorId="0" ref="A66">
      <text>
        <t xml:space="preserve">SKU:jlf-118</t>
      </text>
    </comment>
    <comment authorId="0" ref="A67">
      <text>
        <t xml:space="preserve">SKU:jlf-189</t>
      </text>
    </comment>
    <comment authorId="0" ref="A68">
      <text>
        <t xml:space="preserve">SKU:jlf-205</t>
      </text>
    </comment>
    <comment authorId="0" ref="A69">
      <text>
        <t xml:space="preserve">SKU:jlf-210</t>
      </text>
    </comment>
    <comment authorId="0" ref="A70">
      <text>
        <t xml:space="preserve">SKU:jlf-218</t>
      </text>
    </comment>
    <comment authorId="0" ref="A71">
      <text>
        <t xml:space="preserve">SKU:jlf-228</t>
      </text>
    </comment>
    <comment authorId="0" ref="A72">
      <text>
        <t xml:space="preserve">SKU:jlf-229</t>
      </text>
    </comment>
    <comment authorId="0" ref="A73">
      <text>
        <t xml:space="preserve">SKU:jlf-230</t>
      </text>
    </comment>
    <comment authorId="0" ref="A74">
      <text>
        <t xml:space="preserve">SKU:ptf-19</t>
      </text>
    </comment>
    <comment authorId="0" ref="A78">
      <text>
        <t xml:space="preserve">SKU:jlf-236</t>
      </text>
    </comment>
    <comment authorId="0" ref="A79">
      <text>
        <t xml:space="preserve">SKU:jlf-30</t>
      </text>
    </comment>
    <comment authorId="0" ref="A80">
      <text>
        <t xml:space="preserve">SKU:jlf-93</t>
      </text>
    </comment>
    <comment authorId="0" ref="A81">
      <text>
        <t xml:space="preserve">SKU:jlf-114</t>
      </text>
    </comment>
    <comment authorId="0" ref="A82">
      <text>
        <t xml:space="preserve">SKU:ptf-3</t>
      </text>
    </comment>
    <comment authorId="0" ref="A83">
      <text>
        <t xml:space="preserve">SKU:ptf-31</t>
      </text>
    </comment>
    <comment authorId="0" ref="A84">
      <text>
        <t xml:space="preserve">SKU:ptf-37</t>
      </text>
    </comment>
    <comment authorId="0" ref="A85">
      <text>
        <t xml:space="preserve">SKU:jlf-146</t>
      </text>
    </comment>
    <comment authorId="0" ref="A86">
      <text>
        <t xml:space="preserve">SKU:jlf-181</t>
      </text>
    </comment>
    <comment authorId="0" ref="A87">
      <text>
        <t xml:space="preserve">SKU:jlf-224</t>
      </text>
    </comment>
    <comment authorId="0" ref="A88">
      <text>
        <t xml:space="preserve">SKU:jlf-232</t>
      </text>
    </comment>
    <comment authorId="0" ref="A89">
      <text>
        <t xml:space="preserve">SKU:jlf-237</t>
      </text>
    </comment>
  </commentList>
</comments>
</file>

<file path=xl/sharedStrings.xml><?xml version="1.0" encoding="utf-8"?>
<sst xmlns="http://schemas.openxmlformats.org/spreadsheetml/2006/main" count="2214" uniqueCount="845">
  <si>
    <t>Références</t>
  </si>
  <si>
    <t>Quantité</t>
  </si>
  <si>
    <t>Valeurs</t>
  </si>
  <si>
    <t>Marge</t>
  </si>
  <si>
    <t>SKU's</t>
  </si>
  <si>
    <t>JLF</t>
  </si>
  <si>
    <t>TOUTES</t>
  </si>
  <si>
    <t>ID</t>
  </si>
  <si>
    <t>ARTICLES</t>
  </si>
  <si>
    <t>MARQUE</t>
  </si>
  <si>
    <t>GENRE</t>
  </si>
  <si>
    <t>DATE D'ACHAT</t>
  </si>
  <si>
    <t>GRADE</t>
  </si>
  <si>
    <t>FOURNISSEUR/CODE</t>
  </si>
  <si>
    <t xml:space="preserve">DATE DE LIVRAISON </t>
  </si>
  <si>
    <t>PRIX D'ACHAT SHIP INCLUS</t>
  </si>
  <si>
    <t>QUANTITÉ COMMANDÉE</t>
  </si>
  <si>
    <t>QUANTITÉ RECUE</t>
  </si>
  <si>
    <t>FRAIS DE LAVAGE</t>
  </si>
  <si>
    <t>TOTAL TTC</t>
  </si>
  <si>
    <t>TRACKING</t>
  </si>
  <si>
    <t>PRÊT POUR MISE EN STOCK | DATE</t>
  </si>
  <si>
    <t>SNEAKERS</t>
  </si>
  <si>
    <t>MIX</t>
  </si>
  <si>
    <t>♀️ / ♂️</t>
  </si>
  <si>
    <t>A</t>
  </si>
  <si>
    <t>WHAT NOT/VINTED</t>
  </si>
  <si>
    <t>FÉVRIER</t>
  </si>
  <si>
    <t>02</t>
  </si>
  <si>
    <t>VÊTEMENTS</t>
  </si>
  <si>
    <t>WHAT NOT</t>
  </si>
  <si>
    <t>AOÛT</t>
  </si>
  <si>
    <t>08</t>
  </si>
  <si>
    <t>PERSO</t>
  </si>
  <si>
    <t>♂️/ Benoît</t>
  </si>
  <si>
    <t>BENOIT STAMBACH</t>
  </si>
  <si>
    <t>JEANS</t>
  </si>
  <si>
    <t>LEVIS</t>
  </si>
  <si>
    <t>♀️/ Kevin</t>
  </si>
  <si>
    <t>SUPPLY GDD EXPORT/ 1</t>
  </si>
  <si>
    <t>TYMAN</t>
  </si>
  <si>
    <t>♂️</t>
  </si>
  <si>
    <t xml:space="preserve">TYMAN </t>
  </si>
  <si>
    <t>SEPTEMBRE</t>
  </si>
  <si>
    <t>09</t>
  </si>
  <si>
    <t>♀️</t>
  </si>
  <si>
    <t>JACKET</t>
  </si>
  <si>
    <t>MIX B</t>
  </si>
  <si>
    <t>B</t>
  </si>
  <si>
    <t>POLAIRE</t>
  </si>
  <si>
    <t>THE NORTH FACE</t>
  </si>
  <si>
    <t>SUPPLY / 105</t>
  </si>
  <si>
    <t>3652902223 DHL</t>
  </si>
  <si>
    <t>COLUMBIA</t>
  </si>
  <si>
    <t>GDD EXPORT / 1</t>
  </si>
  <si>
    <t>OCTOBRE</t>
  </si>
  <si>
    <t>10</t>
  </si>
  <si>
    <t>SUPPLY GDD EXPORT / 1</t>
  </si>
  <si>
    <t>CARHARTT REWORK</t>
  </si>
  <si>
    <t>SUPPLY CODE 103</t>
  </si>
  <si>
    <t/>
  </si>
  <si>
    <t>PULL</t>
  </si>
  <si>
    <t>TOMMY</t>
  </si>
  <si>
    <t xml:space="preserve">SUPPLY CODE 3 </t>
  </si>
  <si>
    <t xml:space="preserve">SUPPLY GDD 1 </t>
  </si>
  <si>
    <t xml:space="preserve">LEVIS </t>
  </si>
  <si>
    <t>SKU(ancienne nomenclature)</t>
  </si>
  <si>
    <t>SKU</t>
  </si>
  <si>
    <t>DATE DE LIVRAISON</t>
  </si>
  <si>
    <t>DATE DE MISE EN STOCK</t>
  </si>
  <si>
    <t>MIS EN LIGNE | DATE DE MISE EN LIGNE</t>
  </si>
  <si>
    <t>PUBLIÉ | DATE DE PUBLICATION</t>
  </si>
  <si>
    <t>VENDU | DATE DE VENTE</t>
  </si>
  <si>
    <t>PRIX DE VENTE</t>
  </si>
  <si>
    <t>TAILLE</t>
  </si>
  <si>
    <t>LOTS</t>
  </si>
  <si>
    <t>VALIDER</t>
  </si>
  <si>
    <t>VÊTEMENTS PERSO Homme/ Benoît</t>
  </si>
  <si>
    <t>VPHB-3</t>
  </si>
  <si>
    <t>VPHB-4</t>
  </si>
  <si>
    <t>VPHB-5</t>
  </si>
  <si>
    <t>VPHB-6</t>
  </si>
  <si>
    <t>VPHB-7</t>
  </si>
  <si>
    <t>VPHB-8</t>
  </si>
  <si>
    <t>VPHB-9</t>
  </si>
  <si>
    <t>VPHB-10</t>
  </si>
  <si>
    <t>SNEAKERS MIX Homme/ Femme</t>
  </si>
  <si>
    <t>SM-15</t>
  </si>
  <si>
    <t>SM-16</t>
  </si>
  <si>
    <t>SM-17</t>
  </si>
  <si>
    <t>JEANS LEVIS Femme/ Kevin</t>
  </si>
  <si>
    <t>JLFK-21</t>
  </si>
  <si>
    <t>JLFK-27</t>
  </si>
  <si>
    <t>JLFK-31</t>
  </si>
  <si>
    <t>JLFK-32</t>
  </si>
  <si>
    <t>JLFK-37</t>
  </si>
  <si>
    <t>JLFK-44</t>
  </si>
  <si>
    <t>JLFK-46</t>
  </si>
  <si>
    <t>JLFK-55</t>
  </si>
  <si>
    <t>JLFK-60</t>
  </si>
  <si>
    <t>JLFK-65</t>
  </si>
  <si>
    <t>JLFK-69</t>
  </si>
  <si>
    <t>JLFK-70</t>
  </si>
  <si>
    <t>JLFK-72</t>
  </si>
  <si>
    <t>JLFK-74</t>
  </si>
  <si>
    <t>VÊTEMENTS TYMAN Homme</t>
  </si>
  <si>
    <t>VTH-10</t>
  </si>
  <si>
    <t>VTH-11</t>
  </si>
  <si>
    <t>VTH-12</t>
  </si>
  <si>
    <t>VTH-13</t>
  </si>
  <si>
    <t>VTH-14</t>
  </si>
  <si>
    <t>VTH-15</t>
  </si>
  <si>
    <t>VTH-16</t>
  </si>
  <si>
    <t>VTH-17</t>
  </si>
  <si>
    <t>VTH-18</t>
  </si>
  <si>
    <t>VTH-19</t>
  </si>
  <si>
    <t>VTH-20</t>
  </si>
  <si>
    <t>VTH-21</t>
  </si>
  <si>
    <t>VTH-22</t>
  </si>
  <si>
    <t>VTH-23</t>
  </si>
  <si>
    <t>VTH-24</t>
  </si>
  <si>
    <t>VTH-25</t>
  </si>
  <si>
    <t>VTH-26</t>
  </si>
  <si>
    <t>VTH-27</t>
  </si>
  <si>
    <t>VTH-28</t>
  </si>
  <si>
    <t>VTH-29</t>
  </si>
  <si>
    <t>VÊTEMENTS TYMAN Femme</t>
  </si>
  <si>
    <t>VTF-8</t>
  </si>
  <si>
    <t>VTF-9</t>
  </si>
  <si>
    <t>VTF-10</t>
  </si>
  <si>
    <t>VTF-11</t>
  </si>
  <si>
    <t>VTF-12</t>
  </si>
  <si>
    <t>VTF-13</t>
  </si>
  <si>
    <t>VTF-14</t>
  </si>
  <si>
    <t>VTF-15</t>
  </si>
  <si>
    <t>VTF-16</t>
  </si>
  <si>
    <t>VTF-17</t>
  </si>
  <si>
    <t>VTF-18</t>
  </si>
  <si>
    <t>VTF-19</t>
  </si>
  <si>
    <t>VTF-20</t>
  </si>
  <si>
    <t>VTF-21</t>
  </si>
  <si>
    <t>VTF-22</t>
  </si>
  <si>
    <t>VTF-23</t>
  </si>
  <si>
    <t>VTF-24</t>
  </si>
  <si>
    <t>VTF-25</t>
  </si>
  <si>
    <t>VTF-26</t>
  </si>
  <si>
    <t>VTF-27</t>
  </si>
  <si>
    <t>VTF-28</t>
  </si>
  <si>
    <t>VTF-29</t>
  </si>
  <si>
    <t>VTF-30</t>
  </si>
  <si>
    <t>VTF-31</t>
  </si>
  <si>
    <t>VTF-32</t>
  </si>
  <si>
    <t>VTF-33</t>
  </si>
  <si>
    <t>VTF-34</t>
  </si>
  <si>
    <t>JACKET MIX B Homme/ Femme</t>
  </si>
  <si>
    <t>JMB-84</t>
  </si>
  <si>
    <t>JMB-86</t>
  </si>
  <si>
    <t>JMB-90</t>
  </si>
  <si>
    <t>JMB-92</t>
  </si>
  <si>
    <t>JMB-94</t>
  </si>
  <si>
    <t>JMB-98</t>
  </si>
  <si>
    <t>JMB-101</t>
  </si>
  <si>
    <t>JMB-105</t>
  </si>
  <si>
    <t>JMB-106</t>
  </si>
  <si>
    <t>JMB-107</t>
  </si>
  <si>
    <t>JMB-112</t>
  </si>
  <si>
    <t>JMB-113</t>
  </si>
  <si>
    <t>JMB-114</t>
  </si>
  <si>
    <t>JMB-117</t>
  </si>
  <si>
    <t>JMB-118</t>
  </si>
  <si>
    <t>JMB-120</t>
  </si>
  <si>
    <t>JMB-122</t>
  </si>
  <si>
    <t>JMB-123</t>
  </si>
  <si>
    <t>JMB-125</t>
  </si>
  <si>
    <t>JMB-128</t>
  </si>
  <si>
    <t>JMB-130</t>
  </si>
  <si>
    <t>JMB-138</t>
  </si>
  <si>
    <t>JMB-139</t>
  </si>
  <si>
    <t>JMB-140</t>
  </si>
  <si>
    <t>JEANS LEVIS Femme</t>
  </si>
  <si>
    <t>JLF-9</t>
  </si>
  <si>
    <t>JLF-10</t>
  </si>
  <si>
    <t>JLF-16</t>
  </si>
  <si>
    <t>JLF-24</t>
  </si>
  <si>
    <t>JLF-32</t>
  </si>
  <si>
    <t>JLF-33</t>
  </si>
  <si>
    <t>JLF-37</t>
  </si>
  <si>
    <t>JLF-44</t>
  </si>
  <si>
    <t>JLF-45</t>
  </si>
  <si>
    <t>JLF-50</t>
  </si>
  <si>
    <t>JLF-53</t>
  </si>
  <si>
    <t>JLF-56</t>
  </si>
  <si>
    <t>JLF-57</t>
  </si>
  <si>
    <t>JLF-60</t>
  </si>
  <si>
    <t>JLF-65</t>
  </si>
  <si>
    <t>JLF-68</t>
  </si>
  <si>
    <t>JLF-71</t>
  </si>
  <si>
    <t>JLF-72</t>
  </si>
  <si>
    <t>JLF-74</t>
  </si>
  <si>
    <t>JLF-83</t>
  </si>
  <si>
    <t>JLF-85</t>
  </si>
  <si>
    <t>JLF-87</t>
  </si>
  <si>
    <t>JLF-95</t>
  </si>
  <si>
    <t>JLF-104</t>
  </si>
  <si>
    <t>JLF-106</t>
  </si>
  <si>
    <t>JLF-107</t>
  </si>
  <si>
    <t>JLF-109</t>
  </si>
  <si>
    <t>JLF-111</t>
  </si>
  <si>
    <t>JLF-112</t>
  </si>
  <si>
    <t>JLF-120</t>
  </si>
  <si>
    <t>JLF-125</t>
  </si>
  <si>
    <t>JLF-129</t>
  </si>
  <si>
    <t>JLF-130</t>
  </si>
  <si>
    <t>JLF-131</t>
  </si>
  <si>
    <t>JLF-132</t>
  </si>
  <si>
    <t>JLF-134</t>
  </si>
  <si>
    <t>JLF-136</t>
  </si>
  <si>
    <t>JLF-137</t>
  </si>
  <si>
    <t>POLAIRE THE NORTH FACE Homme/ Femme</t>
  </si>
  <si>
    <t>PTNF-21</t>
  </si>
  <si>
    <t>PTNF-22</t>
  </si>
  <si>
    <t>PTNF-23</t>
  </si>
  <si>
    <t>PTNF-24</t>
  </si>
  <si>
    <t>PTNF-25</t>
  </si>
  <si>
    <t>PTNF-26</t>
  </si>
  <si>
    <t>PTNF-27</t>
  </si>
  <si>
    <t>PTNF-28</t>
  </si>
  <si>
    <t>PTNF-29</t>
  </si>
  <si>
    <t>PTNF-30</t>
  </si>
  <si>
    <t>PTNF-31</t>
  </si>
  <si>
    <t>PTNF-32</t>
  </si>
  <si>
    <t>PTNF-33</t>
  </si>
  <si>
    <t>PTNF-34</t>
  </si>
  <si>
    <t>PTNF-35</t>
  </si>
  <si>
    <t>PTNF-36</t>
  </si>
  <si>
    <t>PTNF-37</t>
  </si>
  <si>
    <t>PTNF-38</t>
  </si>
  <si>
    <t>PTNF-39</t>
  </si>
  <si>
    <t>PTNF-40</t>
  </si>
  <si>
    <t>PTNF-41</t>
  </si>
  <si>
    <t>PTNF-42</t>
  </si>
  <si>
    <t>PTNF-43</t>
  </si>
  <si>
    <t>PTNF-44</t>
  </si>
  <si>
    <t>PTNF-45</t>
  </si>
  <si>
    <t>PTNF-46</t>
  </si>
  <si>
    <t>PTNF-47</t>
  </si>
  <si>
    <t>PTNF-48</t>
  </si>
  <si>
    <t>PTNF-49</t>
  </si>
  <si>
    <t>PTNF-50</t>
  </si>
  <si>
    <t>PTNF-51</t>
  </si>
  <si>
    <t>PTNF-52</t>
  </si>
  <si>
    <t>PTNF-53</t>
  </si>
  <si>
    <t>PTNF-54</t>
  </si>
  <si>
    <t>PTNF-55</t>
  </si>
  <si>
    <t>PTNF-56</t>
  </si>
  <si>
    <t>PTNF-57</t>
  </si>
  <si>
    <t>PTNF-58</t>
  </si>
  <si>
    <t>PTNF-59</t>
  </si>
  <si>
    <t>PTNF-60</t>
  </si>
  <si>
    <t>PTNF-61</t>
  </si>
  <si>
    <t>PULL TOMMY Femme</t>
  </si>
  <si>
    <t>PTF-1</t>
  </si>
  <si>
    <t>PTF-4</t>
  </si>
  <si>
    <t>PTF-5</t>
  </si>
  <si>
    <t>PTF-6</t>
  </si>
  <si>
    <t>PTF-7</t>
  </si>
  <si>
    <t>PTF-10</t>
  </si>
  <si>
    <t>PTF-11</t>
  </si>
  <si>
    <t>PTF-12</t>
  </si>
  <si>
    <t>PTF-13</t>
  </si>
  <si>
    <t>PTF-15</t>
  </si>
  <si>
    <t>PTF-17</t>
  </si>
  <si>
    <t>PTF-18</t>
  </si>
  <si>
    <t>PTF-21</t>
  </si>
  <si>
    <t>PTF-24</t>
  </si>
  <si>
    <t>PTF-25</t>
  </si>
  <si>
    <t>PTF-26</t>
  </si>
  <si>
    <t>PTF-29</t>
  </si>
  <si>
    <t>PTF-39</t>
  </si>
  <si>
    <t>PTF-45</t>
  </si>
  <si>
    <t>PTF-46</t>
  </si>
  <si>
    <t>PTF-47</t>
  </si>
  <si>
    <t>PTF-48</t>
  </si>
  <si>
    <t>PTF-50</t>
  </si>
  <si>
    <t>PTF-53</t>
  </si>
  <si>
    <t>PTF-54</t>
  </si>
  <si>
    <t>PTF-55</t>
  </si>
  <si>
    <t>JLF-140</t>
  </si>
  <si>
    <t>JLF-141</t>
  </si>
  <si>
    <t>JLF-155</t>
  </si>
  <si>
    <t>JLF-158</t>
  </si>
  <si>
    <t>JLF-161</t>
  </si>
  <si>
    <t>JLF-162</t>
  </si>
  <si>
    <t>JLF-163</t>
  </si>
  <si>
    <t>JLF-164</t>
  </si>
  <si>
    <t>JLF-165</t>
  </si>
  <si>
    <t>JLF-168</t>
  </si>
  <si>
    <t>JLF-169</t>
  </si>
  <si>
    <t>JLF-172</t>
  </si>
  <si>
    <t>JLF-175</t>
  </si>
  <si>
    <t>JLF-178</t>
  </si>
  <si>
    <t>JLF-180</t>
  </si>
  <si>
    <t>JLF-183</t>
  </si>
  <si>
    <t>JLF-184</t>
  </si>
  <si>
    <t>JLF-185</t>
  </si>
  <si>
    <t>JLF-186</t>
  </si>
  <si>
    <t>JLF-188</t>
  </si>
  <si>
    <t>JLF-191</t>
  </si>
  <si>
    <t>JLF-192</t>
  </si>
  <si>
    <t>JLF-193</t>
  </si>
  <si>
    <t>JLF-202</t>
  </si>
  <si>
    <t>JLF-203</t>
  </si>
  <si>
    <t>JLF-204</t>
  </si>
  <si>
    <t>JLF-208</t>
  </si>
  <si>
    <t>JLF-209</t>
  </si>
  <si>
    <t>JLF-212</t>
  </si>
  <si>
    <t>JLF-214</t>
  </si>
  <si>
    <t>JLF-215</t>
  </si>
  <si>
    <t>JLF-217</t>
  </si>
  <si>
    <t>JLF-219</t>
  </si>
  <si>
    <t>JLF-220</t>
  </si>
  <si>
    <t>JLF-222</t>
  </si>
  <si>
    <t>JLF-223</t>
  </si>
  <si>
    <t>JLF-226</t>
  </si>
  <si>
    <t>JLF-227</t>
  </si>
  <si>
    <t>JLF-231</t>
  </si>
  <si>
    <t>JLF-233</t>
  </si>
  <si>
    <t>JLF-234</t>
  </si>
  <si>
    <t>JLF-235</t>
  </si>
  <si>
    <t>PTNF-1</t>
  </si>
  <si>
    <t>PTNF-2</t>
  </si>
  <si>
    <t>PTNF-3</t>
  </si>
  <si>
    <t>PTNF-4</t>
  </si>
  <si>
    <t>PTNF-5</t>
  </si>
  <si>
    <t>PTNF-6</t>
  </si>
  <si>
    <t>PTNF-7</t>
  </si>
  <si>
    <t>PTNF-8</t>
  </si>
  <si>
    <t>PTNF-9</t>
  </si>
  <si>
    <t>PTNF-10</t>
  </si>
  <si>
    <t>PTNF-11</t>
  </si>
  <si>
    <t>PTNF-12</t>
  </si>
  <si>
    <t>PTNF-13</t>
  </si>
  <si>
    <t>PTNF-14</t>
  </si>
  <si>
    <t>PTNF-15</t>
  </si>
  <si>
    <t>PTNF-16</t>
  </si>
  <si>
    <t>PTNF-17</t>
  </si>
  <si>
    <t>PTNF-18</t>
  </si>
  <si>
    <t>PTNF-19</t>
  </si>
  <si>
    <t>PTNF-20</t>
  </si>
  <si>
    <t>POLAIRE COLUMBIA Homme/ Femme</t>
  </si>
  <si>
    <t>PC-1</t>
  </si>
  <si>
    <t>PC-2</t>
  </si>
  <si>
    <t>PC-3</t>
  </si>
  <si>
    <t>PC-4</t>
  </si>
  <si>
    <t>PC-5</t>
  </si>
  <si>
    <t>PC-6</t>
  </si>
  <si>
    <t>PC-7</t>
  </si>
  <si>
    <t>PC-8</t>
  </si>
  <si>
    <t>PC-9</t>
  </si>
  <si>
    <t>PC-10</t>
  </si>
  <si>
    <t>JLF-238</t>
  </si>
  <si>
    <t>JLF-239</t>
  </si>
  <si>
    <t>JLF-240</t>
  </si>
  <si>
    <t>JLF-241</t>
  </si>
  <si>
    <t>JLF-242</t>
  </si>
  <si>
    <t>JLF-243</t>
  </si>
  <si>
    <t>JLF-244</t>
  </si>
  <si>
    <t>JLF-245</t>
  </si>
  <si>
    <t>JLF-246</t>
  </si>
  <si>
    <t>JLF-247</t>
  </si>
  <si>
    <t>JLF-248</t>
  </si>
  <si>
    <t>JLF-249</t>
  </si>
  <si>
    <t>JLF-250</t>
  </si>
  <si>
    <t>JLF-251</t>
  </si>
  <si>
    <t>JLF-252</t>
  </si>
  <si>
    <t>JLF-253</t>
  </si>
  <si>
    <t>JLF-254</t>
  </si>
  <si>
    <t>JLF-255</t>
  </si>
  <si>
    <t>JLF-256</t>
  </si>
  <si>
    <t>JLF-257</t>
  </si>
  <si>
    <t>JLF-258</t>
  </si>
  <si>
    <t>JLF-259</t>
  </si>
  <si>
    <t>JLF-260</t>
  </si>
  <si>
    <t>JLF-261</t>
  </si>
  <si>
    <t>JLF-262</t>
  </si>
  <si>
    <t>JLF-263</t>
  </si>
  <si>
    <t>JLF-264</t>
  </si>
  <si>
    <t>JLF-265</t>
  </si>
  <si>
    <t>JLF-266</t>
  </si>
  <si>
    <t>JLF-267</t>
  </si>
  <si>
    <t>JLF-268</t>
  </si>
  <si>
    <t>JLF-269</t>
  </si>
  <si>
    <t>JLF-270</t>
  </si>
  <si>
    <t>JLF-271</t>
  </si>
  <si>
    <t>JLF-272</t>
  </si>
  <si>
    <t>JLF-273</t>
  </si>
  <si>
    <t>JLF-274</t>
  </si>
  <si>
    <t>JLF-275</t>
  </si>
  <si>
    <t>JLF-276</t>
  </si>
  <si>
    <t>JLF-277</t>
  </si>
  <si>
    <t>JLF-278</t>
  </si>
  <si>
    <t>JLF-279</t>
  </si>
  <si>
    <t>JLF-280</t>
  </si>
  <si>
    <t>JLF-281</t>
  </si>
  <si>
    <t>JLF-282</t>
  </si>
  <si>
    <t>JLF-283</t>
  </si>
  <si>
    <t>JLF-284</t>
  </si>
  <si>
    <t>JLF-285</t>
  </si>
  <si>
    <t>JLF-286</t>
  </si>
  <si>
    <t>JLF-287</t>
  </si>
  <si>
    <t>JLF-288</t>
  </si>
  <si>
    <t>JLF-289</t>
  </si>
  <si>
    <t>JLF-290</t>
  </si>
  <si>
    <t>JLF-291</t>
  </si>
  <si>
    <t>JLF-292</t>
  </si>
  <si>
    <t>JLF-293</t>
  </si>
  <si>
    <t>JLF-294</t>
  </si>
  <si>
    <t>JLF-295</t>
  </si>
  <si>
    <t>JLF-296</t>
  </si>
  <si>
    <t>JLF-297</t>
  </si>
  <si>
    <t>JLF-298</t>
  </si>
  <si>
    <t>JLF-299</t>
  </si>
  <si>
    <t>JLF-300</t>
  </si>
  <si>
    <t>JLF-301</t>
  </si>
  <si>
    <t>JLF-302</t>
  </si>
  <si>
    <t>JLF-303</t>
  </si>
  <si>
    <t>JLF-304</t>
  </si>
  <si>
    <t>JLF-305</t>
  </si>
  <si>
    <t>JLF-306</t>
  </si>
  <si>
    <t>JLF-307</t>
  </si>
  <si>
    <t>JLF-308</t>
  </si>
  <si>
    <t>JLF-309</t>
  </si>
  <si>
    <t>JLF-310</t>
  </si>
  <si>
    <t>JLF-311</t>
  </si>
  <si>
    <t>JLF-312</t>
  </si>
  <si>
    <t>JLF-313</t>
  </si>
  <si>
    <t>JLF-314</t>
  </si>
  <si>
    <t>JLF-315</t>
  </si>
  <si>
    <t>JLF-316</t>
  </si>
  <si>
    <t>JLF-317</t>
  </si>
  <si>
    <t>JLF-318</t>
  </si>
  <si>
    <t>JLF-319</t>
  </si>
  <si>
    <t>JLF-320</t>
  </si>
  <si>
    <t>JLF-321</t>
  </si>
  <si>
    <t>JLF-322</t>
  </si>
  <si>
    <t>JLF-323</t>
  </si>
  <si>
    <t>JLF-324</t>
  </si>
  <si>
    <t>JLF-325</t>
  </si>
  <si>
    <t>JLF-326</t>
  </si>
  <si>
    <t>JLF-327</t>
  </si>
  <si>
    <t>JLF-328</t>
  </si>
  <si>
    <t>JLF-329</t>
  </si>
  <si>
    <t>JLF-330</t>
  </si>
  <si>
    <t>JLF-331</t>
  </si>
  <si>
    <t>JLF-332</t>
  </si>
  <si>
    <t>JLF-333</t>
  </si>
  <si>
    <t>JLF-334</t>
  </si>
  <si>
    <t>JLF-335</t>
  </si>
  <si>
    <t>JLF-336</t>
  </si>
  <si>
    <t>JLF-337</t>
  </si>
  <si>
    <t>DATE DE VENTE</t>
  </si>
  <si>
    <t>ARTICLE</t>
  </si>
  <si>
    <t>FRAIS DE COLISSAGE</t>
  </si>
  <si>
    <t>PRIX VENTE</t>
  </si>
  <si>
    <t>DÉLAI D'IMMOBILISATION</t>
  </si>
  <si>
    <t>DELAI DE MISE EN LIGNE</t>
  </si>
  <si>
    <t>DELAI DE PUBLICATION</t>
  </si>
  <si>
    <t xml:space="preserve">DELAI DE VENTE </t>
  </si>
  <si>
    <t>RETOUR</t>
  </si>
  <si>
    <t>LOT</t>
  </si>
  <si>
    <t>JLF-30</t>
  </si>
  <si>
    <t>LOT DE 2</t>
  </si>
  <si>
    <t>JLF-93</t>
  </si>
  <si>
    <t>JLF-114</t>
  </si>
  <si>
    <t>PTF-3</t>
  </si>
  <si>
    <t>LOT DE 3</t>
  </si>
  <si>
    <t>PTF-31</t>
  </si>
  <si>
    <t>PTF-37</t>
  </si>
  <si>
    <t>JLF-146</t>
  </si>
  <si>
    <t>JLF-181</t>
  </si>
  <si>
    <t>JLF-224</t>
  </si>
  <si>
    <t>JLF-232</t>
  </si>
  <si>
    <t>JLF-237</t>
  </si>
  <si>
    <t>JLF-236</t>
  </si>
  <si>
    <t>JEAN LEVIS FEMME</t>
  </si>
  <si>
    <t>JLF-82</t>
  </si>
  <si>
    <t>JLF-118</t>
  </si>
  <si>
    <t>JLF-189</t>
  </si>
  <si>
    <t>JLF-205</t>
  </si>
  <si>
    <t>JLF-210</t>
  </si>
  <si>
    <t>JLF-218</t>
  </si>
  <si>
    <t>JLF-228</t>
  </si>
  <si>
    <t>JLF-229</t>
  </si>
  <si>
    <t>JLF-230</t>
  </si>
  <si>
    <t>PULL TOMMY FEMME</t>
  </si>
  <si>
    <t>PTF-19</t>
  </si>
  <si>
    <t>JLF-63</t>
  </si>
  <si>
    <t>JLF-177</t>
  </si>
  <si>
    <t>JLF-199</t>
  </si>
  <si>
    <t>JLF-207</t>
  </si>
  <si>
    <t>JLF-211</t>
  </si>
  <si>
    <t>JLF-213</t>
  </si>
  <si>
    <t>JLF-216</t>
  </si>
  <si>
    <t>JLF-221</t>
  </si>
  <si>
    <t>JLF-225</t>
  </si>
  <si>
    <t>JACKET MIX MARQUES GRADE B</t>
  </si>
  <si>
    <t>JMB-132</t>
  </si>
  <si>
    <t>JLF-170</t>
  </si>
  <si>
    <t>JLF-195</t>
  </si>
  <si>
    <t>JLF-196</t>
  </si>
  <si>
    <t>JLF-200</t>
  </si>
  <si>
    <t>JLF-201</t>
  </si>
  <si>
    <t>PTF-2</t>
  </si>
  <si>
    <t>SM-14</t>
  </si>
  <si>
    <t>JLF-194</t>
  </si>
  <si>
    <t>JLF-197</t>
  </si>
  <si>
    <t>JLF-198</t>
  </si>
  <si>
    <t>JLF-206</t>
  </si>
  <si>
    <t>JLF-154</t>
  </si>
  <si>
    <t>JLF-187</t>
  </si>
  <si>
    <t>JLF-190</t>
  </si>
  <si>
    <t>JLF-89</t>
  </si>
  <si>
    <t>JLF-145</t>
  </si>
  <si>
    <t>JLF-167</t>
  </si>
  <si>
    <t>JLF-171</t>
  </si>
  <si>
    <t>JLF-174</t>
  </si>
  <si>
    <t>JLF-176</t>
  </si>
  <si>
    <t>JLF-179</t>
  </si>
  <si>
    <t>JLF-182</t>
  </si>
  <si>
    <t>JMB-110</t>
  </si>
  <si>
    <t>JMB-134</t>
  </si>
  <si>
    <t>JLF-142</t>
  </si>
  <si>
    <t>JLF-143</t>
  </si>
  <si>
    <t>JLF-153</t>
  </si>
  <si>
    <t>JLF-157</t>
  </si>
  <si>
    <t>JLF-159</t>
  </si>
  <si>
    <t>JLF-166</t>
  </si>
  <si>
    <t>JLF-173</t>
  </si>
  <si>
    <t>PTF-36</t>
  </si>
  <si>
    <t>PTF-42</t>
  </si>
  <si>
    <t>JLF-14</t>
  </si>
  <si>
    <t>JLF-94</t>
  </si>
  <si>
    <t>JLF-101</t>
  </si>
  <si>
    <t>JLF-144</t>
  </si>
  <si>
    <t>JLF-147</t>
  </si>
  <si>
    <t>JLF-150</t>
  </si>
  <si>
    <t>JLF-152</t>
  </si>
  <si>
    <t>JLF-156</t>
  </si>
  <si>
    <t>JLF-160</t>
  </si>
  <si>
    <t>JMB-81</t>
  </si>
  <si>
    <t>JLF-25</t>
  </si>
  <si>
    <t>JLF-138</t>
  </si>
  <si>
    <t>JLF-148</t>
  </si>
  <si>
    <t>JLF-149</t>
  </si>
  <si>
    <t>JLF-151</t>
  </si>
  <si>
    <t>PTF-56</t>
  </si>
  <si>
    <t>VÊTEMENT HOMME TYMAN 9</t>
  </si>
  <si>
    <t>VTH-9</t>
  </si>
  <si>
    <t>JLF-19</t>
  </si>
  <si>
    <t>JLF-28</t>
  </si>
  <si>
    <t>JLF-38</t>
  </si>
  <si>
    <t>JLF-124</t>
  </si>
  <si>
    <t>JLF-128</t>
  </si>
  <si>
    <t>JLF-139</t>
  </si>
  <si>
    <t>PTF-40</t>
  </si>
  <si>
    <t>PTF-49</t>
  </si>
  <si>
    <t>PTF-51</t>
  </si>
  <si>
    <t>PTF-52</t>
  </si>
  <si>
    <t>PTF-30</t>
  </si>
  <si>
    <t>PTF-33</t>
  </si>
  <si>
    <t>PTF-34</t>
  </si>
  <si>
    <t>PTF-35</t>
  </si>
  <si>
    <t>PTF-41</t>
  </si>
  <si>
    <t>PTF-43</t>
  </si>
  <si>
    <t>PTF-44</t>
  </si>
  <si>
    <t>PTF-28</t>
  </si>
  <si>
    <t>PTF-38</t>
  </si>
  <si>
    <t>PTF-22</t>
  </si>
  <si>
    <t>PTF-32</t>
  </si>
  <si>
    <t>PTF-20</t>
  </si>
  <si>
    <t>PTF-23</t>
  </si>
  <si>
    <t>PTF-27</t>
  </si>
  <si>
    <t>VÊTEMENT HOMME TYMAN 8</t>
  </si>
  <si>
    <t>VTH-8</t>
  </si>
  <si>
    <t>JLF-48</t>
  </si>
  <si>
    <t>JLF-92</t>
  </si>
  <si>
    <t>JLF-103</t>
  </si>
  <si>
    <t>JLF-113</t>
  </si>
  <si>
    <t>JLF-121</t>
  </si>
  <si>
    <t>JLF-123</t>
  </si>
  <si>
    <t>JLF-126</t>
  </si>
  <si>
    <t>PTF-14</t>
  </si>
  <si>
    <t>PTF-16</t>
  </si>
  <si>
    <t>JEANS LEVIS FEMME</t>
  </si>
  <si>
    <t>JLFK-77</t>
  </si>
  <si>
    <t>JMB-133</t>
  </si>
  <si>
    <t>JLF-12</t>
  </si>
  <si>
    <t>JLF-15</t>
  </si>
  <si>
    <t>JLF-21</t>
  </si>
  <si>
    <t>JLF-29</t>
  </si>
  <si>
    <t>JLF-39</t>
  </si>
  <si>
    <t>JLF-84</t>
  </si>
  <si>
    <t>JLF-105</t>
  </si>
  <si>
    <t>JLF-108</t>
  </si>
  <si>
    <t>JLF-135</t>
  </si>
  <si>
    <t>PTF-8</t>
  </si>
  <si>
    <t>PTF-9</t>
  </si>
  <si>
    <t>JLF-70</t>
  </si>
  <si>
    <t>JLF-117</t>
  </si>
  <si>
    <t>JLF-133</t>
  </si>
  <si>
    <t>JMB-129</t>
  </si>
  <si>
    <t>JLF-67</t>
  </si>
  <si>
    <t>JLF-78</t>
  </si>
  <si>
    <t>JLF-88</t>
  </si>
  <si>
    <t>JLF-115</t>
  </si>
  <si>
    <t>JLF-122</t>
  </si>
  <si>
    <t>JLF-127</t>
  </si>
  <si>
    <t>JLF-102</t>
  </si>
  <si>
    <t>JLF-110</t>
  </si>
  <si>
    <t>JLF-116</t>
  </si>
  <si>
    <t>JLF-97</t>
  </si>
  <si>
    <t>JLF-98</t>
  </si>
  <si>
    <t>JLF-99</t>
  </si>
  <si>
    <t>JLF-100</t>
  </si>
  <si>
    <t>VETEMENT FEMME TYMAN 7</t>
  </si>
  <si>
    <t>VTF-7</t>
  </si>
  <si>
    <t>JLF-13</t>
  </si>
  <si>
    <t>JLF-20</t>
  </si>
  <si>
    <t>JLF-41</t>
  </si>
  <si>
    <t>JLF-79</t>
  </si>
  <si>
    <t>JLF-91</t>
  </si>
  <si>
    <t>JLF-96</t>
  </si>
  <si>
    <t>JLFK-49</t>
  </si>
  <si>
    <t>JLFK-66</t>
  </si>
  <si>
    <t>JLF-7</t>
  </si>
  <si>
    <t>JLF-11</t>
  </si>
  <si>
    <t>JLF-35</t>
  </si>
  <si>
    <t>JLF-36</t>
  </si>
  <si>
    <t>JLF-40</t>
  </si>
  <si>
    <t>JLF-69</t>
  </si>
  <si>
    <t>JLF-77</t>
  </si>
  <si>
    <t>JLF-80</t>
  </si>
  <si>
    <t>JLF-81</t>
  </si>
  <si>
    <t>JLF-86</t>
  </si>
  <si>
    <t>JLF-90</t>
  </si>
  <si>
    <t>VETEMENT FEMME TYMAN 6</t>
  </si>
  <si>
    <t>VTF-6</t>
  </si>
  <si>
    <t>JLFK-30</t>
  </si>
  <si>
    <t>JLFK-40</t>
  </si>
  <si>
    <t>JMB-121</t>
  </si>
  <si>
    <t>JLF-34</t>
  </si>
  <si>
    <t>JLF-43</t>
  </si>
  <si>
    <t>JLF-51</t>
  </si>
  <si>
    <t>JLF-52</t>
  </si>
  <si>
    <t>JLF-54</t>
  </si>
  <si>
    <t>JLF-59</t>
  </si>
  <si>
    <t>JLF-61</t>
  </si>
  <si>
    <t>JLF-62</t>
  </si>
  <si>
    <t>JLF-64</t>
  </si>
  <si>
    <t>JLF-66</t>
  </si>
  <si>
    <t>JLF-73</t>
  </si>
  <si>
    <t>JLF-75</t>
  </si>
  <si>
    <t>JLF-76</t>
  </si>
  <si>
    <t>JMB-137</t>
  </si>
  <si>
    <t>JLF-31</t>
  </si>
  <si>
    <t>JLF-42</t>
  </si>
  <si>
    <t>JLF-46</t>
  </si>
  <si>
    <t>JLF-47</t>
  </si>
  <si>
    <t>JLF-49</t>
  </si>
  <si>
    <t>JLF-55</t>
  </si>
  <si>
    <t>JLF-58</t>
  </si>
  <si>
    <t>SM-13</t>
  </si>
  <si>
    <t>JLFK-56</t>
  </si>
  <si>
    <t>JLF-23</t>
  </si>
  <si>
    <t>JLF-26</t>
  </si>
  <si>
    <t>JMB-87</t>
  </si>
  <si>
    <t>JLF-2</t>
  </si>
  <si>
    <t>JLF-18</t>
  </si>
  <si>
    <t>JLF-22</t>
  </si>
  <si>
    <t>JLF-27</t>
  </si>
  <si>
    <t>JLF-5</t>
  </si>
  <si>
    <t>JLF-6</t>
  </si>
  <si>
    <t>JLF-17</t>
  </si>
  <si>
    <t>JMB-111</t>
  </si>
  <si>
    <t>JLF-1</t>
  </si>
  <si>
    <t>JLF-3</t>
  </si>
  <si>
    <t>JLF-4</t>
  </si>
  <si>
    <t>JLF-8</t>
  </si>
  <si>
    <t>JMB-124</t>
  </si>
  <si>
    <t>JLFK-43</t>
  </si>
  <si>
    <t>JLFK-79</t>
  </si>
  <si>
    <t>SM-11</t>
  </si>
  <si>
    <t>SM-12</t>
  </si>
  <si>
    <t>JLFK-51</t>
  </si>
  <si>
    <t>JMB-116</t>
  </si>
  <si>
    <t>VÊTEMENT HOMME TYMAN 7</t>
  </si>
  <si>
    <t>VTH-7</t>
  </si>
  <si>
    <t>JMB-91</t>
  </si>
  <si>
    <t>JMB-119</t>
  </si>
  <si>
    <t>JMB-126</t>
  </si>
  <si>
    <t>JMB-131</t>
  </si>
  <si>
    <t>JMB-135</t>
  </si>
  <si>
    <t>JMB-136</t>
  </si>
  <si>
    <t>JLFK-35</t>
  </si>
  <si>
    <t>JMB-127</t>
  </si>
  <si>
    <t>JMB-99</t>
  </si>
  <si>
    <t>JMB-93</t>
  </si>
  <si>
    <t>JLFK-61</t>
  </si>
  <si>
    <t>JLFK-80</t>
  </si>
  <si>
    <t>JMB-95</t>
  </si>
  <si>
    <t>JMB-100</t>
  </si>
  <si>
    <t>JMB-102</t>
  </si>
  <si>
    <t>JMB-109</t>
  </si>
  <si>
    <t>VÊTEMENT HOMME TYMAN 6</t>
  </si>
  <si>
    <t>VTH-6</t>
  </si>
  <si>
    <t>VETEMENT FEMME TYMAN 5</t>
  </si>
  <si>
    <t>VTF-5</t>
  </si>
  <si>
    <t>JLFK-22</t>
  </si>
  <si>
    <t>JLFK-38</t>
  </si>
  <si>
    <t>JLFK-39</t>
  </si>
  <si>
    <t>JLFK-50</t>
  </si>
  <si>
    <t>JLFK-58</t>
  </si>
  <si>
    <t>JMB-104</t>
  </si>
  <si>
    <t>JMB-108</t>
  </si>
  <si>
    <t>JMB-85</t>
  </si>
  <si>
    <t>JMB-115</t>
  </si>
  <si>
    <t>SM-10</t>
  </si>
  <si>
    <t>JLFK-36</t>
  </si>
  <si>
    <t>JLFK-48</t>
  </si>
  <si>
    <t>JMB-88</t>
  </si>
  <si>
    <t>JMB-89</t>
  </si>
  <si>
    <t>JMB-96</t>
  </si>
  <si>
    <t>JMB-97</t>
  </si>
  <si>
    <t>JMB-103</t>
  </si>
  <si>
    <t>JLFK-63</t>
  </si>
  <si>
    <t>JMB-83</t>
  </si>
  <si>
    <t>SM-9</t>
  </si>
  <si>
    <t>VETEMENT FEMME TYMAN 3</t>
  </si>
  <si>
    <t>VTF-3</t>
  </si>
  <si>
    <t>VETEMENT FEMME TYMAN 4</t>
  </si>
  <si>
    <t>VTF-4</t>
  </si>
  <si>
    <t>JLFK-75</t>
  </si>
  <si>
    <t>JMB-82</t>
  </si>
  <si>
    <t>VETEMENT FEMME TYMAN 2</t>
  </si>
  <si>
    <t>VTF-2</t>
  </si>
  <si>
    <t>VÊTEMENT HOMME TYMAN 4</t>
  </si>
  <si>
    <t>VTH-4</t>
  </si>
  <si>
    <t>VÊTEMENT HOMME TYMAN 5</t>
  </si>
  <si>
    <t>VTH-5</t>
  </si>
  <si>
    <t>VETEMENT FEMME TYMAN 1</t>
  </si>
  <si>
    <t>VTF-1</t>
  </si>
  <si>
    <t>JLFK-45</t>
  </si>
  <si>
    <t>JLFK-73</t>
  </si>
  <si>
    <t>JLFK-76</t>
  </si>
  <si>
    <t>VÊTEMENT HOMME TYMAN 3</t>
  </si>
  <si>
    <t>VTH-3</t>
  </si>
  <si>
    <t>JLFK-64</t>
  </si>
  <si>
    <t>VÊTEMENT HOMME TYMAN 2</t>
  </si>
  <si>
    <t>VTH-2</t>
  </si>
  <si>
    <t>VÊTEMENT HOMME TYMAN 1</t>
  </si>
  <si>
    <t>VTH-1</t>
  </si>
  <si>
    <t>JLFK-78</t>
  </si>
  <si>
    <t>SM-7</t>
  </si>
  <si>
    <t>SM-8</t>
  </si>
  <si>
    <t>JLFK-34</t>
  </si>
  <si>
    <t>JLFK-52</t>
  </si>
  <si>
    <t>JLFK-53</t>
  </si>
  <si>
    <t>JLFK-62</t>
  </si>
  <si>
    <t>SM-6</t>
  </si>
  <si>
    <t>JLFK-26</t>
  </si>
  <si>
    <t>JLFK-54</t>
  </si>
  <si>
    <t>JLFK-57</t>
  </si>
  <si>
    <t>JLFK-71</t>
  </si>
  <si>
    <t>JLFK-67</t>
  </si>
  <si>
    <t>JLFK-68</t>
  </si>
  <si>
    <t>VÊTEMENT 17 PERSO</t>
  </si>
  <si>
    <t>VPHB-2</t>
  </si>
  <si>
    <t>JLFK-47</t>
  </si>
  <si>
    <t>JLFK-59</t>
  </si>
  <si>
    <t>JLFK-25</t>
  </si>
  <si>
    <t>JLFK-41</t>
  </si>
  <si>
    <t>JLFK-42</t>
  </si>
  <si>
    <t>JLFK-23</t>
  </si>
  <si>
    <t>JLFK-28</t>
  </si>
  <si>
    <t>JLFK-29</t>
  </si>
  <si>
    <t>SM-5</t>
  </si>
  <si>
    <t>JLFK-24</t>
  </si>
  <si>
    <t>VETEMENT WHATNOT</t>
  </si>
  <si>
    <t>VWN-6</t>
  </si>
  <si>
    <t>VWN-7</t>
  </si>
  <si>
    <t>SM-4</t>
  </si>
  <si>
    <t>VWN-5</t>
  </si>
  <si>
    <t>SM-2</t>
  </si>
  <si>
    <t>SM-3</t>
  </si>
  <si>
    <t>VWN-1</t>
  </si>
  <si>
    <t>VWN-2</t>
  </si>
  <si>
    <t>VWN-3</t>
  </si>
  <si>
    <t>VWN-4</t>
  </si>
  <si>
    <t>SM-1</t>
  </si>
  <si>
    <t>VÊTEMENT 15 PERSO</t>
  </si>
  <si>
    <t>VPHB-1</t>
  </si>
  <si>
    <t>LIBELLÉS</t>
  </si>
  <si>
    <t>MARGE BRUTE</t>
  </si>
  <si>
    <t>COEFF MARGE</t>
  </si>
  <si>
    <t>NBR PCS VENDU</t>
  </si>
  <si>
    <t>SEMAINE 1 01/09/2025 AU 07/09/2025</t>
  </si>
  <si>
    <t>TOTAL VENTE SEMAINE 1 : 14</t>
  </si>
  <si>
    <t>SEMAINE 2 08/09/2025 AU 14/09/2025</t>
  </si>
  <si>
    <t>TOTAL VENTE SEMAINE 2 : 16</t>
  </si>
  <si>
    <t>SEMAINE 3 15/09/2025 AU 21/09/2025</t>
  </si>
  <si>
    <t>TOTAL VENTE SEMAINE 3 : 11</t>
  </si>
  <si>
    <t>SEMAINE 4 22/09/2025 AU 28/09/2025</t>
  </si>
  <si>
    <t>TOTAL VENTE SEMAINE 4 : 33</t>
  </si>
  <si>
    <t>SEMAINE 5 29/09/2025 AU 30/09/2025</t>
  </si>
  <si>
    <t>TOTAL VENTE SEMAINE 5 : 7</t>
  </si>
  <si>
    <t>TOTAL VENTE MOIS : 81</t>
  </si>
  <si>
    <t>SEMAINE 1 01/10/2025 AU 05/10/2025</t>
  </si>
  <si>
    <t>TOTAL VENTE SEMAINE 1 : 10</t>
  </si>
  <si>
    <t>SEMAINE 2 06/10/2025 AU 12/10/2025</t>
  </si>
  <si>
    <t>TOTAL VENTE SEMAINE 2 : 15</t>
  </si>
  <si>
    <t>SEMAINE 3 13/10/2025 AU 19/10/2025</t>
  </si>
  <si>
    <t>TOTAL VENTE SEMAINE 3 : 47</t>
  </si>
  <si>
    <t>SEMAINE 4 20/10/2025 AU 26/10/2025</t>
  </si>
  <si>
    <t>TOTAL VENTE SEMAINE 4 : 47</t>
  </si>
  <si>
    <t>SEMAINE 5 27/10/2025 AU 31/10/2025</t>
  </si>
  <si>
    <t>TOTAL VENTE SEMAINE 5 : 25</t>
  </si>
  <si>
    <t>TOTAL VENTE MOIS : 144</t>
  </si>
  <si>
    <t>SEMAINE 1 01/11/2025 AU 02/11/2025</t>
  </si>
  <si>
    <t>TOTAL VENTE SEMAINE 1 : 16</t>
  </si>
  <si>
    <t>SEMAINE 2 03/11/2025 AU 09/11/2025</t>
  </si>
  <si>
    <t>TOTAL VENTE SEMAINE 2 : 53</t>
  </si>
  <si>
    <t>SEMAINE 3 10/11/2025 AU 16/11/2025</t>
  </si>
  <si>
    <t>TOTAL VENTE SEMAINE 3 : 12</t>
  </si>
  <si>
    <t>SEMAINE 4 17/11/2025 AU 23/11/2025</t>
  </si>
  <si>
    <t>TOTAL VENTE SEMAINE 4</t>
  </si>
  <si>
    <t>SEMAINE 5 24/11/2025 AU 30/11/2025</t>
  </si>
  <si>
    <t>TOTAL VENTE SEMAINE 5</t>
  </si>
  <si>
    <t>TAILLE DE COLIS</t>
  </si>
  <si>
    <t xml:space="preserve">FRAIS DE COLISSAGE </t>
  </si>
  <si>
    <t>LOT DE 4</t>
  </si>
  <si>
    <t>LOT DE 5</t>
  </si>
  <si>
    <t>LOT DE 6</t>
  </si>
  <si>
    <t>PETIT</t>
  </si>
  <si>
    <t>MOYEN</t>
  </si>
  <si>
    <t>GRAND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</si>
</sst>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En stock : &quot;0&quot; pièces&quot;"/>
    <numFmt numFmtId="165" formatCode="#,##0.00\ [$€-1]"/>
    <numFmt numFmtId="166" formatCode="&quot;Estimée à &quot;0,00 &quot;€&quot;"/>
    <numFmt numFmtId="167" formatCode="&quot;Vendue : &quot;0&quot; pièces&quot;"/>
    <numFmt numFmtId="168" formatCode="dd/mm/yyyy"/>
    <numFmt numFmtId="169" formatCode="dd/MM/yyyy"/>
  </numFmts>
  <fonts count="62">
    <font>
      <sz val="10.0"/>
      <color rgb="FF000000"/>
      <name val="Arial"/>
      <scheme val="minor"/>
    </font>
    <font>
      <sz val="20.0"/>
      <color theme="1"/>
      <name val="Roboto"/>
    </font>
    <font>
      <sz val="20.0"/>
      <color theme="1"/>
      <name val="Arial"/>
    </font>
    <font>
      <sz val="12.0"/>
      <color theme="1"/>
      <name val="Arial"/>
      <scheme val="minor"/>
    </font>
    <font/>
    <font>
      <color theme="1"/>
      <name val="Arial"/>
    </font>
    <font>
      <sz val="20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Roboto"/>
    </font>
    <font>
      <color rgb="FFBF9000"/>
      <name val="Arial"/>
      <scheme val="minor"/>
    </font>
    <font>
      <color rgb="FF0E6655"/>
      <name val="Arial"/>
      <scheme val="minor"/>
    </font>
    <font>
      <color rgb="FFBF9000"/>
      <name val="Arial"/>
    </font>
    <font>
      <color rgb="FF000000"/>
      <name val="Arial"/>
      <scheme val="minor"/>
    </font>
    <font>
      <color rgb="FF154360"/>
      <name val="Arial"/>
      <scheme val="minor"/>
    </font>
    <font>
      <color rgb="FF000000"/>
      <name val="Arial"/>
    </font>
    <font>
      <color rgb="FF0B5394"/>
      <name val="Arial"/>
      <scheme val="minor"/>
    </font>
    <font>
      <color rgb="FF512E5F"/>
      <name val="Arial"/>
      <scheme val="minor"/>
    </font>
    <font>
      <sz val="11.0"/>
      <color rgb="FF0B5394"/>
      <name val="Roboto"/>
    </font>
    <font>
      <color rgb="FF0B5394"/>
      <name val="Arial"/>
    </font>
    <font>
      <color rgb="FF999999"/>
      <name val="Arial"/>
      <scheme val="minor"/>
    </font>
    <font>
      <color rgb="FF633974"/>
      <name val="Arial"/>
      <scheme val="minor"/>
    </font>
    <font>
      <color rgb="FF999999"/>
      <name val="Arial"/>
    </font>
    <font>
      <color rgb="FF666666"/>
      <name val="Arial"/>
      <scheme val="minor"/>
    </font>
    <font>
      <color rgb="FFBA4A00"/>
      <name val="Arial"/>
      <scheme val="minor"/>
    </font>
    <font>
      <color rgb="FF666666"/>
      <name val="Arial"/>
    </font>
    <font>
      <color rgb="FF38761D"/>
      <name val="Arial"/>
      <scheme val="minor"/>
    </font>
    <font>
      <color rgb="FF38761D"/>
      <name val="Arial"/>
    </font>
    <font>
      <color rgb="FF0000FF"/>
      <name val="Arial"/>
      <scheme val="minor"/>
    </font>
    <font>
      <color rgb="FF0000FF"/>
      <name val="Arial"/>
    </font>
    <font>
      <color rgb="FF990000"/>
      <name val="Arial"/>
      <scheme val="minor"/>
    </font>
    <font>
      <color rgb="FF6C3483"/>
      <name val="Arial"/>
      <scheme val="minor"/>
    </font>
    <font>
      <color rgb="FF980000"/>
      <name val="Arial"/>
      <scheme val="minor"/>
    </font>
    <font>
      <color rgb="FF990000"/>
      <name val="Arial"/>
    </font>
    <font>
      <color rgb="FFFF00FF"/>
      <name val="Arial"/>
      <scheme val="minor"/>
    </font>
    <font>
      <color rgb="FF1F618D"/>
      <name val="Arial"/>
      <scheme val="minor"/>
    </font>
    <font>
      <color rgb="FFFF00FF"/>
      <name val="Arial"/>
    </font>
    <font>
      <sz val="11.0"/>
      <color rgb="FF4A86E8"/>
      <name val="Arial"/>
    </font>
    <font>
      <sz val="11.0"/>
      <color rgb="FF0E6655"/>
      <name val="Arial"/>
    </font>
    <font>
      <color rgb="FF4A86E8"/>
      <name val="Arial"/>
    </font>
    <font>
      <sz val="11.0"/>
      <color rgb="FFCC0000"/>
      <name val="Arial"/>
    </font>
    <font>
      <sz val="11.0"/>
      <color rgb="FF6C3483"/>
      <name val="Arial"/>
    </font>
    <font>
      <color rgb="FFCC0000"/>
      <name val="Arial"/>
    </font>
    <font>
      <sz val="11.0"/>
      <color rgb="FF38761D"/>
      <name val="Arial"/>
    </font>
    <font>
      <sz val="11.0"/>
      <color rgb="FF512E5F"/>
      <name val="Arial"/>
    </font>
    <font>
      <sz val="11.0"/>
      <color rgb="FF000000"/>
      <name val="Arial"/>
    </font>
    <font>
      <sz val="11.0"/>
      <color rgb="FF154360"/>
      <name val="Arial"/>
    </font>
    <font>
      <sz val="11.0"/>
      <color rgb="FFB7B7B7"/>
      <name val="Arial"/>
    </font>
    <font>
      <sz val="11.0"/>
      <color rgb="FF633974"/>
      <name val="Arial"/>
    </font>
    <font>
      <color rgb="FFB7B7B7"/>
      <name val="Arial"/>
    </font>
    <font>
      <sz val="11.0"/>
      <color rgb="FF999999"/>
      <name val="Arial"/>
    </font>
    <font>
      <sz val="11.0"/>
      <color rgb="FFBA4A00"/>
      <name val="Arial"/>
    </font>
    <font>
      <sz val="11.0"/>
      <color rgb="FFBF9000"/>
      <name val="Arial"/>
    </font>
    <font>
      <sz val="11.0"/>
      <color rgb="FF7D6608"/>
      <name val="Arial"/>
    </font>
    <font>
      <b/>
      <color rgb="FF000000"/>
      <name val="Arial"/>
      <scheme val="minor"/>
    </font>
    <font>
      <b/>
      <color rgb="FF154360"/>
      <name val="Arial"/>
      <scheme val="minor"/>
    </font>
    <font>
      <b/>
      <color rgb="FF0E6655"/>
      <name val="Arial"/>
      <scheme val="minor"/>
    </font>
    <font>
      <b/>
      <color rgb="FF7D6608"/>
      <name val="Arial"/>
      <scheme val="minor"/>
    </font>
    <font>
      <b/>
      <color rgb="FF512E5F"/>
      <name val="Arial"/>
      <scheme val="minor"/>
    </font>
    <font>
      <b/>
      <color rgb="FF633974"/>
      <name val="Arial"/>
      <scheme val="minor"/>
    </font>
    <font>
      <b/>
      <color rgb="FFBA4A00"/>
      <name val="Arial"/>
      <scheme val="minor"/>
    </font>
    <font>
      <b/>
      <color rgb="FF6C3483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1F2EB"/>
        <bgColor rgb="FFD1F2EB"/>
      </patternFill>
    </fill>
    <fill>
      <patternFill patternType="solid">
        <fgColor rgb="FFEBF5FB"/>
        <bgColor rgb="FFEBF5FB"/>
      </patternFill>
    </fill>
    <fill>
      <patternFill patternType="solid">
        <fgColor rgb="FFEBDEF0"/>
        <bgColor rgb="FFEBDEF0"/>
      </patternFill>
    </fill>
    <fill>
      <patternFill patternType="solid">
        <fgColor rgb="FFE8DAEF"/>
        <bgColor rgb="FFE8DAEF"/>
      </patternFill>
    </fill>
    <fill>
      <patternFill patternType="solid">
        <fgColor rgb="FFFDEBD0"/>
        <bgColor rgb="FFFDEBD0"/>
      </patternFill>
    </fill>
    <fill>
      <patternFill patternType="solid">
        <fgColor rgb="FFF5EEF8"/>
        <bgColor rgb="FFF5EEF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B8FF5C"/>
        <bgColor rgb="FFB8FF5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vertical="bottom"/>
    </xf>
    <xf borderId="0" fillId="0" fontId="3" numFmtId="0" xfId="0" applyFont="1"/>
    <xf borderId="3" fillId="0" fontId="4" numFmtId="0" xfId="0" applyBorder="1" applyFont="1"/>
    <xf borderId="1" fillId="0" fontId="2" numFmtId="167" xfId="0" applyAlignment="1" applyBorder="1" applyFont="1" applyNumberForma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2" numFmtId="168" xfId="0" applyAlignment="1" applyFont="1" applyNumberFormat="1">
      <alignment readingOrder="0" vertical="bottom"/>
    </xf>
    <xf borderId="0" fillId="0" fontId="6" numFmtId="0" xfId="0" applyFont="1"/>
    <xf borderId="0" fillId="0" fontId="5" numFmtId="0" xfId="0" applyAlignment="1" applyFont="1">
      <alignment readingOrder="0" vertical="center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7" numFmtId="16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169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9" xfId="0" applyAlignment="1" applyFont="1" applyNumberForma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7" numFmtId="165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readingOrder="0" vertical="bottom"/>
    </xf>
    <xf borderId="0" fillId="0" fontId="7" numFmtId="165" xfId="0" applyAlignment="1" applyFont="1" applyNumberFormat="1">
      <alignment shrinkToFit="0" wrapText="0"/>
    </xf>
    <xf borderId="0" fillId="0" fontId="5" numFmtId="169" xfId="0" applyAlignment="1" applyFont="1" applyNumberFormat="1">
      <alignment readingOrder="0" vertical="bottom"/>
    </xf>
    <xf borderId="0" fillId="0" fontId="5" numFmtId="165" xfId="0" applyAlignment="1" applyFont="1" applyNumberFormat="1">
      <alignment readingOrder="0" shrinkToFit="0" vertical="bottom" wrapText="0"/>
    </xf>
    <xf borderId="0" fillId="0" fontId="7" numFmtId="169" xfId="0" applyAlignment="1" applyFont="1" applyNumberFormat="1">
      <alignment readingOrder="0" shrinkToFit="0" wrapText="0"/>
    </xf>
    <xf borderId="0" fillId="0" fontId="7" numFmtId="168" xfId="0" applyAlignment="1" applyFont="1" applyNumberFormat="1">
      <alignment shrinkToFit="0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0" fillId="0" fontId="7" numFmtId="165" xfId="0" applyAlignment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7" numFmtId="169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0" fontId="7" numFmtId="165" xfId="0" applyAlignment="1" applyFont="1" applyNumberForma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5" xfId="0" applyFont="1" applyNumberFormat="1"/>
    <xf borderId="0" fillId="0" fontId="7" numFmtId="16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5" numFmtId="169" xfId="0" applyAlignment="1" applyFont="1" applyNumberFormat="1">
      <alignment vertical="bottom"/>
    </xf>
    <xf borderId="0" fillId="0" fontId="5" numFmtId="165" xfId="0" applyAlignment="1" applyFont="1" applyNumberFormat="1">
      <alignment shrinkToFit="0" vertical="bottom" wrapText="0"/>
    </xf>
    <xf borderId="5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49" xfId="0" applyAlignment="1" applyBorder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49" xfId="0" applyAlignment="1" applyBorder="1" applyFont="1" applyNumberForma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wrapText="1"/>
    </xf>
    <xf borderId="0" fillId="4" fontId="10" numFmtId="0" xfId="0" applyAlignment="1" applyFill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0" numFmtId="0" xfId="0" applyAlignment="1" applyFont="1">
      <alignment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0" fillId="4" fontId="10" numFmtId="169" xfId="0" applyAlignment="1" applyFont="1" applyNumberForma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12" numFmtId="165" xfId="0" applyAlignment="1" applyFont="1" applyNumberForma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0" fontId="7" numFmtId="0" xfId="0" applyFont="1"/>
    <xf borderId="0" fillId="5" fontId="13" numFmtId="0" xfId="0" applyAlignment="1" applyFill="1" applyFont="1">
      <alignment readingOrder="0" shrinkToFit="0" vertical="center" wrapText="0"/>
    </xf>
    <xf borderId="0" fillId="5" fontId="14" numFmtId="0" xfId="0" applyAlignment="1" applyFont="1">
      <alignment readingOrder="0" shrinkToFit="0" vertical="center" wrapText="0"/>
    </xf>
    <xf borderId="0" fillId="5" fontId="13" numFmtId="0" xfId="0" applyAlignment="1" applyFont="1">
      <alignment shrinkToFit="0" vertical="center" wrapText="0"/>
    </xf>
    <xf borderId="0" fillId="5" fontId="13" numFmtId="0" xfId="0" applyAlignment="1" applyFont="1">
      <alignment horizontal="center" readingOrder="0" shrinkToFit="0" vertical="center" wrapText="0"/>
    </xf>
    <xf borderId="0" fillId="5" fontId="13" numFmtId="169" xfId="0" applyAlignment="1" applyFont="1" applyNumberFormat="1">
      <alignment readingOrder="0" shrinkToFit="0" vertical="center" wrapText="0"/>
    </xf>
    <xf borderId="0" fillId="5" fontId="13" numFmtId="0" xfId="0" applyAlignment="1" applyFont="1">
      <alignment readingOrder="0" shrinkToFit="0" vertical="center" wrapText="0"/>
    </xf>
    <xf borderId="0" fillId="5" fontId="15" numFmtId="165" xfId="0" applyAlignment="1" applyFont="1" applyNumberFormat="1">
      <alignment readingOrder="0"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6" fontId="16" numFmtId="0" xfId="0" applyAlignment="1" applyFill="1" applyFont="1">
      <alignment readingOrder="0" shrinkToFit="0" vertical="center" wrapText="0"/>
    </xf>
    <xf borderId="0" fillId="6" fontId="17" numFmtId="0" xfId="0" applyAlignment="1" applyFont="1">
      <alignment readingOrder="0" shrinkToFit="0" vertical="center" wrapText="0"/>
    </xf>
    <xf borderId="0" fillId="6" fontId="16" numFmtId="0" xfId="0" applyAlignment="1" applyFont="1">
      <alignment readingOrder="0" shrinkToFit="0" vertical="center" wrapText="0"/>
    </xf>
    <xf borderId="0" fillId="6" fontId="18" numFmtId="0" xfId="0" applyAlignment="1" applyFont="1">
      <alignment horizontal="center" readingOrder="0" shrinkToFit="0" vertical="center" wrapText="0"/>
    </xf>
    <xf borderId="0" fillId="6" fontId="16" numFmtId="169" xfId="0" applyAlignment="1" applyFont="1" applyNumberFormat="1">
      <alignment readingOrder="0" shrinkToFit="0" vertical="center" wrapText="0"/>
    </xf>
    <xf borderId="0" fillId="6" fontId="19" numFmtId="165" xfId="0" applyAlignment="1" applyFont="1" applyNumberFormat="1">
      <alignment readingOrder="0" shrinkToFit="0" vertical="bottom" wrapText="0"/>
    </xf>
    <xf borderId="0" fillId="6" fontId="19" numFmtId="0" xfId="0" applyAlignment="1" applyFont="1">
      <alignment readingOrder="0" shrinkToFit="0" vertical="bottom" wrapText="0"/>
    </xf>
    <xf borderId="0" fillId="6" fontId="19" numFmtId="0" xfId="0" applyAlignment="1" applyFont="1">
      <alignment readingOrder="0" shrinkToFit="0" vertical="bottom" wrapText="0"/>
    </xf>
    <xf borderId="0" fillId="6" fontId="16" numFmtId="0" xfId="0" applyAlignment="1" applyFont="1">
      <alignment shrinkToFit="0" vertical="center" wrapText="0"/>
    </xf>
    <xf borderId="0" fillId="7" fontId="20" numFmtId="0" xfId="0" applyAlignment="1" applyFill="1" applyFont="1">
      <alignment readingOrder="0" shrinkToFit="0" vertical="center" wrapText="0"/>
    </xf>
    <xf borderId="0" fillId="7" fontId="21" numFmtId="0" xfId="0" applyAlignment="1" applyFont="1">
      <alignment readingOrder="0" shrinkToFit="0" vertical="center" wrapText="0"/>
    </xf>
    <xf borderId="0" fillId="7" fontId="20" numFmtId="0" xfId="0" applyAlignment="1" applyFont="1">
      <alignment shrinkToFit="0" vertical="center" wrapText="0"/>
    </xf>
    <xf borderId="0" fillId="7" fontId="20" numFmtId="0" xfId="0" applyAlignment="1" applyFont="1">
      <alignment horizontal="center" readingOrder="0" shrinkToFit="0" vertical="center" wrapText="0"/>
    </xf>
    <xf borderId="0" fillId="7" fontId="20" numFmtId="169" xfId="0" applyAlignment="1" applyFont="1" applyNumberFormat="1">
      <alignment readingOrder="0" shrinkToFit="0" vertical="center" wrapText="0"/>
    </xf>
    <xf borderId="0" fillId="7" fontId="20" numFmtId="0" xfId="0" applyAlignment="1" applyFont="1">
      <alignment readingOrder="0" shrinkToFit="0" vertical="center" wrapText="0"/>
    </xf>
    <xf borderId="0" fillId="7" fontId="22" numFmtId="165" xfId="0" applyAlignment="1" applyFont="1" applyNumberFormat="1">
      <alignment readingOrder="0" shrinkToFit="0" vertical="bottom" wrapText="0"/>
    </xf>
    <xf borderId="0" fillId="7" fontId="22" numFmtId="0" xfId="0" applyAlignment="1" applyFont="1">
      <alignment readingOrder="0" shrinkToFit="0" vertical="bottom" wrapText="0"/>
    </xf>
    <xf borderId="0" fillId="7" fontId="22" numFmtId="0" xfId="0" applyAlignment="1" applyFont="1">
      <alignment readingOrder="0" shrinkToFit="0" vertical="bottom" wrapText="0"/>
    </xf>
    <xf borderId="0" fillId="8" fontId="23" numFmtId="0" xfId="0" applyAlignment="1" applyFill="1" applyFont="1">
      <alignment readingOrder="0" shrinkToFit="0" vertical="center" wrapText="0"/>
    </xf>
    <xf borderId="0" fillId="8" fontId="24" numFmtId="0" xfId="0" applyAlignment="1" applyFont="1">
      <alignment readingOrder="0" shrinkToFit="0" vertical="center" wrapText="0"/>
    </xf>
    <xf borderId="0" fillId="8" fontId="23" numFmtId="0" xfId="0" applyAlignment="1" applyFont="1">
      <alignment shrinkToFit="0" vertical="center" wrapText="0"/>
    </xf>
    <xf borderId="0" fillId="8" fontId="23" numFmtId="0" xfId="0" applyAlignment="1" applyFont="1">
      <alignment horizontal="center" readingOrder="0" shrinkToFit="0" vertical="center" wrapText="0"/>
    </xf>
    <xf borderId="0" fillId="8" fontId="23" numFmtId="169" xfId="0" applyAlignment="1" applyFont="1" applyNumberFormat="1">
      <alignment readingOrder="0" shrinkToFit="0" vertical="center" wrapText="0"/>
    </xf>
    <xf borderId="0" fillId="8" fontId="23" numFmtId="0" xfId="0" applyAlignment="1" applyFont="1">
      <alignment readingOrder="0" shrinkToFit="0" vertical="center" wrapText="0"/>
    </xf>
    <xf borderId="0" fillId="8" fontId="25" numFmtId="165" xfId="0" applyAlignment="1" applyFont="1" applyNumberFormat="1">
      <alignment readingOrder="0" shrinkToFit="0" vertical="bottom" wrapText="0"/>
    </xf>
    <xf borderId="0" fillId="8" fontId="25" numFmtId="0" xfId="0" applyAlignment="1" applyFont="1">
      <alignment readingOrder="0" shrinkToFit="0" vertical="bottom" wrapText="0"/>
    </xf>
    <xf borderId="0" fillId="8" fontId="25" numFmtId="0" xfId="0" applyAlignment="1" applyFont="1">
      <alignment readingOrder="0" shrinkToFit="0" vertical="bottom" wrapText="0"/>
    </xf>
    <xf borderId="0" fillId="0" fontId="7" numFmtId="0" xfId="0" applyFont="1"/>
    <xf borderId="0" fillId="6" fontId="26" numFmtId="0" xfId="0" applyAlignment="1" applyFont="1">
      <alignment readingOrder="0" shrinkToFit="0" vertical="center" wrapText="0"/>
    </xf>
    <xf borderId="0" fillId="6" fontId="26" numFmtId="0" xfId="0" applyAlignment="1" applyFont="1">
      <alignment shrinkToFit="0" vertical="center" wrapText="0"/>
    </xf>
    <xf borderId="0" fillId="6" fontId="26" numFmtId="0" xfId="0" applyAlignment="1" applyFont="1">
      <alignment horizontal="center" readingOrder="0" shrinkToFit="0" vertical="center" wrapText="0"/>
    </xf>
    <xf borderId="0" fillId="6" fontId="26" numFmtId="169" xfId="0" applyAlignment="1" applyFont="1" applyNumberFormat="1">
      <alignment readingOrder="0" shrinkToFit="0" vertical="center" wrapText="0"/>
    </xf>
    <xf borderId="0" fillId="6" fontId="26" numFmtId="0" xfId="0" applyAlignment="1" applyFont="1">
      <alignment readingOrder="0" shrinkToFit="0" vertical="center" wrapText="0"/>
    </xf>
    <xf borderId="0" fillId="6" fontId="27" numFmtId="165" xfId="0" applyAlignment="1" applyFont="1" applyNumberFormat="1">
      <alignment readingOrder="0" shrinkToFit="0" vertical="bottom" wrapText="0"/>
    </xf>
    <xf borderId="0" fillId="6" fontId="27" numFmtId="0" xfId="0" applyAlignment="1" applyFont="1">
      <alignment readingOrder="0" shrinkToFit="0" vertical="bottom" wrapText="0"/>
    </xf>
    <xf borderId="0" fillId="6" fontId="27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vertical="center" wrapText="0"/>
    </xf>
    <xf borderId="0" fillId="4" fontId="16" numFmtId="0" xfId="0" applyAlignment="1" applyFont="1">
      <alignment shrinkToFit="0" vertical="center" wrapText="0"/>
    </xf>
    <xf borderId="0" fillId="4" fontId="16" numFmtId="0" xfId="0" applyAlignment="1" applyFont="1">
      <alignment horizontal="center" readingOrder="0" shrinkToFit="0" vertical="center" wrapText="0"/>
    </xf>
    <xf borderId="0" fillId="4" fontId="16" numFmtId="169" xfId="0" applyAlignment="1" applyFont="1" applyNumberFormat="1">
      <alignment readingOrder="0" shrinkToFit="0" vertical="center" wrapText="0"/>
    </xf>
    <xf borderId="0" fillId="4" fontId="16" numFmtId="0" xfId="0" applyAlignment="1" applyFont="1">
      <alignment readingOrder="0" shrinkToFit="0" vertical="center" wrapText="0"/>
    </xf>
    <xf borderId="0" fillId="4" fontId="19" numFmtId="165" xfId="0" applyAlignment="1" applyFont="1" applyNumberFormat="1">
      <alignment readingOrder="0" shrinkToFit="0" vertical="bottom" wrapText="0"/>
    </xf>
    <xf borderId="0" fillId="4" fontId="19" numFmtId="0" xfId="0" applyAlignment="1" applyFont="1">
      <alignment readingOrder="0" shrinkToFit="0" vertical="bottom" wrapText="0"/>
    </xf>
    <xf borderId="0" fillId="4" fontId="19" numFmtId="0" xfId="0" applyAlignment="1" applyFont="1">
      <alignment readingOrder="0" shrinkToFit="0" vertical="bottom" wrapText="0"/>
    </xf>
    <xf borderId="0" fillId="8" fontId="28" numFmtId="0" xfId="0" applyAlignment="1" applyFont="1">
      <alignment readingOrder="0" shrinkToFit="0" vertical="center" wrapText="0"/>
    </xf>
    <xf borderId="0" fillId="8" fontId="28" numFmtId="0" xfId="0" applyAlignment="1" applyFont="1">
      <alignment shrinkToFit="0" vertical="center" wrapText="0"/>
    </xf>
    <xf borderId="0" fillId="8" fontId="28" numFmtId="0" xfId="0" applyAlignment="1" applyFont="1">
      <alignment horizontal="center" readingOrder="0" shrinkToFit="0" vertical="center" wrapText="0"/>
    </xf>
    <xf borderId="0" fillId="8" fontId="28" numFmtId="169" xfId="0" applyAlignment="1" applyFont="1" applyNumberFormat="1">
      <alignment readingOrder="0" shrinkToFit="0" vertical="center" wrapText="0"/>
    </xf>
    <xf borderId="0" fillId="8" fontId="28" numFmtId="0" xfId="0" applyAlignment="1" applyFont="1">
      <alignment readingOrder="0" shrinkToFit="0" vertical="center" wrapText="0"/>
    </xf>
    <xf borderId="0" fillId="8" fontId="29" numFmtId="165" xfId="0" applyAlignment="1" applyFont="1" applyNumberFormat="1">
      <alignment readingOrder="0" shrinkToFit="0" vertical="bottom" wrapText="0"/>
    </xf>
    <xf borderId="0" fillId="8" fontId="29" numFmtId="0" xfId="0" applyAlignment="1" applyFont="1">
      <alignment readingOrder="0" shrinkToFit="0" vertical="bottom" wrapText="0"/>
    </xf>
    <xf borderId="0" fillId="8" fontId="29" numFmtId="0" xfId="0" applyAlignment="1" applyFont="1">
      <alignment readingOrder="0" shrinkToFit="0" vertical="bottom" wrapText="0"/>
    </xf>
    <xf borderId="0" fillId="9" fontId="30" numFmtId="0" xfId="0" applyAlignment="1" applyFill="1" applyFont="1">
      <alignment readingOrder="0" shrinkToFit="0" vertical="center" wrapText="0"/>
    </xf>
    <xf borderId="0" fillId="9" fontId="31" numFmtId="0" xfId="0" applyAlignment="1" applyFont="1">
      <alignment readingOrder="0" shrinkToFit="0" vertical="center" wrapText="0"/>
    </xf>
    <xf borderId="0" fillId="9" fontId="30" numFmtId="0" xfId="0" applyAlignment="1" applyFont="1">
      <alignment shrinkToFit="0" vertical="center" wrapText="0"/>
    </xf>
    <xf borderId="0" fillId="9" fontId="32" numFmtId="0" xfId="0" applyAlignment="1" applyFont="1">
      <alignment horizontal="center" readingOrder="0" shrinkToFit="0" vertical="center" wrapText="0"/>
    </xf>
    <xf borderId="0" fillId="9" fontId="30" numFmtId="169" xfId="0" applyAlignment="1" applyFont="1" applyNumberFormat="1">
      <alignment readingOrder="0" shrinkToFit="0" vertical="center" wrapText="0"/>
    </xf>
    <xf borderId="0" fillId="9" fontId="30" numFmtId="0" xfId="0" applyAlignment="1" applyFont="1">
      <alignment readingOrder="0" shrinkToFit="0" vertical="center" wrapText="0"/>
    </xf>
    <xf borderId="0" fillId="9" fontId="33" numFmtId="165" xfId="0" applyAlignment="1" applyFont="1" applyNumberFormat="1">
      <alignment readingOrder="0" shrinkToFit="0" vertical="bottom" wrapText="0"/>
    </xf>
    <xf borderId="0" fillId="9" fontId="33" numFmtId="0" xfId="0" applyAlignment="1" applyFont="1">
      <alignment readingOrder="0" shrinkToFit="0" vertical="bottom" wrapText="0"/>
    </xf>
    <xf borderId="0" fillId="9" fontId="33" numFmtId="0" xfId="0" applyAlignment="1" applyFont="1">
      <alignment readingOrder="0" shrinkToFit="0" vertical="bottom" wrapText="0"/>
    </xf>
    <xf borderId="0" fillId="10" fontId="34" numFmtId="0" xfId="0" applyAlignment="1" applyFill="1" applyFont="1">
      <alignment readingOrder="0" shrinkToFit="0" vertical="center" wrapText="0"/>
    </xf>
    <xf borderId="0" fillId="10" fontId="35" numFmtId="0" xfId="0" applyAlignment="1" applyFont="1">
      <alignment readingOrder="0" shrinkToFit="0" vertical="center" wrapText="0"/>
    </xf>
    <xf borderId="0" fillId="10" fontId="34" numFmtId="0" xfId="0" applyAlignment="1" applyFont="1">
      <alignment shrinkToFit="0" vertical="center" wrapText="0"/>
    </xf>
    <xf borderId="0" fillId="10" fontId="34" numFmtId="0" xfId="0" applyAlignment="1" applyFont="1">
      <alignment horizontal="center" readingOrder="0" shrinkToFit="0" vertical="center" wrapText="0"/>
    </xf>
    <xf borderId="0" fillId="10" fontId="34" numFmtId="169" xfId="0" applyAlignment="1" applyFont="1" applyNumberFormat="1">
      <alignment readingOrder="0" shrinkToFit="0" vertical="center" wrapText="0"/>
    </xf>
    <xf borderId="0" fillId="10" fontId="34" numFmtId="0" xfId="0" applyAlignment="1" applyFont="1">
      <alignment readingOrder="0" shrinkToFit="0" vertical="center" wrapText="0"/>
    </xf>
    <xf borderId="0" fillId="10" fontId="36" numFmtId="165" xfId="0" applyAlignment="1" applyFont="1" applyNumberFormat="1">
      <alignment readingOrder="0" shrinkToFit="0" vertical="bottom" wrapText="0"/>
    </xf>
    <xf borderId="0" fillId="10" fontId="36" numFmtId="0" xfId="0" applyAlignment="1" applyFont="1">
      <alignment readingOrder="0" shrinkToFit="0" vertical="bottom" wrapText="0"/>
    </xf>
    <xf borderId="0" fillId="10" fontId="36" numFmtId="0" xfId="0" applyAlignment="1" applyFont="1">
      <alignment readingOrder="0" shrinkToFit="0" vertical="bottom" wrapText="0"/>
    </xf>
    <xf borderId="0" fillId="3" fontId="13" numFmtId="0" xfId="0" applyAlignment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3" numFmtId="0" xfId="0" applyAlignment="1" applyFont="1">
      <alignment shrinkToFit="0" vertical="center" wrapText="0"/>
    </xf>
    <xf borderId="0" fillId="3" fontId="13" numFmtId="0" xfId="0" applyAlignment="1" applyFont="1">
      <alignment horizontal="center" readingOrder="0" shrinkToFit="0" vertical="center" wrapText="0"/>
    </xf>
    <xf borderId="0" fillId="3" fontId="13" numFmtId="169" xfId="0" applyAlignment="1" applyFont="1" applyNumberFormat="1">
      <alignment readingOrder="0" shrinkToFit="0" vertical="center" wrapText="0"/>
    </xf>
    <xf borderId="0" fillId="3" fontId="15" numFmtId="165" xfId="0" applyAlignment="1" applyFont="1" applyNumberFormat="1">
      <alignment readingOrder="0" shrinkToFit="0" vertical="bottom" wrapText="0"/>
    </xf>
    <xf borderId="0" fillId="3" fontId="15" numFmtId="0" xfId="0" applyAlignment="1" applyFont="1">
      <alignment readingOrder="0" shrinkToFit="0" vertical="bottom" wrapText="0"/>
    </xf>
    <xf borderId="0" fillId="3" fontId="15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4" fontId="37" numFmtId="0" xfId="0" applyAlignment="1" applyFont="1">
      <alignment readingOrder="0" shrinkToFit="0" vertical="center" wrapText="0"/>
    </xf>
    <xf borderId="0" fillId="4" fontId="37" numFmtId="169" xfId="0" applyAlignment="1" applyFont="1" applyNumberFormat="1">
      <alignment readingOrder="0" shrinkToFit="0" vertical="center" wrapText="0"/>
    </xf>
    <xf borderId="0" fillId="4" fontId="38" numFmtId="49" xfId="0" applyAlignment="1" applyFont="1" applyNumberFormat="1">
      <alignment readingOrder="0" shrinkToFit="0" vertical="center" wrapText="0"/>
    </xf>
    <xf borderId="0" fillId="4" fontId="37" numFmtId="49" xfId="0" applyAlignment="1" applyFont="1" applyNumberFormat="1">
      <alignment readingOrder="0" shrinkToFit="0" vertical="center" wrapText="0"/>
    </xf>
    <xf borderId="0" fillId="4" fontId="37" numFmtId="165" xfId="0" applyAlignment="1" applyFont="1" applyNumberFormat="1">
      <alignment readingOrder="0" shrinkToFit="0" vertical="center" wrapText="0"/>
    </xf>
    <xf borderId="0" fillId="4" fontId="37" numFmtId="0" xfId="0" applyAlignment="1" applyFont="1">
      <alignment horizontal="right" readingOrder="0" shrinkToFit="0" vertical="bottom" wrapText="0"/>
    </xf>
    <xf borderId="0" fillId="4" fontId="39" numFmtId="0" xfId="0" applyAlignment="1" applyFont="1">
      <alignment horizontal="center" readingOrder="0" shrinkToFit="0" vertical="center" wrapText="0"/>
    </xf>
    <xf borderId="0" fillId="4" fontId="15" numFmtId="0" xfId="0" applyAlignment="1" applyFont="1">
      <alignment readingOrder="0" shrinkToFit="0" vertical="center" wrapText="0"/>
    </xf>
    <xf borderId="0" fillId="9" fontId="40" numFmtId="0" xfId="0" applyAlignment="1" applyFont="1">
      <alignment readingOrder="0" shrinkToFit="0" vertical="center" wrapText="0"/>
    </xf>
    <xf borderId="0" fillId="9" fontId="40" numFmtId="169" xfId="0" applyAlignment="1" applyFont="1" applyNumberFormat="1">
      <alignment readingOrder="0" shrinkToFit="0" vertical="center" wrapText="0"/>
    </xf>
    <xf borderId="0" fillId="9" fontId="41" numFmtId="49" xfId="0" applyAlignment="1" applyFont="1" applyNumberFormat="1">
      <alignment readingOrder="0" shrinkToFit="0" vertical="center" wrapText="0"/>
    </xf>
    <xf borderId="0" fillId="9" fontId="40" numFmtId="49" xfId="0" applyAlignment="1" applyFont="1" applyNumberFormat="1">
      <alignment readingOrder="0" shrinkToFit="0" vertical="center" wrapText="0"/>
    </xf>
    <xf borderId="0" fillId="9" fontId="40" numFmtId="165" xfId="0" applyAlignment="1" applyFont="1" applyNumberFormat="1">
      <alignment readingOrder="0" shrinkToFit="0" vertical="center" wrapText="0"/>
    </xf>
    <xf borderId="0" fillId="9" fontId="40" numFmtId="0" xfId="0" applyAlignment="1" applyFont="1">
      <alignment horizontal="right" readingOrder="0" shrinkToFit="0" vertical="bottom" wrapText="0"/>
    </xf>
    <xf borderId="0" fillId="9" fontId="42" numFmtId="0" xfId="0" applyAlignment="1" applyFont="1">
      <alignment horizontal="center" readingOrder="0" shrinkToFit="0" vertical="center" wrapText="0"/>
    </xf>
    <xf borderId="0" fillId="9" fontId="15" numFmtId="0" xfId="0" applyAlignment="1" applyFont="1">
      <alignment readingOrder="0" shrinkToFit="0" vertical="center" wrapText="0"/>
    </xf>
    <xf borderId="0" fillId="4" fontId="37" numFmtId="0" xfId="0" applyAlignment="1" applyFont="1">
      <alignment horizontal="right" shrinkToFit="0" vertical="bottom" wrapText="0"/>
    </xf>
    <xf borderId="0" fillId="4" fontId="37" numFmtId="169" xfId="0" applyAlignment="1" applyFont="1" applyNumberFormat="1">
      <alignment shrinkToFit="0" vertical="bottom" wrapText="0"/>
    </xf>
    <xf borderId="0" fillId="4" fontId="38" numFmtId="49" xfId="0" applyAlignment="1" applyFont="1" applyNumberFormat="1">
      <alignment shrinkToFit="0" vertical="bottom" wrapText="0"/>
    </xf>
    <xf borderId="0" fillId="4" fontId="37" numFmtId="49" xfId="0" applyAlignment="1" applyFont="1" applyNumberFormat="1">
      <alignment shrinkToFit="0" vertical="bottom" wrapText="0"/>
    </xf>
    <xf borderId="0" fillId="4" fontId="37" numFmtId="165" xfId="0" applyAlignment="1" applyFont="1" applyNumberFormat="1">
      <alignment horizontal="right" shrinkToFit="0" vertical="bottom" wrapText="0"/>
    </xf>
    <xf borderId="0" fillId="9" fontId="40" numFmtId="0" xfId="0" applyAlignment="1" applyFont="1">
      <alignment horizontal="right" shrinkToFit="0" vertical="bottom" wrapText="0"/>
    </xf>
    <xf borderId="0" fillId="9" fontId="40" numFmtId="169" xfId="0" applyAlignment="1" applyFont="1" applyNumberFormat="1">
      <alignment shrinkToFit="0" vertical="bottom" wrapText="0"/>
    </xf>
    <xf borderId="0" fillId="9" fontId="41" numFmtId="49" xfId="0" applyAlignment="1" applyFont="1" applyNumberFormat="1">
      <alignment shrinkToFit="0" vertical="bottom" wrapText="0"/>
    </xf>
    <xf borderId="0" fillId="9" fontId="40" numFmtId="49" xfId="0" applyAlignment="1" applyFont="1" applyNumberFormat="1">
      <alignment shrinkToFit="0" vertical="bottom" wrapText="0"/>
    </xf>
    <xf borderId="0" fillId="9" fontId="40" numFmtId="165" xfId="0" applyAlignment="1" applyFont="1" applyNumberFormat="1">
      <alignment horizontal="right" shrinkToFit="0" vertical="bottom" wrapText="0"/>
    </xf>
    <xf borderId="0" fillId="6" fontId="43" numFmtId="0" xfId="0" applyAlignment="1" applyFont="1">
      <alignment horizontal="right" shrinkToFit="0" vertical="bottom" wrapText="0"/>
    </xf>
    <xf borderId="0" fillId="6" fontId="43" numFmtId="169" xfId="0" applyAlignment="1" applyFont="1" applyNumberFormat="1">
      <alignment shrinkToFit="0" vertical="bottom" wrapText="0"/>
    </xf>
    <xf borderId="0" fillId="6" fontId="44" numFmtId="49" xfId="0" applyAlignment="1" applyFont="1" applyNumberFormat="1">
      <alignment shrinkToFit="0" vertical="bottom" wrapText="0"/>
    </xf>
    <xf borderId="0" fillId="6" fontId="43" numFmtId="49" xfId="0" applyAlignment="1" applyFont="1" applyNumberFormat="1">
      <alignment shrinkToFit="0" vertical="bottom" wrapText="0"/>
    </xf>
    <xf borderId="0" fillId="6" fontId="43" numFmtId="165" xfId="0" applyAlignment="1" applyFont="1" applyNumberFormat="1">
      <alignment horizontal="right" shrinkToFit="0" vertical="bottom" wrapText="0"/>
    </xf>
    <xf borderId="0" fillId="6" fontId="27" numFmtId="0" xfId="0" applyAlignment="1" applyFont="1">
      <alignment horizontal="center" readingOrder="0" shrinkToFit="0" vertical="center" wrapText="0"/>
    </xf>
    <xf borderId="0" fillId="6" fontId="15" numFmtId="0" xfId="0" applyAlignment="1" applyFont="1">
      <alignment readingOrder="0" shrinkToFit="0" vertical="center" wrapText="0"/>
    </xf>
    <xf borderId="0" fillId="5" fontId="45" numFmtId="0" xfId="0" applyAlignment="1" applyFont="1">
      <alignment horizontal="right" shrinkToFit="0" vertical="bottom" wrapText="0"/>
    </xf>
    <xf borderId="0" fillId="5" fontId="45" numFmtId="169" xfId="0" applyAlignment="1" applyFont="1" applyNumberFormat="1">
      <alignment shrinkToFit="0" vertical="bottom" wrapText="0"/>
    </xf>
    <xf borderId="0" fillId="5" fontId="46" numFmtId="49" xfId="0" applyAlignment="1" applyFont="1" applyNumberFormat="1">
      <alignment shrinkToFit="0" vertical="bottom" wrapText="0"/>
    </xf>
    <xf borderId="0" fillId="5" fontId="45" numFmtId="49" xfId="0" applyAlignment="1" applyFont="1" applyNumberFormat="1">
      <alignment shrinkToFit="0" vertical="bottom" wrapText="0"/>
    </xf>
    <xf borderId="0" fillId="5" fontId="45" numFmtId="165" xfId="0" applyAlignment="1" applyFont="1" applyNumberFormat="1">
      <alignment horizontal="right" shrinkToFit="0" vertical="bottom" wrapText="0"/>
    </xf>
    <xf borderId="0" fillId="5" fontId="15" numFmtId="0" xfId="0" applyAlignment="1" applyFont="1">
      <alignment horizontal="center" readingOrder="0" shrinkToFit="0" vertical="center" wrapText="0"/>
    </xf>
    <xf borderId="0" fillId="5" fontId="15" numFmtId="0" xfId="0" applyAlignment="1" applyFont="1">
      <alignment readingOrder="0" shrinkToFit="0" vertical="center" wrapText="0"/>
    </xf>
    <xf borderId="0" fillId="7" fontId="47" numFmtId="0" xfId="0" applyAlignment="1" applyFont="1">
      <alignment horizontal="right" shrinkToFit="0" vertical="bottom" wrapText="0"/>
    </xf>
    <xf borderId="0" fillId="7" fontId="47" numFmtId="169" xfId="0" applyAlignment="1" applyFont="1" applyNumberFormat="1">
      <alignment shrinkToFit="0" vertical="bottom" wrapText="0"/>
    </xf>
    <xf borderId="0" fillId="7" fontId="48" numFmtId="49" xfId="0" applyAlignment="1" applyFont="1" applyNumberFormat="1">
      <alignment shrinkToFit="0" vertical="bottom" wrapText="0"/>
    </xf>
    <xf borderId="0" fillId="7" fontId="47" numFmtId="49" xfId="0" applyAlignment="1" applyFont="1" applyNumberFormat="1">
      <alignment shrinkToFit="0" vertical="bottom" wrapText="0"/>
    </xf>
    <xf borderId="0" fillId="7" fontId="47" numFmtId="165" xfId="0" applyAlignment="1" applyFont="1" applyNumberFormat="1">
      <alignment horizontal="right" shrinkToFit="0" vertical="bottom" wrapText="0"/>
    </xf>
    <xf borderId="0" fillId="7" fontId="49" numFmtId="0" xfId="0" applyAlignment="1" applyFont="1">
      <alignment horizontal="center" readingOrder="0" shrinkToFit="0" vertical="center" wrapText="0"/>
    </xf>
    <xf borderId="0" fillId="7" fontId="15" numFmtId="0" xfId="0" applyAlignment="1" applyFont="1">
      <alignment readingOrder="0" shrinkToFit="0" vertical="center" wrapText="0"/>
    </xf>
    <xf borderId="0" fillId="6" fontId="37" numFmtId="0" xfId="0" applyAlignment="1" applyFont="1">
      <alignment horizontal="right" shrinkToFit="0" vertical="bottom" wrapText="0"/>
    </xf>
    <xf borderId="0" fillId="6" fontId="37" numFmtId="169" xfId="0" applyAlignment="1" applyFont="1" applyNumberFormat="1">
      <alignment shrinkToFit="0" vertical="bottom" wrapText="0"/>
    </xf>
    <xf borderId="0" fillId="6" fontId="37" numFmtId="49" xfId="0" applyAlignment="1" applyFont="1" applyNumberFormat="1">
      <alignment shrinkToFit="0" vertical="bottom" wrapText="0"/>
    </xf>
    <xf borderId="0" fillId="6" fontId="37" numFmtId="165" xfId="0" applyAlignment="1" applyFont="1" applyNumberFormat="1">
      <alignment horizontal="right" shrinkToFit="0" vertical="bottom" wrapText="0"/>
    </xf>
    <xf borderId="0" fillId="6" fontId="39" numFmtId="0" xfId="0" applyAlignment="1" applyFont="1">
      <alignment horizontal="center" readingOrder="0" shrinkToFit="0" vertical="center" wrapText="0"/>
    </xf>
    <xf borderId="0" fillId="8" fontId="50" numFmtId="0" xfId="0" applyAlignment="1" applyFont="1">
      <alignment horizontal="right" shrinkToFit="0" vertical="bottom" wrapText="0"/>
    </xf>
    <xf borderId="0" fillId="8" fontId="50" numFmtId="169" xfId="0" applyAlignment="1" applyFont="1" applyNumberFormat="1">
      <alignment shrinkToFit="0" vertical="bottom" wrapText="0"/>
    </xf>
    <xf borderId="0" fillId="8" fontId="51" numFmtId="49" xfId="0" applyAlignment="1" applyFont="1" applyNumberFormat="1">
      <alignment shrinkToFit="0" vertical="bottom" wrapText="0"/>
    </xf>
    <xf borderId="0" fillId="8" fontId="50" numFmtId="49" xfId="0" applyAlignment="1" applyFont="1" applyNumberFormat="1">
      <alignment shrinkToFit="0" vertical="bottom" wrapText="0"/>
    </xf>
    <xf borderId="0" fillId="8" fontId="50" numFmtId="165" xfId="0" applyAlignment="1" applyFont="1" applyNumberFormat="1">
      <alignment horizontal="right" readingOrder="0" shrinkToFit="0" vertical="bottom" wrapText="0"/>
    </xf>
    <xf borderId="0" fillId="8" fontId="50" numFmtId="165" xfId="0" applyAlignment="1" applyFont="1" applyNumberFormat="1">
      <alignment horizontal="right" shrinkToFit="0" vertical="bottom" wrapText="0"/>
    </xf>
    <xf borderId="0" fillId="8" fontId="22" numFmtId="0" xfId="0" applyAlignment="1" applyFont="1">
      <alignment horizontal="center" readingOrder="0" shrinkToFit="0" vertical="center" wrapText="0"/>
    </xf>
    <xf borderId="0" fillId="8" fontId="15" numFmtId="0" xfId="0" applyAlignment="1" applyFont="1">
      <alignment readingOrder="0" shrinkToFit="0" vertical="center" wrapText="0"/>
    </xf>
    <xf borderId="0" fillId="4" fontId="52" numFmtId="0" xfId="0" applyAlignment="1" applyFont="1">
      <alignment readingOrder="0" shrinkToFit="0" vertical="center" wrapText="0"/>
    </xf>
    <xf borderId="0" fillId="4" fontId="52" numFmtId="169" xfId="0" applyAlignment="1" applyFont="1" applyNumberFormat="1">
      <alignment readingOrder="0" shrinkToFit="0" vertical="center" wrapText="0"/>
    </xf>
    <xf borderId="0" fillId="4" fontId="52" numFmtId="49" xfId="0" applyAlignment="1" applyFont="1" applyNumberFormat="1">
      <alignment readingOrder="0" shrinkToFit="0" vertical="center" wrapText="0"/>
    </xf>
    <xf borderId="0" fillId="4" fontId="52" numFmtId="165" xfId="0" applyAlignment="1" applyFont="1" applyNumberFormat="1">
      <alignment readingOrder="0" shrinkToFit="0" vertical="center" wrapText="0"/>
    </xf>
    <xf borderId="0" fillId="4" fontId="52" numFmtId="0" xfId="0" applyAlignment="1" applyFont="1">
      <alignment horizontal="right" readingOrder="0" shrinkToFit="0" vertical="bottom" wrapText="0"/>
    </xf>
    <xf borderId="0" fillId="4" fontId="52" numFmtId="0" xfId="0" applyAlignment="1" applyFont="1">
      <alignment horizontal="right" shrinkToFit="0" vertical="bottom" wrapText="0"/>
    </xf>
    <xf borderId="0" fillId="4" fontId="12" numFmtId="0" xfId="0" applyAlignment="1" applyFont="1">
      <alignment horizontal="center" readingOrder="0" shrinkToFit="0" vertical="center" wrapText="0"/>
    </xf>
    <xf borderId="0" fillId="11" fontId="45" numFmtId="0" xfId="0" applyAlignment="1" applyFill="1" applyFont="1">
      <alignment horizontal="right" shrinkToFit="0" vertical="bottom" wrapText="0"/>
    </xf>
    <xf borderId="0" fillId="11" fontId="45" numFmtId="169" xfId="0" applyAlignment="1" applyFont="1" applyNumberFormat="1">
      <alignment shrinkToFit="0" vertical="bottom" wrapText="0"/>
    </xf>
    <xf borderId="0" fillId="11" fontId="53" numFmtId="49" xfId="0" applyAlignment="1" applyFont="1" applyNumberFormat="1">
      <alignment shrinkToFit="0" vertical="bottom" wrapText="0"/>
    </xf>
    <xf borderId="0" fillId="11" fontId="45" numFmtId="49" xfId="0" applyAlignment="1" applyFont="1" applyNumberFormat="1">
      <alignment shrinkToFit="0" vertical="bottom" wrapText="0"/>
    </xf>
    <xf borderId="0" fillId="11" fontId="45" numFmtId="165" xfId="0" applyAlignment="1" applyFont="1" applyNumberFormat="1">
      <alignment horizontal="right" shrinkToFit="0" vertical="bottom" wrapText="0"/>
    </xf>
    <xf borderId="0" fillId="11" fontId="15" numFmtId="0" xfId="0" applyAlignment="1" applyFont="1">
      <alignment horizontal="center" readingOrder="0" shrinkToFit="0" vertical="center" wrapText="0"/>
    </xf>
    <xf borderId="0" fillId="11" fontId="1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7" numFmtId="169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7" numFmtId="2" xfId="0" applyAlignment="1" applyFont="1" applyNumberFormat="1">
      <alignment readingOrder="0"/>
    </xf>
    <xf borderId="0" fillId="0" fontId="7" numFmtId="1" xfId="0" applyAlignment="1" applyFont="1" applyNumberFormat="1">
      <alignment readingOrder="0"/>
    </xf>
    <xf borderId="0" fillId="12" fontId="54" numFmtId="0" xfId="0" applyAlignment="1" applyFill="1" applyFont="1">
      <alignment readingOrder="0"/>
    </xf>
    <xf borderId="0" fillId="12" fontId="54" numFmtId="0" xfId="0" applyFont="1"/>
    <xf borderId="0" fillId="12" fontId="54" numFmtId="169" xfId="0" applyFont="1" applyNumberFormat="1"/>
    <xf borderId="0" fillId="12" fontId="54" numFmtId="4" xfId="0" applyFont="1" applyNumberFormat="1"/>
    <xf borderId="0" fillId="12" fontId="54" numFmtId="2" xfId="0" applyFont="1" applyNumberFormat="1"/>
    <xf borderId="0" fillId="12" fontId="54" numFmtId="1" xfId="0" applyFont="1" applyNumberFormat="1"/>
    <xf borderId="0" fillId="5" fontId="54" numFmtId="0" xfId="0" applyAlignment="1" applyFont="1">
      <alignment readingOrder="0"/>
    </xf>
    <xf borderId="0" fillId="5" fontId="55" numFmtId="0" xfId="0" applyAlignment="1" applyFont="1">
      <alignment readingOrder="0"/>
    </xf>
    <xf borderId="0" fillId="5" fontId="54" numFmtId="169" xfId="0" applyAlignment="1" applyFont="1" applyNumberFormat="1">
      <alignment readingOrder="0"/>
    </xf>
    <xf borderId="0" fillId="5" fontId="54" numFmtId="4" xfId="0" applyAlignment="1" applyFont="1" applyNumberFormat="1">
      <alignment readingOrder="0"/>
    </xf>
    <xf borderId="0" fillId="5" fontId="54" numFmtId="2" xfId="0" applyAlignment="1" applyFont="1" applyNumberFormat="1">
      <alignment readingOrder="0"/>
    </xf>
    <xf borderId="0" fillId="5" fontId="54" numFmtId="1" xfId="0" applyAlignment="1" applyFont="1" applyNumberFormat="1">
      <alignment readingOrder="0"/>
    </xf>
    <xf borderId="0" fillId="4" fontId="54" numFmtId="0" xfId="0" applyAlignment="1" applyFont="1">
      <alignment readingOrder="0"/>
    </xf>
    <xf borderId="0" fillId="4" fontId="56" numFmtId="0" xfId="0" applyAlignment="1" applyFont="1">
      <alignment readingOrder="0"/>
    </xf>
    <xf borderId="0" fillId="4" fontId="54" numFmtId="169" xfId="0" applyAlignment="1" applyFont="1" applyNumberFormat="1">
      <alignment readingOrder="0"/>
    </xf>
    <xf borderId="0" fillId="4" fontId="54" numFmtId="4" xfId="0" applyAlignment="1" applyFont="1" applyNumberFormat="1">
      <alignment readingOrder="0"/>
    </xf>
    <xf borderId="0" fillId="4" fontId="54" numFmtId="2" xfId="0" applyAlignment="1" applyFont="1" applyNumberFormat="1">
      <alignment readingOrder="0"/>
    </xf>
    <xf borderId="0" fillId="4" fontId="54" numFmtId="1" xfId="0" applyAlignment="1" applyFont="1" applyNumberFormat="1">
      <alignment readingOrder="0"/>
    </xf>
    <xf borderId="0" fillId="11" fontId="54" numFmtId="0" xfId="0" applyAlignment="1" applyFont="1">
      <alignment readingOrder="0"/>
    </xf>
    <xf borderId="0" fillId="11" fontId="57" numFmtId="0" xfId="0" applyAlignment="1" applyFont="1">
      <alignment readingOrder="0"/>
    </xf>
    <xf borderId="0" fillId="11" fontId="54" numFmtId="169" xfId="0" applyAlignment="1" applyFont="1" applyNumberFormat="1">
      <alignment readingOrder="0"/>
    </xf>
    <xf borderId="0" fillId="11" fontId="54" numFmtId="4" xfId="0" applyAlignment="1" applyFont="1" applyNumberFormat="1">
      <alignment readingOrder="0"/>
    </xf>
    <xf borderId="0" fillId="11" fontId="54" numFmtId="2" xfId="0" applyAlignment="1" applyFont="1" applyNumberFormat="1">
      <alignment readingOrder="0"/>
    </xf>
    <xf borderId="0" fillId="11" fontId="54" numFmtId="1" xfId="0" applyAlignment="1" applyFont="1" applyNumberFormat="1">
      <alignment readingOrder="0"/>
    </xf>
    <xf borderId="0" fillId="6" fontId="54" numFmtId="0" xfId="0" applyAlignment="1" applyFont="1">
      <alignment readingOrder="0"/>
    </xf>
    <xf borderId="0" fillId="6" fontId="58" numFmtId="0" xfId="0" applyAlignment="1" applyFont="1">
      <alignment readingOrder="0"/>
    </xf>
    <xf borderId="0" fillId="6" fontId="54" numFmtId="169" xfId="0" applyAlignment="1" applyFont="1" applyNumberFormat="1">
      <alignment readingOrder="0"/>
    </xf>
    <xf borderId="0" fillId="6" fontId="54" numFmtId="4" xfId="0" applyAlignment="1" applyFont="1" applyNumberFormat="1">
      <alignment readingOrder="0"/>
    </xf>
    <xf borderId="0" fillId="6" fontId="54" numFmtId="2" xfId="0" applyAlignment="1" applyFont="1" applyNumberFormat="1">
      <alignment readingOrder="0"/>
    </xf>
    <xf borderId="0" fillId="6" fontId="54" numFmtId="1" xfId="0" applyAlignment="1" applyFont="1" applyNumberFormat="1">
      <alignment readingOrder="0"/>
    </xf>
    <xf borderId="0" fillId="12" fontId="54" numFmtId="4" xfId="0" applyAlignment="1" applyFont="1" applyNumberFormat="1">
      <alignment readingOrder="0"/>
    </xf>
    <xf borderId="0" fillId="12" fontId="54" numFmtId="2" xfId="0" applyAlignment="1" applyFont="1" applyNumberFormat="1">
      <alignment readingOrder="0"/>
    </xf>
    <xf borderId="0" fillId="12" fontId="54" numFmtId="1" xfId="0" applyAlignment="1" applyFont="1" applyNumberFormat="1">
      <alignment readingOrder="0"/>
    </xf>
    <xf borderId="0" fillId="3" fontId="13" numFmtId="0" xfId="0" applyFont="1"/>
    <xf borderId="0" fillId="3" fontId="13" numFmtId="169" xfId="0" applyFont="1" applyNumberFormat="1"/>
    <xf borderId="0" fillId="3" fontId="13" numFmtId="4" xfId="0" applyFont="1" applyNumberFormat="1"/>
    <xf borderId="0" fillId="3" fontId="13" numFmtId="2" xfId="0" applyFont="1" applyNumberFormat="1"/>
    <xf borderId="0" fillId="3" fontId="13" numFmtId="1" xfId="0" applyFont="1" applyNumberFormat="1"/>
    <xf borderId="0" fillId="7" fontId="54" numFmtId="0" xfId="0" applyAlignment="1" applyFont="1">
      <alignment readingOrder="0"/>
    </xf>
    <xf borderId="0" fillId="7" fontId="59" numFmtId="0" xfId="0" applyAlignment="1" applyFont="1">
      <alignment readingOrder="0"/>
    </xf>
    <xf borderId="0" fillId="7" fontId="54" numFmtId="169" xfId="0" applyAlignment="1" applyFont="1" applyNumberFormat="1">
      <alignment readingOrder="0"/>
    </xf>
    <xf borderId="0" fillId="7" fontId="54" numFmtId="4" xfId="0" applyAlignment="1" applyFont="1" applyNumberFormat="1">
      <alignment readingOrder="0"/>
    </xf>
    <xf borderId="0" fillId="7" fontId="54" numFmtId="2" xfId="0" applyAlignment="1" applyFont="1" applyNumberFormat="1">
      <alignment readingOrder="0"/>
    </xf>
    <xf borderId="0" fillId="7" fontId="54" numFmtId="1" xfId="0" applyAlignment="1" applyFont="1" applyNumberFormat="1">
      <alignment readingOrder="0"/>
    </xf>
    <xf borderId="0" fillId="8" fontId="54" numFmtId="0" xfId="0" applyAlignment="1" applyFont="1">
      <alignment readingOrder="0"/>
    </xf>
    <xf borderId="0" fillId="8" fontId="60" numFmtId="0" xfId="0" applyAlignment="1" applyFont="1">
      <alignment readingOrder="0"/>
    </xf>
    <xf borderId="0" fillId="8" fontId="54" numFmtId="169" xfId="0" applyAlignment="1" applyFont="1" applyNumberFormat="1">
      <alignment readingOrder="0"/>
    </xf>
    <xf borderId="0" fillId="8" fontId="54" numFmtId="4" xfId="0" applyAlignment="1" applyFont="1" applyNumberFormat="1">
      <alignment readingOrder="0"/>
    </xf>
    <xf borderId="0" fillId="8" fontId="54" numFmtId="2" xfId="0" applyAlignment="1" applyFont="1" applyNumberFormat="1">
      <alignment readingOrder="0"/>
    </xf>
    <xf borderId="0" fillId="8" fontId="54" numFmtId="1" xfId="0" applyAlignment="1" applyFont="1" applyNumberFormat="1">
      <alignment readingOrder="0"/>
    </xf>
    <xf borderId="0" fillId="3" fontId="54" numFmtId="0" xfId="0" applyAlignment="1" applyFont="1">
      <alignment readingOrder="0"/>
    </xf>
    <xf borderId="0" fillId="3" fontId="54" numFmtId="0" xfId="0" applyFont="1"/>
    <xf borderId="0" fillId="3" fontId="54" numFmtId="169" xfId="0" applyFont="1" applyNumberFormat="1"/>
    <xf borderId="0" fillId="3" fontId="54" numFmtId="4" xfId="0" applyAlignment="1" applyFont="1" applyNumberFormat="1">
      <alignment readingOrder="0"/>
    </xf>
    <xf borderId="0" fillId="3" fontId="54" numFmtId="2" xfId="0" applyAlignment="1" applyFont="1" applyNumberFormat="1">
      <alignment readingOrder="0"/>
    </xf>
    <xf borderId="0" fillId="3" fontId="54" numFmtId="1" xfId="0" applyAlignment="1" applyFont="1" applyNumberFormat="1">
      <alignment readingOrder="0"/>
    </xf>
    <xf borderId="0" fillId="0" fontId="7" numFmtId="169" xfId="0" applyFont="1" applyNumberFormat="1"/>
    <xf borderId="0" fillId="0" fontId="7" numFmtId="4" xfId="0" applyFont="1" applyNumberFormat="1"/>
    <xf borderId="0" fillId="0" fontId="7" numFmtId="2" xfId="0" applyFont="1" applyNumberFormat="1"/>
    <xf borderId="0" fillId="0" fontId="7" numFmtId="1" xfId="0" applyFont="1" applyNumberFormat="1"/>
    <xf borderId="0" fillId="9" fontId="54" numFmtId="0" xfId="0" applyAlignment="1" applyFont="1">
      <alignment readingOrder="0"/>
    </xf>
    <xf borderId="0" fillId="9" fontId="61" numFmtId="0" xfId="0" applyAlignment="1" applyFont="1">
      <alignment readingOrder="0"/>
    </xf>
    <xf borderId="0" fillId="9" fontId="54" numFmtId="169" xfId="0" applyAlignment="1" applyFont="1" applyNumberFormat="1">
      <alignment readingOrder="0"/>
    </xf>
    <xf borderId="0" fillId="9" fontId="54" numFmtId="4" xfId="0" applyAlignment="1" applyFont="1" applyNumberFormat="1">
      <alignment readingOrder="0"/>
    </xf>
    <xf borderId="0" fillId="9" fontId="54" numFmtId="2" xfId="0" applyAlignment="1" applyFont="1" applyNumberFormat="1">
      <alignment readingOrder="0"/>
    </xf>
    <xf borderId="0" fillId="9" fontId="54" numFmtId="1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BF9000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666666"/>
      </font>
      <fill>
        <patternFill patternType="none"/>
      </fill>
      <border/>
    </dxf>
    <dxf>
      <font>
        <color rgb="FF0B5394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B7B7B7"/>
      </font>
      <fill>
        <patternFill patternType="none"/>
      </fill>
      <border/>
    </dxf>
  </dxfs>
  <tableStyles count="4">
    <tableStyle count="4" pivot="0" name="Suivi stockvale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chats-style">
      <tableStyleElement dxfId="5" type="headerRow"/>
      <tableStyleElement dxfId="2" type="firstRowStripe"/>
      <tableStyleElement dxfId="6" type="secondRowStripe"/>
    </tableStyle>
    <tableStyle count="4" pivot="0" name="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" displayName="Etat_du_stock_à_date" name="Etat_du_stock_à_date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uivi stockvaleu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V19" displayName="Table_1" name="Table_1" id="2">
  <tableColumns count="22">
    <tableColumn name="ID" id="1"/>
    <tableColumn name="ARTICLES" id="2"/>
    <tableColumn name="MARQUE" id="3"/>
    <tableColumn name="GENRE" id="4"/>
    <tableColumn name="GENRE(data)" id="5"/>
    <tableColumn name="DATE D'ACHAT" id="6"/>
    <tableColumn name="REFERENCE" id="7"/>
    <tableColumn name="GRADE" id="8"/>
    <tableColumn name="FOURNISSEUR/CODE" id="9"/>
    <tableColumn name="MOIS" id="10"/>
    <tableColumn name="MOIS NUM" id="11"/>
    <tableColumn name="DATE DE LIVRAISON " id="12"/>
    <tableColumn name="DELAI DE LIVRAISON" id="13"/>
    <tableColumn name="PRIX D'ACHAT SHIP INCLUS" id="14"/>
    <tableColumn name="QUANTITÉ COMMANDÉE" id="15"/>
    <tableColumn name="QUANTITÉ RECUE" id="16"/>
    <tableColumn name="PRIX UNITAIRE BRUTE" id="17"/>
    <tableColumn name="FRAIS DE LAVAGE" id="18"/>
    <tableColumn name="TOTAL TTC" id="19"/>
    <tableColumn name="PRIX UNITAIRE TTC" id="20"/>
    <tableColumn name="TRACKING" id="21"/>
    <tableColumn name="PRÊT POUR MISE EN STOCK | DATE" id="22"/>
  </tableColumns>
  <tableStyleInfo name="Achats-style" showColumnStripes="0" showFirstColumn="1" showLastColumn="1" showRowStripes="1"/>
</table>
</file>

<file path=xl/tables/table3.xml><?xml version="1.0" encoding="utf-8"?>
<table xmlns="http://schemas.openxmlformats.org/spreadsheetml/2006/main" ref="A1:M380" displayName="Stock" name="Stock" id="3">
  <tableColumns count="13">
    <tableColumn name="ID" id="1"/>
    <tableColumn name="ARTICLES" id="2"/>
    <tableColumn name="SKU(ancienne nomenclature)" id="3"/>
    <tableColumn name="SKU" id="4"/>
    <tableColumn name="DATE DE LIVRAISON" id="5"/>
    <tableColumn name="DATE DE MISE EN STOCK" id="6"/>
    <tableColumn name="MIS EN LIGNE | DATE DE MISE EN LIGNE" id="7"/>
    <tableColumn name="PUBLIÉ | DATE DE PUBLICATION" id="8"/>
    <tableColumn name="VENDU | DATE DE VENTE" id="9"/>
    <tableColumn name="PRIX DE VENTE" id="10"/>
    <tableColumn name="TAILLE" id="11"/>
    <tableColumn name="LOTS" id="12"/>
    <tableColumn name="VALIDER" id="13"/>
  </tableColumns>
  <tableStyleInfo name="Stock-style" showColumnStripes="0" showFirstColumn="1" showLastColumn="1" showRowStripes="1"/>
</table>
</file>

<file path=xl/tables/table4.xml><?xml version="1.0" encoding="utf-8"?>
<table xmlns="http://schemas.openxmlformats.org/spreadsheetml/2006/main" ref="A1:L307" displayName="Ventes" name="Ventes" id="4">
  <tableColumns count="12">
    <tableColumn name="ID" id="1"/>
    <tableColumn name="DATE DE VENTE" id="2"/>
    <tableColumn name="ARTICLE" id="3"/>
    <tableColumn name="SKU" id="4"/>
    <tableColumn name="FRAIS DE COLISSAGE" id="5"/>
    <tableColumn name="PRIX VENTE" id="6"/>
    <tableColumn name="DÉLAI D'IMMOBILISATION" id="7"/>
    <tableColumn name="DELAI DE MISE EN LIGNE" id="8"/>
    <tableColumn name="DELAI DE PUBLICATION" id="9"/>
    <tableColumn name="DELAI DE VENTE " id="10"/>
    <tableColumn name="RETOUR" id="11"/>
    <tableColumn name="LOT" id="12"/>
  </tableColumns>
  <tableStyleInfo name="V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56.38"/>
    <col customWidth="1" min="4" max="4" width="53.25"/>
    <col customWidth="1" hidden="1" min="5" max="5" width="35.75"/>
  </cols>
  <sheetData>
    <row r="1" ht="68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42.5" customHeight="1">
      <c r="A2" s="4" t="s">
        <v>5</v>
      </c>
      <c r="B2" s="5" t="str">
        <f>IF($A2="","","En stock : "&amp;
  IF($A2="TOUTES",
     COUNTIF(Stock!$D:$D,"*-*"),
     COUNTIF(Stock!$D:$D,$A2&amp;"-*")
  )&amp;
" pièces")
</f>
        <v>En stock : 180 pièces</v>
      </c>
      <c r="C2" s="6">
        <f>IF($A2="","",IF(
  $A2="TOUTES",
  SUMPRODUCT(
    (Stock!$D$2:$D1000&lt;&gt;"") *
    IFERROR(VLOOKUP(Stock!$A$2:$A1000,Achats!$A$2:$T1000,20,FALSE),0)
  ),
  COUNTIF(Stock!$D:$D,$A2&amp;"-*") *
  IFERROR(VLOOKUP($A2,Achats!$G:$T,14,FALSE),0)
))
</f>
        <v>1275.6375</v>
      </c>
      <c r="D2" s="7" t="str">
        <f>IF($A2="","","Estimée à "&amp;TEXT(C2,"0,00 €")&amp;
" (~"&amp;TEXT(C2/C2,"0%")&amp;")")
</f>
        <v>Estimée à 1 276 € (~100%)</v>
      </c>
      <c r="E2" s="8" t="str">
        <f>IFERROR(__xludf.DUMMYFUNCTION("SORT(
  UNIQUE(
    FILTER(
      Achats!$G$2:$G1000,
      Achats!$G$2:$G1000&lt;&gt;""""
    )
  )
)
"),"JCR")</f>
        <v>JCR</v>
      </c>
      <c r="J2" s="9"/>
    </row>
    <row r="3" ht="301.5" customHeight="1">
      <c r="A3" s="10"/>
      <c r="B3" s="11" t="str">
        <f>IF($A2="","","Vendues : "&amp;
  IF($A2="TOUTES",
     COUNTIF(Ventes!$D:$D,"*-*"),
     COUNTIF(Ventes!$D:$D,$A2&amp;"-*")
  )&amp;
" pièces")
</f>
        <v>Vendues : 156 pièces</v>
      </c>
      <c r="C3" s="6">
        <f>IF($A2="","",IF($A2="TOUTES",
   SUMIF(Ventes!$D:$D,"*-*",Ventes!$F:$F),
   SUMIF(Ventes!$D:$D,$A2&amp;"-*",Ventes!$F:$F)
))
</f>
        <v>2606.09</v>
      </c>
      <c r="D3" s="12" t="str">
        <f>IF($A2="","" ,
   IF($A2="TOUTES" ,
      LET(
         ventes, SUM(Ventes!$F$2:$F$1002) ,
         marge,  SUMPRODUCT(
                   (Ventes!$D$2:$D$1002&lt;&gt;"") *
                   (
                     Ventes!$F$2:$F$1002
                     - IFERROR(
                         VLOOKUP(
                           LEFT(Ventes!$D$2:$D$1002,SEARCH("-",Ventes!$D$2:$D$1002)-1) ,
                           Achats!$G$2:$T$1000 ,
                           14 ,
                           FALSE
                         ) ,
                         0
                       )
                   )
                 ) ,
         cout,   ventes - marge ,
         ""&amp;TEXT(marge,"0,00 €")&amp;
         " ("&amp;TEXT(marge/cout,"0%")&amp;")"
      ) ,
      LET(
         ventes, SUMIF(Ventes!$D:$D,$A2&amp;"-*",Ventes!$F:$F) ,
         marge,  ventes
                 - COUNTIF(Ventes!$D:$D,$A2&amp;"-*")
                   * IFERROR(VLOOKUP($A2,Achats!$G:$T,14,FALSE),0) ,
         cout,   ventes - marge ,
         ""&amp;TEXT(marge,"0,00 €")&amp;
         " ("&amp;TEXT(marge/cout,"0%")&amp;")"
      )
   )
)
</f>
        <v>1 501 € (136%)</v>
      </c>
      <c r="E3" s="8" t="str">
        <f>IFERROR(__xludf.DUMMYFUNCTION("""COMPUTED_VALUE"""),"JLF")</f>
        <v>JLF</v>
      </c>
    </row>
    <row r="4">
      <c r="A4" s="13"/>
      <c r="B4" s="14"/>
      <c r="C4" s="15"/>
      <c r="D4" s="8"/>
      <c r="E4" s="8" t="str">
        <f>IFERROR(__xludf.DUMMYFUNCTION("""COMPUTED_VALUE"""),"JLFK")</f>
        <v>JLFK</v>
      </c>
    </row>
    <row r="5">
      <c r="B5" s="16"/>
      <c r="C5" s="17"/>
      <c r="D5" s="8"/>
      <c r="E5" s="8" t="str">
        <f>IFERROR(__xludf.DUMMYFUNCTION("""COMPUTED_VALUE"""),"JMB")</f>
        <v>JMB</v>
      </c>
    </row>
    <row r="6">
      <c r="A6" s="17"/>
      <c r="B6" s="17"/>
      <c r="C6" s="17"/>
      <c r="D6" s="8"/>
      <c r="E6" s="8" t="str">
        <f>IFERROR(__xludf.DUMMYFUNCTION("""COMPUTED_VALUE"""),"PC")</f>
        <v>PC</v>
      </c>
    </row>
    <row r="7">
      <c r="A7" s="17"/>
      <c r="B7" s="17"/>
      <c r="C7" s="17"/>
      <c r="D7" s="8"/>
      <c r="E7" s="8" t="str">
        <f>IFERROR(__xludf.DUMMYFUNCTION("""COMPUTED_VALUE"""),"PTF")</f>
        <v>PTF</v>
      </c>
    </row>
    <row r="8">
      <c r="A8" s="17"/>
      <c r="B8" s="17"/>
      <c r="C8" s="17"/>
      <c r="D8" s="8"/>
      <c r="E8" s="8" t="str">
        <f>IFERROR(__xludf.DUMMYFUNCTION("""COMPUTED_VALUE"""),"PTNF")</f>
        <v>PTNF</v>
      </c>
    </row>
    <row r="9">
      <c r="A9" s="17"/>
      <c r="B9" s="17"/>
      <c r="C9" s="17"/>
      <c r="D9" s="8"/>
      <c r="E9" s="8" t="str">
        <f>IFERROR(__xludf.DUMMYFUNCTION("""COMPUTED_VALUE"""),"SM")</f>
        <v>SM</v>
      </c>
    </row>
    <row r="10">
      <c r="A10" s="17"/>
      <c r="B10" s="17"/>
      <c r="C10" s="17"/>
      <c r="D10" s="8"/>
      <c r="E10" s="18" t="str">
        <f>IFERROR(__xludf.DUMMYFUNCTION("""COMPUTED_VALUE"""),"VPHB")</f>
        <v>VPHB</v>
      </c>
    </row>
    <row r="11">
      <c r="A11" s="17"/>
      <c r="B11" s="17"/>
      <c r="C11" s="17"/>
      <c r="D11" s="8"/>
      <c r="E11" s="18" t="str">
        <f>IFERROR(__xludf.DUMMYFUNCTION("""COMPUTED_VALUE"""),"VTF")</f>
        <v>VTF</v>
      </c>
    </row>
    <row r="12">
      <c r="A12" s="17"/>
      <c r="B12" s="17"/>
      <c r="C12" s="17"/>
      <c r="D12" s="8"/>
      <c r="E12" s="18" t="str">
        <f>IFERROR(__xludf.DUMMYFUNCTION("""COMPUTED_VALUE"""),"VTH")</f>
        <v>VTH</v>
      </c>
    </row>
    <row r="13">
      <c r="A13" s="17"/>
      <c r="B13" s="17"/>
      <c r="C13" s="17"/>
      <c r="D13" s="19"/>
      <c r="E13" s="19" t="str">
        <f>IFERROR(__xludf.DUMMYFUNCTION("""COMPUTED_VALUE"""),"VWN")</f>
        <v>VWN</v>
      </c>
    </row>
    <row r="14">
      <c r="A14" s="17"/>
      <c r="B14" s="17"/>
      <c r="C14" s="17"/>
      <c r="D14" s="8"/>
      <c r="E14" s="8" t="s">
        <v>6</v>
      </c>
    </row>
    <row r="15">
      <c r="A15" s="17"/>
      <c r="B15" s="17"/>
      <c r="C15" s="17"/>
      <c r="D15" s="8"/>
      <c r="E15" s="8"/>
    </row>
    <row r="16">
      <c r="A16" s="17"/>
      <c r="B16" s="17"/>
      <c r="C16" s="17"/>
      <c r="D16" s="8"/>
      <c r="E16" s="8"/>
    </row>
    <row r="17">
      <c r="A17" s="17"/>
      <c r="B17" s="20"/>
      <c r="C17" s="17"/>
      <c r="D17" s="8"/>
      <c r="E17" s="8"/>
    </row>
    <row r="18">
      <c r="A18" s="17"/>
      <c r="B18" s="17"/>
      <c r="C18" s="17"/>
      <c r="D18" s="8"/>
      <c r="E18" s="8"/>
    </row>
    <row r="19">
      <c r="A19" s="17"/>
      <c r="B19" s="17"/>
      <c r="C19" s="17"/>
      <c r="D19" s="8"/>
      <c r="E19" s="8"/>
    </row>
    <row r="20">
      <c r="A20" s="17"/>
      <c r="B20" s="17"/>
      <c r="C20" s="17"/>
      <c r="D20" s="8"/>
      <c r="E20" s="8"/>
    </row>
    <row r="21">
      <c r="A21" s="17"/>
      <c r="B21" s="17"/>
      <c r="C21" s="17"/>
      <c r="D21" s="8"/>
      <c r="E21" s="8"/>
    </row>
    <row r="22">
      <c r="A22" s="17"/>
      <c r="B22" s="17"/>
      <c r="C22" s="17"/>
      <c r="D22" s="8"/>
      <c r="E22" s="8"/>
    </row>
    <row r="23">
      <c r="A23" s="17"/>
      <c r="B23" s="17"/>
      <c r="C23" s="17"/>
      <c r="D23" s="8"/>
      <c r="E23" s="8"/>
    </row>
    <row r="24">
      <c r="A24" s="17"/>
      <c r="B24" s="17"/>
      <c r="C24" s="17"/>
      <c r="D24" s="8"/>
      <c r="E24" s="8"/>
    </row>
    <row r="25">
      <c r="A25" s="17"/>
      <c r="B25" s="17"/>
      <c r="C25" s="17"/>
      <c r="D25" s="8"/>
      <c r="E25" s="8"/>
    </row>
    <row r="26">
      <c r="A26" s="17"/>
      <c r="B26" s="17"/>
      <c r="C26" s="17"/>
      <c r="D26" s="8"/>
      <c r="E26" s="8"/>
    </row>
    <row r="27">
      <c r="A27" s="17"/>
      <c r="B27" s="17"/>
      <c r="C27" s="17"/>
      <c r="D27" s="8"/>
      <c r="E27" s="8"/>
    </row>
    <row r="28">
      <c r="A28" s="17"/>
      <c r="B28" s="17"/>
      <c r="C28" s="17"/>
      <c r="D28" s="8"/>
      <c r="E28" s="8"/>
    </row>
    <row r="29">
      <c r="A29" s="17"/>
      <c r="B29" s="17"/>
      <c r="C29" s="17"/>
      <c r="D29" s="8"/>
      <c r="E29" s="8"/>
    </row>
    <row r="30">
      <c r="A30" s="17"/>
      <c r="B30" s="17"/>
      <c r="C30" s="17"/>
      <c r="D30" s="8"/>
      <c r="E30" s="8"/>
    </row>
    <row r="31">
      <c r="A31" s="17"/>
      <c r="B31" s="17"/>
      <c r="C31" s="17"/>
      <c r="D31" s="8"/>
      <c r="E31" s="8"/>
    </row>
    <row r="32">
      <c r="A32" s="17"/>
      <c r="B32" s="17"/>
      <c r="C32" s="17"/>
      <c r="D32" s="8"/>
      <c r="E32" s="8"/>
    </row>
    <row r="33">
      <c r="A33" s="17"/>
      <c r="B33" s="17"/>
      <c r="C33" s="17"/>
      <c r="D33" s="8"/>
      <c r="E33" s="8"/>
    </row>
    <row r="34">
      <c r="A34" s="17"/>
      <c r="B34" s="17"/>
      <c r="C34" s="17"/>
      <c r="D34" s="8"/>
      <c r="E34" s="8"/>
    </row>
    <row r="35">
      <c r="A35" s="17"/>
      <c r="B35" s="17"/>
      <c r="C35" s="17"/>
      <c r="D35" s="8"/>
      <c r="E35" s="8"/>
    </row>
    <row r="36">
      <c r="A36" s="17"/>
      <c r="B36" s="17"/>
      <c r="C36" s="17"/>
      <c r="D36" s="8"/>
      <c r="E36" s="8"/>
    </row>
    <row r="37">
      <c r="A37" s="17"/>
      <c r="B37" s="17"/>
      <c r="C37" s="17"/>
      <c r="D37" s="8"/>
      <c r="E37" s="8"/>
    </row>
    <row r="38">
      <c r="A38" s="17"/>
      <c r="B38" s="17"/>
      <c r="C38" s="17"/>
      <c r="D38" s="8"/>
      <c r="E38" s="8"/>
    </row>
    <row r="39">
      <c r="A39" s="17"/>
      <c r="B39" s="17"/>
      <c r="C39" s="17"/>
      <c r="D39" s="8"/>
      <c r="E39" s="8"/>
    </row>
    <row r="40">
      <c r="A40" s="17"/>
      <c r="B40" s="17"/>
      <c r="C40" s="17"/>
      <c r="D40" s="8"/>
      <c r="E40" s="8"/>
    </row>
    <row r="41">
      <c r="A41" s="17"/>
      <c r="B41" s="17"/>
      <c r="C41" s="17"/>
      <c r="D41" s="8"/>
      <c r="E41" s="8"/>
    </row>
    <row r="42">
      <c r="A42" s="17"/>
      <c r="B42" s="17"/>
      <c r="C42" s="17"/>
      <c r="D42" s="8"/>
      <c r="E42" s="8"/>
    </row>
    <row r="43">
      <c r="A43" s="17"/>
      <c r="B43" s="17"/>
      <c r="C43" s="17"/>
      <c r="D43" s="8"/>
      <c r="E43" s="8"/>
    </row>
    <row r="44">
      <c r="A44" s="17"/>
      <c r="B44" s="17"/>
      <c r="C44" s="17"/>
      <c r="D44" s="8"/>
      <c r="E44" s="8"/>
    </row>
    <row r="45">
      <c r="A45" s="17"/>
      <c r="B45" s="17"/>
      <c r="C45" s="17"/>
      <c r="D45" s="8"/>
      <c r="E45" s="8"/>
    </row>
    <row r="46">
      <c r="A46" s="17"/>
      <c r="B46" s="17"/>
      <c r="C46" s="17"/>
      <c r="D46" s="8"/>
      <c r="E46" s="8"/>
    </row>
    <row r="47">
      <c r="A47" s="17"/>
      <c r="B47" s="17"/>
      <c r="C47" s="17"/>
      <c r="D47" s="8"/>
      <c r="E47" s="8"/>
    </row>
    <row r="48">
      <c r="A48" s="17"/>
      <c r="B48" s="17"/>
      <c r="C48" s="17"/>
      <c r="D48" s="8"/>
      <c r="E48" s="8"/>
    </row>
    <row r="49">
      <c r="A49" s="17"/>
      <c r="B49" s="17"/>
      <c r="C49" s="17"/>
      <c r="D49" s="8"/>
      <c r="E49" s="8"/>
    </row>
    <row r="50">
      <c r="A50" s="17"/>
      <c r="B50" s="17"/>
      <c r="C50" s="17"/>
      <c r="D50" s="8"/>
      <c r="E50" s="8"/>
    </row>
    <row r="51">
      <c r="A51" s="17"/>
      <c r="B51" s="17"/>
      <c r="C51" s="17"/>
      <c r="D51" s="8"/>
      <c r="E51" s="8"/>
    </row>
    <row r="52">
      <c r="A52" s="17"/>
      <c r="B52" s="17"/>
      <c r="C52" s="17"/>
      <c r="D52" s="8"/>
      <c r="E52" s="8"/>
    </row>
    <row r="53">
      <c r="A53" s="17"/>
      <c r="B53" s="17"/>
      <c r="C53" s="17"/>
      <c r="D53" s="8"/>
      <c r="E53" s="8"/>
    </row>
    <row r="54">
      <c r="A54" s="17"/>
      <c r="B54" s="17"/>
      <c r="C54" s="17"/>
      <c r="D54" s="8"/>
      <c r="E54" s="8"/>
    </row>
    <row r="55">
      <c r="A55" s="17"/>
      <c r="B55" s="17"/>
      <c r="C55" s="17"/>
      <c r="D55" s="8"/>
      <c r="E55" s="8"/>
    </row>
    <row r="56">
      <c r="A56" s="17"/>
      <c r="B56" s="17"/>
      <c r="C56" s="17"/>
      <c r="D56" s="8"/>
      <c r="E56" s="8"/>
    </row>
    <row r="57">
      <c r="A57" s="17"/>
      <c r="B57" s="17"/>
      <c r="C57" s="17"/>
      <c r="D57" s="8"/>
      <c r="E57" s="8"/>
    </row>
    <row r="58">
      <c r="A58" s="17"/>
      <c r="B58" s="17"/>
      <c r="C58" s="17"/>
      <c r="D58" s="8"/>
      <c r="E58" s="8"/>
    </row>
    <row r="59">
      <c r="A59" s="17"/>
      <c r="B59" s="17"/>
      <c r="C59" s="17"/>
      <c r="D59" s="8"/>
      <c r="E59" s="8"/>
    </row>
    <row r="60">
      <c r="A60" s="17"/>
      <c r="B60" s="17"/>
      <c r="C60" s="17"/>
      <c r="D60" s="8"/>
      <c r="E60" s="8"/>
    </row>
    <row r="61">
      <c r="A61" s="17"/>
      <c r="B61" s="17"/>
      <c r="C61" s="17"/>
      <c r="D61" s="8"/>
      <c r="E61" s="8"/>
    </row>
    <row r="62">
      <c r="A62" s="17"/>
      <c r="B62" s="17"/>
      <c r="C62" s="17"/>
      <c r="D62" s="8"/>
      <c r="E62" s="8"/>
    </row>
    <row r="63">
      <c r="A63" s="17"/>
      <c r="B63" s="17"/>
      <c r="C63" s="17"/>
      <c r="D63" s="8"/>
      <c r="E63" s="8"/>
    </row>
    <row r="64">
      <c r="A64" s="17"/>
      <c r="B64" s="17"/>
      <c r="C64" s="17"/>
      <c r="D64" s="8"/>
      <c r="E64" s="8"/>
    </row>
    <row r="65">
      <c r="D65" s="19"/>
      <c r="E65" s="19"/>
    </row>
    <row r="66">
      <c r="D66" s="19"/>
      <c r="E66" s="19"/>
    </row>
    <row r="67">
      <c r="D67" s="19"/>
      <c r="E67" s="19"/>
    </row>
    <row r="68">
      <c r="D68" s="19"/>
      <c r="E68" s="19"/>
    </row>
    <row r="69">
      <c r="D69" s="19"/>
      <c r="E69" s="19"/>
    </row>
    <row r="70">
      <c r="D70" s="19"/>
      <c r="E70" s="19"/>
    </row>
    <row r="71">
      <c r="D71" s="19"/>
      <c r="E71" s="19"/>
    </row>
    <row r="72">
      <c r="D72" s="19"/>
      <c r="E72" s="19"/>
    </row>
    <row r="73">
      <c r="D73" s="19"/>
      <c r="E73" s="19"/>
    </row>
    <row r="74">
      <c r="D74" s="19"/>
      <c r="E74" s="19"/>
    </row>
    <row r="75">
      <c r="D75" s="19"/>
      <c r="E75" s="19"/>
    </row>
    <row r="76">
      <c r="D76" s="19"/>
      <c r="E76" s="19"/>
    </row>
    <row r="77">
      <c r="D77" s="19"/>
      <c r="E77" s="19"/>
    </row>
    <row r="78">
      <c r="D78" s="19"/>
      <c r="E78" s="19"/>
    </row>
    <row r="79">
      <c r="D79" s="19"/>
      <c r="E79" s="19"/>
    </row>
    <row r="80">
      <c r="D80" s="19"/>
      <c r="E80" s="19"/>
    </row>
    <row r="81">
      <c r="D81" s="19"/>
      <c r="E81" s="19"/>
    </row>
    <row r="82">
      <c r="D82" s="19"/>
      <c r="E82" s="19"/>
    </row>
    <row r="83">
      <c r="D83" s="19"/>
      <c r="E83" s="19"/>
    </row>
    <row r="84">
      <c r="D84" s="19"/>
      <c r="E84" s="19"/>
    </row>
    <row r="85">
      <c r="D85" s="19"/>
      <c r="E85" s="19"/>
    </row>
    <row r="86">
      <c r="D86" s="19"/>
      <c r="E86" s="19"/>
    </row>
    <row r="87">
      <c r="D87" s="19"/>
      <c r="E87" s="19"/>
    </row>
    <row r="88">
      <c r="D88" s="19"/>
      <c r="E88" s="19"/>
    </row>
    <row r="89">
      <c r="D89" s="19"/>
      <c r="E89" s="19"/>
    </row>
    <row r="90">
      <c r="D90" s="19"/>
      <c r="E90" s="19"/>
    </row>
    <row r="91">
      <c r="D91" s="19"/>
      <c r="E91" s="19"/>
    </row>
    <row r="92">
      <c r="D92" s="19"/>
      <c r="E92" s="19"/>
    </row>
    <row r="93">
      <c r="D93" s="19"/>
      <c r="E93" s="19"/>
    </row>
    <row r="94">
      <c r="D94" s="19"/>
      <c r="E94" s="19"/>
    </row>
    <row r="95">
      <c r="D95" s="19"/>
      <c r="E95" s="19"/>
    </row>
    <row r="96">
      <c r="D96" s="19"/>
      <c r="E96" s="19"/>
    </row>
    <row r="97">
      <c r="D97" s="19"/>
      <c r="E97" s="19"/>
    </row>
    <row r="98">
      <c r="D98" s="19"/>
      <c r="E98" s="19"/>
    </row>
    <row r="99">
      <c r="D99" s="19"/>
      <c r="E99" s="19"/>
    </row>
    <row r="100">
      <c r="D100" s="19"/>
      <c r="E100" s="19"/>
    </row>
    <row r="101">
      <c r="D101" s="19"/>
      <c r="E101" s="19"/>
    </row>
    <row r="102">
      <c r="D102" s="19"/>
      <c r="E102" s="19"/>
    </row>
    <row r="103">
      <c r="D103" s="19"/>
      <c r="E103" s="19"/>
    </row>
    <row r="104">
      <c r="D104" s="19"/>
      <c r="E104" s="19"/>
    </row>
    <row r="105">
      <c r="D105" s="19"/>
      <c r="E105" s="19"/>
    </row>
    <row r="106">
      <c r="D106" s="19"/>
      <c r="E106" s="19"/>
    </row>
    <row r="107">
      <c r="D107" s="19"/>
      <c r="E107" s="19"/>
    </row>
    <row r="108">
      <c r="D108" s="19"/>
      <c r="E108" s="19"/>
    </row>
    <row r="109">
      <c r="D109" s="19"/>
      <c r="E109" s="19"/>
    </row>
    <row r="110">
      <c r="D110" s="19"/>
      <c r="E110" s="19"/>
    </row>
    <row r="111">
      <c r="D111" s="19"/>
      <c r="E111" s="19"/>
    </row>
    <row r="112">
      <c r="D112" s="19"/>
      <c r="E112" s="19"/>
    </row>
    <row r="113">
      <c r="D113" s="19"/>
      <c r="E113" s="19"/>
    </row>
    <row r="114">
      <c r="D114" s="19"/>
      <c r="E114" s="19"/>
    </row>
    <row r="115">
      <c r="D115" s="19"/>
      <c r="E115" s="19"/>
    </row>
    <row r="116">
      <c r="D116" s="19"/>
      <c r="E116" s="19"/>
    </row>
    <row r="117">
      <c r="D117" s="19"/>
      <c r="E117" s="19"/>
    </row>
    <row r="118">
      <c r="D118" s="19"/>
      <c r="E118" s="19"/>
    </row>
    <row r="119">
      <c r="D119" s="19"/>
      <c r="E119" s="19"/>
    </row>
    <row r="120">
      <c r="D120" s="19"/>
      <c r="E120" s="19"/>
    </row>
    <row r="121">
      <c r="D121" s="19"/>
      <c r="E121" s="19"/>
    </row>
    <row r="122">
      <c r="D122" s="19"/>
      <c r="E122" s="19"/>
    </row>
    <row r="123">
      <c r="D123" s="19"/>
      <c r="E123" s="19"/>
    </row>
    <row r="124">
      <c r="D124" s="19"/>
      <c r="E124" s="19"/>
    </row>
    <row r="125">
      <c r="D125" s="19"/>
      <c r="E125" s="19"/>
    </row>
    <row r="126">
      <c r="D126" s="19"/>
      <c r="E126" s="19"/>
    </row>
    <row r="127">
      <c r="D127" s="19"/>
      <c r="E127" s="19"/>
    </row>
    <row r="128">
      <c r="D128" s="19"/>
      <c r="E128" s="19"/>
    </row>
    <row r="129">
      <c r="D129" s="19"/>
      <c r="E129" s="19"/>
    </row>
    <row r="130">
      <c r="D130" s="19"/>
      <c r="E130" s="19"/>
    </row>
    <row r="131">
      <c r="D131" s="19"/>
      <c r="E131" s="19"/>
    </row>
    <row r="132">
      <c r="D132" s="19"/>
      <c r="E132" s="19"/>
    </row>
    <row r="133">
      <c r="D133" s="19"/>
      <c r="E133" s="19"/>
    </row>
    <row r="134">
      <c r="D134" s="19"/>
      <c r="E134" s="19"/>
    </row>
    <row r="135">
      <c r="D135" s="19"/>
      <c r="E135" s="19"/>
    </row>
    <row r="136">
      <c r="D136" s="19"/>
      <c r="E136" s="19"/>
    </row>
    <row r="137">
      <c r="D137" s="19"/>
      <c r="E137" s="19"/>
    </row>
    <row r="138">
      <c r="D138" s="19"/>
      <c r="E138" s="19"/>
    </row>
    <row r="139">
      <c r="D139" s="19"/>
      <c r="E139" s="19"/>
    </row>
    <row r="140">
      <c r="D140" s="19"/>
      <c r="E140" s="19"/>
    </row>
    <row r="141">
      <c r="D141" s="19"/>
      <c r="E141" s="19"/>
    </row>
    <row r="142">
      <c r="D142" s="19"/>
      <c r="E142" s="19"/>
    </row>
    <row r="143">
      <c r="D143" s="19"/>
      <c r="E143" s="19"/>
    </row>
    <row r="144">
      <c r="D144" s="19"/>
      <c r="E144" s="19"/>
    </row>
    <row r="145">
      <c r="D145" s="19"/>
      <c r="E145" s="19"/>
    </row>
    <row r="146">
      <c r="D146" s="19"/>
      <c r="E146" s="19"/>
    </row>
    <row r="147">
      <c r="D147" s="19"/>
      <c r="E147" s="19"/>
    </row>
    <row r="148">
      <c r="D148" s="19"/>
      <c r="E148" s="19"/>
    </row>
    <row r="149">
      <c r="D149" s="19"/>
      <c r="E149" s="19"/>
    </row>
    <row r="150">
      <c r="D150" s="19"/>
      <c r="E150" s="19"/>
    </row>
    <row r="151">
      <c r="D151" s="19"/>
      <c r="E151" s="19"/>
    </row>
    <row r="152">
      <c r="D152" s="19"/>
      <c r="E152" s="19"/>
    </row>
    <row r="153">
      <c r="D153" s="19"/>
      <c r="E153" s="19"/>
    </row>
    <row r="154">
      <c r="D154" s="19"/>
      <c r="E154" s="19"/>
    </row>
    <row r="155">
      <c r="D155" s="19"/>
      <c r="E155" s="19"/>
    </row>
    <row r="156">
      <c r="D156" s="19"/>
      <c r="E156" s="19"/>
    </row>
    <row r="157">
      <c r="D157" s="19"/>
      <c r="E157" s="19"/>
    </row>
    <row r="158">
      <c r="D158" s="19"/>
      <c r="E158" s="19"/>
    </row>
    <row r="159">
      <c r="D159" s="19"/>
      <c r="E159" s="19"/>
    </row>
    <row r="160">
      <c r="D160" s="19"/>
      <c r="E160" s="19"/>
    </row>
    <row r="161">
      <c r="D161" s="19"/>
      <c r="E161" s="19"/>
    </row>
    <row r="162">
      <c r="D162" s="19"/>
      <c r="E162" s="19"/>
    </row>
    <row r="163">
      <c r="D163" s="19"/>
      <c r="E163" s="19"/>
    </row>
    <row r="164">
      <c r="D164" s="19"/>
      <c r="E164" s="19"/>
    </row>
    <row r="165">
      <c r="D165" s="19"/>
      <c r="E165" s="19"/>
    </row>
    <row r="166">
      <c r="D166" s="19"/>
      <c r="E166" s="19"/>
    </row>
    <row r="167">
      <c r="D167" s="19"/>
      <c r="E167" s="19"/>
    </row>
    <row r="168">
      <c r="D168" s="19"/>
      <c r="E168" s="19"/>
    </row>
    <row r="169">
      <c r="D169" s="19"/>
      <c r="E169" s="19"/>
    </row>
    <row r="170">
      <c r="D170" s="19"/>
      <c r="E170" s="19"/>
    </row>
    <row r="171">
      <c r="D171" s="19"/>
      <c r="E171" s="19"/>
    </row>
    <row r="172">
      <c r="D172" s="19"/>
      <c r="E172" s="19"/>
    </row>
    <row r="173">
      <c r="D173" s="19"/>
      <c r="E173" s="19"/>
    </row>
    <row r="174">
      <c r="D174" s="19"/>
      <c r="E174" s="19"/>
    </row>
    <row r="175">
      <c r="D175" s="19"/>
      <c r="E175" s="19"/>
    </row>
    <row r="176">
      <c r="D176" s="19"/>
      <c r="E176" s="19"/>
    </row>
    <row r="177">
      <c r="D177" s="19"/>
      <c r="E177" s="19"/>
    </row>
    <row r="178">
      <c r="D178" s="19"/>
      <c r="E178" s="19"/>
    </row>
    <row r="179">
      <c r="D179" s="19"/>
      <c r="E179" s="19"/>
    </row>
    <row r="180">
      <c r="D180" s="19"/>
      <c r="E180" s="19"/>
    </row>
    <row r="181">
      <c r="D181" s="19"/>
      <c r="E181" s="19"/>
    </row>
    <row r="182">
      <c r="D182" s="19"/>
      <c r="E182" s="19"/>
    </row>
    <row r="183">
      <c r="D183" s="19"/>
      <c r="E183" s="19"/>
    </row>
    <row r="184">
      <c r="D184" s="19"/>
      <c r="E184" s="19"/>
    </row>
    <row r="185">
      <c r="D185" s="19"/>
      <c r="E185" s="19"/>
    </row>
    <row r="186">
      <c r="D186" s="19"/>
      <c r="E186" s="19"/>
    </row>
    <row r="187">
      <c r="D187" s="19"/>
      <c r="E187" s="19"/>
    </row>
    <row r="188">
      <c r="D188" s="19"/>
      <c r="E188" s="19"/>
    </row>
    <row r="189">
      <c r="D189" s="19"/>
      <c r="E189" s="19"/>
    </row>
    <row r="190">
      <c r="D190" s="19"/>
      <c r="E190" s="19"/>
    </row>
    <row r="191">
      <c r="D191" s="19"/>
      <c r="E191" s="19"/>
    </row>
    <row r="192">
      <c r="D192" s="19"/>
      <c r="E192" s="19"/>
    </row>
    <row r="193">
      <c r="D193" s="19"/>
      <c r="E193" s="19"/>
    </row>
    <row r="194">
      <c r="D194" s="19"/>
      <c r="E194" s="19"/>
    </row>
    <row r="195">
      <c r="D195" s="19"/>
      <c r="E195" s="19"/>
    </row>
    <row r="196">
      <c r="D196" s="19"/>
      <c r="E196" s="19"/>
    </row>
    <row r="197">
      <c r="D197" s="19"/>
      <c r="E197" s="19"/>
    </row>
    <row r="198">
      <c r="D198" s="19"/>
      <c r="E198" s="19"/>
    </row>
    <row r="199">
      <c r="D199" s="19"/>
      <c r="E199" s="19"/>
    </row>
    <row r="200">
      <c r="D200" s="19"/>
      <c r="E200" s="19"/>
    </row>
    <row r="201">
      <c r="D201" s="19"/>
      <c r="E201" s="19"/>
    </row>
    <row r="202">
      <c r="D202" s="19"/>
      <c r="E202" s="19"/>
    </row>
    <row r="203">
      <c r="D203" s="19"/>
      <c r="E203" s="19"/>
    </row>
    <row r="204">
      <c r="D204" s="19"/>
      <c r="E204" s="19"/>
    </row>
    <row r="205">
      <c r="D205" s="19"/>
      <c r="E205" s="19"/>
    </row>
    <row r="206">
      <c r="D206" s="19"/>
      <c r="E206" s="19"/>
    </row>
    <row r="207">
      <c r="D207" s="19"/>
      <c r="E207" s="19"/>
    </row>
    <row r="208">
      <c r="D208" s="19"/>
      <c r="E208" s="19"/>
    </row>
    <row r="209">
      <c r="D209" s="19"/>
      <c r="E209" s="19"/>
    </row>
    <row r="210">
      <c r="D210" s="19"/>
      <c r="E210" s="19"/>
    </row>
    <row r="211">
      <c r="D211" s="19"/>
      <c r="E211" s="19"/>
    </row>
    <row r="212">
      <c r="D212" s="19"/>
      <c r="E212" s="19"/>
    </row>
    <row r="213">
      <c r="D213" s="19"/>
      <c r="E213" s="19"/>
    </row>
    <row r="214">
      <c r="D214" s="19"/>
      <c r="E214" s="19"/>
    </row>
    <row r="215">
      <c r="D215" s="19"/>
      <c r="E215" s="19"/>
    </row>
    <row r="216">
      <c r="D216" s="19"/>
      <c r="E216" s="19"/>
    </row>
    <row r="217">
      <c r="D217" s="19"/>
      <c r="E217" s="19"/>
    </row>
    <row r="218">
      <c r="D218" s="19"/>
      <c r="E218" s="19"/>
    </row>
    <row r="219">
      <c r="D219" s="19"/>
      <c r="E219" s="19"/>
    </row>
    <row r="220">
      <c r="D220" s="19"/>
      <c r="E220" s="19"/>
    </row>
    <row r="221">
      <c r="D221" s="19"/>
      <c r="E221" s="19"/>
    </row>
    <row r="222">
      <c r="D222" s="19"/>
      <c r="E222" s="19"/>
    </row>
    <row r="223">
      <c r="D223" s="19"/>
      <c r="E223" s="19"/>
    </row>
    <row r="224">
      <c r="D224" s="19"/>
      <c r="E224" s="19"/>
    </row>
    <row r="225">
      <c r="D225" s="19"/>
      <c r="E225" s="19"/>
    </row>
    <row r="226">
      <c r="D226" s="19"/>
      <c r="E226" s="19"/>
    </row>
    <row r="227">
      <c r="D227" s="19"/>
      <c r="E227" s="19"/>
    </row>
    <row r="228">
      <c r="D228" s="19"/>
      <c r="E228" s="19"/>
    </row>
    <row r="229">
      <c r="D229" s="19"/>
      <c r="E229" s="19"/>
    </row>
    <row r="230">
      <c r="D230" s="19"/>
      <c r="E230" s="19"/>
    </row>
    <row r="231">
      <c r="D231" s="19"/>
      <c r="E231" s="19"/>
    </row>
    <row r="232">
      <c r="D232" s="19"/>
      <c r="E232" s="19"/>
    </row>
    <row r="233">
      <c r="D233" s="19"/>
      <c r="E233" s="19"/>
    </row>
    <row r="234">
      <c r="D234" s="19"/>
      <c r="E234" s="19"/>
    </row>
    <row r="235">
      <c r="D235" s="19"/>
      <c r="E235" s="19"/>
    </row>
    <row r="236">
      <c r="D236" s="19"/>
      <c r="E236" s="19"/>
    </row>
    <row r="237">
      <c r="D237" s="19"/>
      <c r="E237" s="19"/>
    </row>
    <row r="238">
      <c r="D238" s="19"/>
      <c r="E238" s="19"/>
    </row>
    <row r="239">
      <c r="D239" s="19"/>
      <c r="E239" s="19"/>
    </row>
    <row r="240">
      <c r="D240" s="19"/>
      <c r="E240" s="19"/>
    </row>
    <row r="241">
      <c r="D241" s="19"/>
      <c r="E241" s="19"/>
    </row>
    <row r="242">
      <c r="D242" s="19"/>
      <c r="E242" s="19"/>
    </row>
    <row r="243">
      <c r="D243" s="19"/>
      <c r="E243" s="19"/>
    </row>
    <row r="244">
      <c r="D244" s="19"/>
      <c r="E244" s="19"/>
    </row>
    <row r="245">
      <c r="D245" s="19"/>
      <c r="E245" s="19"/>
    </row>
    <row r="246">
      <c r="D246" s="19"/>
      <c r="E246" s="19"/>
    </row>
    <row r="247">
      <c r="D247" s="19"/>
      <c r="E247" s="19"/>
    </row>
    <row r="248">
      <c r="D248" s="19"/>
      <c r="E248" s="19"/>
    </row>
    <row r="249">
      <c r="D249" s="19"/>
      <c r="E249" s="19"/>
    </row>
    <row r="250">
      <c r="D250" s="19"/>
      <c r="E250" s="19"/>
    </row>
    <row r="251">
      <c r="D251" s="19"/>
      <c r="E251" s="19"/>
    </row>
    <row r="252">
      <c r="D252" s="19"/>
      <c r="E252" s="19"/>
    </row>
    <row r="253">
      <c r="D253" s="19"/>
      <c r="E253" s="19"/>
    </row>
    <row r="254">
      <c r="D254" s="19"/>
      <c r="E254" s="19"/>
    </row>
    <row r="255">
      <c r="D255" s="19"/>
      <c r="E255" s="19"/>
    </row>
    <row r="256">
      <c r="D256" s="19"/>
      <c r="E256" s="19"/>
    </row>
    <row r="257">
      <c r="D257" s="19"/>
      <c r="E257" s="19"/>
    </row>
    <row r="258">
      <c r="D258" s="19"/>
      <c r="E258" s="19"/>
    </row>
    <row r="259">
      <c r="D259" s="19"/>
      <c r="E259" s="19"/>
    </row>
    <row r="260">
      <c r="D260" s="19"/>
      <c r="E260" s="19"/>
    </row>
    <row r="261">
      <c r="D261" s="19"/>
      <c r="E261" s="19"/>
    </row>
    <row r="262">
      <c r="D262" s="19"/>
      <c r="E262" s="19"/>
    </row>
    <row r="263">
      <c r="D263" s="19"/>
      <c r="E263" s="19"/>
    </row>
    <row r="264">
      <c r="D264" s="19"/>
      <c r="E264" s="19"/>
    </row>
    <row r="265">
      <c r="D265" s="19"/>
      <c r="E265" s="19"/>
    </row>
    <row r="266">
      <c r="D266" s="19"/>
      <c r="E266" s="19"/>
    </row>
    <row r="267">
      <c r="D267" s="19"/>
      <c r="E267" s="19"/>
    </row>
    <row r="268">
      <c r="D268" s="19"/>
      <c r="E268" s="19"/>
    </row>
    <row r="269">
      <c r="D269" s="19"/>
      <c r="E269" s="19"/>
    </row>
    <row r="270">
      <c r="D270" s="19"/>
      <c r="E270" s="19"/>
    </row>
    <row r="271">
      <c r="D271" s="19"/>
      <c r="E271" s="19"/>
    </row>
    <row r="272">
      <c r="D272" s="19"/>
      <c r="E272" s="19"/>
    </row>
    <row r="273">
      <c r="D273" s="19"/>
      <c r="E273" s="19"/>
    </row>
    <row r="274">
      <c r="D274" s="19"/>
      <c r="E274" s="19"/>
    </row>
    <row r="275">
      <c r="D275" s="19"/>
      <c r="E275" s="19"/>
    </row>
    <row r="276">
      <c r="D276" s="19"/>
      <c r="E276" s="19"/>
    </row>
    <row r="277">
      <c r="D277" s="19"/>
      <c r="E277" s="19"/>
    </row>
    <row r="278">
      <c r="D278" s="19"/>
      <c r="E278" s="19"/>
    </row>
    <row r="279">
      <c r="D279" s="19"/>
      <c r="E279" s="19"/>
    </row>
    <row r="280">
      <c r="D280" s="19"/>
      <c r="E280" s="19"/>
    </row>
    <row r="281">
      <c r="D281" s="19"/>
      <c r="E281" s="19"/>
    </row>
    <row r="282">
      <c r="D282" s="19"/>
      <c r="E282" s="19"/>
    </row>
    <row r="283">
      <c r="D283" s="19"/>
      <c r="E283" s="19"/>
    </row>
    <row r="284">
      <c r="D284" s="19"/>
      <c r="E284" s="19"/>
    </row>
    <row r="285">
      <c r="D285" s="19"/>
      <c r="E285" s="19"/>
    </row>
    <row r="286">
      <c r="D286" s="19"/>
      <c r="E286" s="19"/>
    </row>
    <row r="287">
      <c r="D287" s="19"/>
      <c r="E287" s="19"/>
    </row>
    <row r="288">
      <c r="D288" s="19"/>
      <c r="E288" s="19"/>
    </row>
    <row r="289">
      <c r="D289" s="19"/>
      <c r="E289" s="19"/>
    </row>
    <row r="290">
      <c r="D290" s="19"/>
      <c r="E290" s="19"/>
    </row>
    <row r="291">
      <c r="D291" s="19"/>
      <c r="E291" s="19"/>
    </row>
    <row r="292">
      <c r="D292" s="19"/>
      <c r="E292" s="19"/>
    </row>
    <row r="293">
      <c r="D293" s="19"/>
      <c r="E293" s="19"/>
    </row>
    <row r="294">
      <c r="D294" s="19"/>
      <c r="E294" s="19"/>
    </row>
    <row r="295">
      <c r="D295" s="19"/>
      <c r="E295" s="19"/>
    </row>
    <row r="296">
      <c r="D296" s="19"/>
      <c r="E296" s="19"/>
    </row>
    <row r="297">
      <c r="D297" s="19"/>
      <c r="E297" s="19"/>
    </row>
    <row r="298">
      <c r="D298" s="19"/>
      <c r="E298" s="19"/>
    </row>
    <row r="299">
      <c r="D299" s="19"/>
      <c r="E299" s="19"/>
    </row>
    <row r="300">
      <c r="D300" s="19"/>
      <c r="E300" s="19"/>
    </row>
    <row r="301">
      <c r="D301" s="19"/>
      <c r="E301" s="19"/>
    </row>
    <row r="302">
      <c r="D302" s="19"/>
      <c r="E302" s="19"/>
    </row>
    <row r="303">
      <c r="D303" s="19"/>
      <c r="E303" s="19"/>
    </row>
    <row r="304">
      <c r="D304" s="19"/>
      <c r="E304" s="19"/>
    </row>
    <row r="305">
      <c r="D305" s="19"/>
      <c r="E305" s="19"/>
    </row>
    <row r="306">
      <c r="D306" s="19"/>
      <c r="E306" s="19"/>
    </row>
    <row r="307">
      <c r="D307" s="19"/>
      <c r="E307" s="19"/>
    </row>
    <row r="308">
      <c r="D308" s="19"/>
      <c r="E308" s="19"/>
    </row>
    <row r="309">
      <c r="D309" s="19"/>
      <c r="E309" s="19"/>
    </row>
    <row r="310">
      <c r="D310" s="19"/>
      <c r="E310" s="19"/>
    </row>
    <row r="311">
      <c r="D311" s="19"/>
      <c r="E311" s="19"/>
    </row>
    <row r="312">
      <c r="D312" s="19"/>
      <c r="E312" s="19"/>
    </row>
    <row r="313">
      <c r="D313" s="19"/>
      <c r="E313" s="19"/>
    </row>
    <row r="314">
      <c r="D314" s="19"/>
      <c r="E314" s="19"/>
    </row>
    <row r="315">
      <c r="D315" s="19"/>
      <c r="E315" s="19"/>
    </row>
    <row r="316">
      <c r="D316" s="19"/>
      <c r="E316" s="19"/>
    </row>
    <row r="317">
      <c r="D317" s="19"/>
      <c r="E317" s="19"/>
    </row>
    <row r="318">
      <c r="D318" s="19"/>
      <c r="E318" s="19"/>
    </row>
    <row r="319">
      <c r="D319" s="19"/>
      <c r="E319" s="19"/>
    </row>
    <row r="320">
      <c r="D320" s="19"/>
      <c r="E320" s="19"/>
    </row>
    <row r="321">
      <c r="D321" s="19"/>
      <c r="E321" s="19"/>
    </row>
    <row r="322">
      <c r="D322" s="19"/>
      <c r="E322" s="19"/>
    </row>
    <row r="323">
      <c r="D323" s="19"/>
      <c r="E323" s="19"/>
    </row>
    <row r="324">
      <c r="D324" s="19"/>
      <c r="E324" s="19"/>
    </row>
    <row r="325">
      <c r="D325" s="19"/>
      <c r="E325" s="19"/>
    </row>
    <row r="326">
      <c r="D326" s="19"/>
      <c r="E326" s="19"/>
    </row>
    <row r="327">
      <c r="D327" s="19"/>
      <c r="E327" s="19"/>
    </row>
    <row r="328">
      <c r="D328" s="19"/>
      <c r="E328" s="19"/>
    </row>
    <row r="329">
      <c r="D329" s="19"/>
      <c r="E329" s="19"/>
    </row>
    <row r="330">
      <c r="D330" s="19"/>
      <c r="E330" s="19"/>
    </row>
    <row r="331">
      <c r="D331" s="19"/>
      <c r="E331" s="19"/>
    </row>
    <row r="332">
      <c r="D332" s="19"/>
      <c r="E332" s="19"/>
    </row>
    <row r="333">
      <c r="D333" s="19"/>
      <c r="E333" s="19"/>
    </row>
    <row r="334">
      <c r="D334" s="19"/>
      <c r="E334" s="19"/>
    </row>
    <row r="335">
      <c r="D335" s="19"/>
      <c r="E335" s="19"/>
    </row>
    <row r="336">
      <c r="D336" s="19"/>
      <c r="E336" s="19"/>
    </row>
    <row r="337">
      <c r="D337" s="19"/>
      <c r="E337" s="19"/>
    </row>
    <row r="338">
      <c r="D338" s="19"/>
      <c r="E338" s="19"/>
    </row>
    <row r="339">
      <c r="D339" s="19"/>
      <c r="E339" s="19"/>
    </row>
    <row r="340">
      <c r="D340" s="19"/>
      <c r="E340" s="19"/>
    </row>
    <row r="341">
      <c r="D341" s="19"/>
      <c r="E341" s="19"/>
    </row>
    <row r="342">
      <c r="D342" s="19"/>
      <c r="E342" s="19"/>
    </row>
    <row r="343">
      <c r="D343" s="19"/>
      <c r="E343" s="19"/>
    </row>
    <row r="344">
      <c r="D344" s="19"/>
      <c r="E344" s="19"/>
    </row>
    <row r="345">
      <c r="D345" s="19"/>
      <c r="E345" s="19"/>
    </row>
    <row r="346">
      <c r="D346" s="19"/>
      <c r="E346" s="19"/>
    </row>
    <row r="347">
      <c r="D347" s="19"/>
      <c r="E347" s="19"/>
    </row>
    <row r="348">
      <c r="D348" s="19"/>
      <c r="E348" s="19"/>
    </row>
    <row r="349">
      <c r="D349" s="19"/>
      <c r="E349" s="19"/>
    </row>
    <row r="350">
      <c r="D350" s="19"/>
      <c r="E350" s="19"/>
    </row>
    <row r="351">
      <c r="D351" s="19"/>
      <c r="E351" s="19"/>
    </row>
    <row r="352">
      <c r="D352" s="19"/>
      <c r="E352" s="19"/>
    </row>
    <row r="353">
      <c r="D353" s="19"/>
      <c r="E353" s="19"/>
    </row>
    <row r="354">
      <c r="D354" s="19"/>
      <c r="E354" s="19"/>
    </row>
    <row r="355">
      <c r="D355" s="19"/>
      <c r="E355" s="19"/>
    </row>
    <row r="356">
      <c r="D356" s="19"/>
      <c r="E356" s="19"/>
    </row>
    <row r="357">
      <c r="D357" s="19"/>
      <c r="E357" s="19"/>
    </row>
    <row r="358">
      <c r="D358" s="19"/>
      <c r="E358" s="19"/>
    </row>
    <row r="359">
      <c r="D359" s="19"/>
      <c r="E359" s="19"/>
    </row>
    <row r="360">
      <c r="D360" s="19"/>
      <c r="E360" s="19"/>
    </row>
    <row r="361">
      <c r="D361" s="19"/>
      <c r="E361" s="19"/>
    </row>
    <row r="362">
      <c r="D362" s="19"/>
      <c r="E362" s="19"/>
    </row>
    <row r="363">
      <c r="D363" s="19"/>
      <c r="E363" s="19"/>
    </row>
    <row r="364">
      <c r="D364" s="19"/>
      <c r="E364" s="19"/>
    </row>
    <row r="365">
      <c r="D365" s="19"/>
      <c r="E365" s="19"/>
    </row>
    <row r="366">
      <c r="D366" s="19"/>
      <c r="E366" s="19"/>
    </row>
    <row r="367">
      <c r="D367" s="19"/>
      <c r="E367" s="19"/>
    </row>
    <row r="368">
      <c r="D368" s="19"/>
      <c r="E368" s="19"/>
    </row>
    <row r="369">
      <c r="D369" s="19"/>
      <c r="E369" s="19"/>
    </row>
    <row r="370">
      <c r="D370" s="19"/>
      <c r="E370" s="19"/>
    </row>
    <row r="371">
      <c r="D371" s="19"/>
      <c r="E371" s="19"/>
    </row>
    <row r="372">
      <c r="D372" s="19"/>
      <c r="E372" s="19"/>
    </row>
    <row r="373">
      <c r="D373" s="19"/>
      <c r="E373" s="19"/>
    </row>
    <row r="374">
      <c r="D374" s="19"/>
      <c r="E374" s="19"/>
    </row>
    <row r="375">
      <c r="D375" s="19"/>
      <c r="E375" s="19"/>
    </row>
    <row r="376">
      <c r="D376" s="19"/>
      <c r="E376" s="19"/>
    </row>
    <row r="377">
      <c r="D377" s="19"/>
      <c r="E377" s="19"/>
    </row>
    <row r="378">
      <c r="D378" s="19"/>
      <c r="E378" s="19"/>
    </row>
    <row r="379">
      <c r="D379" s="19"/>
      <c r="E379" s="19"/>
    </row>
    <row r="380">
      <c r="D380" s="19"/>
      <c r="E380" s="19"/>
    </row>
    <row r="381">
      <c r="D381" s="19"/>
      <c r="E381" s="19"/>
    </row>
    <row r="382">
      <c r="D382" s="19"/>
      <c r="E382" s="19"/>
    </row>
    <row r="383">
      <c r="D383" s="19"/>
      <c r="E383" s="19"/>
    </row>
    <row r="384">
      <c r="D384" s="19"/>
      <c r="E384" s="19"/>
    </row>
    <row r="385">
      <c r="D385" s="19"/>
      <c r="E385" s="19"/>
    </row>
    <row r="386">
      <c r="D386" s="19"/>
      <c r="E386" s="19"/>
    </row>
    <row r="387">
      <c r="D387" s="19"/>
      <c r="E387" s="19"/>
    </row>
    <row r="388">
      <c r="D388" s="19"/>
      <c r="E388" s="19"/>
    </row>
    <row r="389">
      <c r="D389" s="19"/>
      <c r="E389" s="19"/>
    </row>
    <row r="390">
      <c r="D390" s="19"/>
      <c r="E390" s="19"/>
    </row>
    <row r="391">
      <c r="D391" s="19"/>
      <c r="E391" s="19"/>
    </row>
    <row r="392">
      <c r="D392" s="19"/>
      <c r="E392" s="19"/>
    </row>
    <row r="393">
      <c r="D393" s="19"/>
      <c r="E393" s="19"/>
    </row>
    <row r="394">
      <c r="D394" s="19"/>
      <c r="E394" s="19"/>
    </row>
    <row r="395">
      <c r="D395" s="19"/>
      <c r="E395" s="19"/>
    </row>
    <row r="396">
      <c r="D396" s="19"/>
      <c r="E396" s="19"/>
    </row>
    <row r="397">
      <c r="D397" s="19"/>
      <c r="E397" s="19"/>
    </row>
    <row r="398">
      <c r="D398" s="19"/>
      <c r="E398" s="19"/>
    </row>
    <row r="399">
      <c r="D399" s="19"/>
      <c r="E399" s="19"/>
    </row>
    <row r="400">
      <c r="D400" s="19"/>
      <c r="E400" s="19"/>
    </row>
    <row r="401">
      <c r="D401" s="19"/>
      <c r="E401" s="19"/>
    </row>
    <row r="402">
      <c r="D402" s="19"/>
      <c r="E402" s="19"/>
    </row>
    <row r="403">
      <c r="D403" s="19"/>
      <c r="E403" s="19"/>
    </row>
    <row r="404">
      <c r="D404" s="19"/>
      <c r="E404" s="19"/>
    </row>
    <row r="405">
      <c r="D405" s="19"/>
      <c r="E405" s="19"/>
    </row>
    <row r="406">
      <c r="D406" s="19"/>
      <c r="E406" s="19"/>
    </row>
    <row r="407">
      <c r="D407" s="19"/>
      <c r="E407" s="19"/>
    </row>
    <row r="408">
      <c r="D408" s="19"/>
      <c r="E408" s="19"/>
    </row>
    <row r="409">
      <c r="D409" s="19"/>
      <c r="E409" s="19"/>
    </row>
    <row r="410">
      <c r="D410" s="19"/>
      <c r="E410" s="19"/>
    </row>
    <row r="411">
      <c r="D411" s="19"/>
      <c r="E411" s="19"/>
    </row>
    <row r="412">
      <c r="D412" s="19"/>
      <c r="E412" s="19"/>
    </row>
    <row r="413">
      <c r="D413" s="19"/>
      <c r="E413" s="19"/>
    </row>
    <row r="414">
      <c r="D414" s="19"/>
      <c r="E414" s="19"/>
    </row>
    <row r="415">
      <c r="D415" s="19"/>
      <c r="E415" s="19"/>
    </row>
    <row r="416">
      <c r="D416" s="19"/>
      <c r="E416" s="19"/>
    </row>
    <row r="417">
      <c r="D417" s="19"/>
      <c r="E417" s="19"/>
    </row>
    <row r="418">
      <c r="D418" s="19"/>
      <c r="E418" s="19"/>
    </row>
    <row r="419">
      <c r="D419" s="19"/>
      <c r="E419" s="19"/>
    </row>
    <row r="420">
      <c r="D420" s="19"/>
      <c r="E420" s="19"/>
    </row>
    <row r="421">
      <c r="D421" s="19"/>
      <c r="E421" s="19"/>
    </row>
    <row r="422">
      <c r="D422" s="19"/>
      <c r="E422" s="19"/>
    </row>
    <row r="423">
      <c r="D423" s="19"/>
      <c r="E423" s="19"/>
    </row>
    <row r="424">
      <c r="D424" s="19"/>
      <c r="E424" s="19"/>
    </row>
    <row r="425">
      <c r="D425" s="19"/>
      <c r="E425" s="19"/>
    </row>
    <row r="426">
      <c r="D426" s="19"/>
      <c r="E426" s="19"/>
    </row>
    <row r="427">
      <c r="D427" s="19"/>
      <c r="E427" s="19"/>
    </row>
    <row r="428">
      <c r="D428" s="19"/>
      <c r="E428" s="19"/>
    </row>
    <row r="429">
      <c r="D429" s="19"/>
      <c r="E429" s="19"/>
    </row>
    <row r="430">
      <c r="D430" s="19"/>
      <c r="E430" s="19"/>
    </row>
    <row r="431">
      <c r="D431" s="19"/>
      <c r="E431" s="19"/>
    </row>
    <row r="432">
      <c r="D432" s="19"/>
      <c r="E432" s="19"/>
    </row>
    <row r="433">
      <c r="D433" s="19"/>
      <c r="E433" s="19"/>
    </row>
    <row r="434">
      <c r="D434" s="19"/>
      <c r="E434" s="19"/>
    </row>
    <row r="435">
      <c r="D435" s="19"/>
      <c r="E435" s="19"/>
    </row>
    <row r="436">
      <c r="D436" s="19"/>
      <c r="E436" s="19"/>
    </row>
    <row r="437">
      <c r="D437" s="19"/>
      <c r="E437" s="19"/>
    </row>
    <row r="438">
      <c r="D438" s="19"/>
      <c r="E438" s="19"/>
    </row>
    <row r="439">
      <c r="D439" s="19"/>
      <c r="E439" s="19"/>
    </row>
    <row r="440">
      <c r="D440" s="19"/>
      <c r="E440" s="19"/>
    </row>
    <row r="441">
      <c r="D441" s="19"/>
      <c r="E441" s="19"/>
    </row>
    <row r="442">
      <c r="D442" s="19"/>
      <c r="E442" s="19"/>
    </row>
    <row r="443">
      <c r="D443" s="19"/>
      <c r="E443" s="19"/>
    </row>
    <row r="444">
      <c r="D444" s="19"/>
      <c r="E444" s="19"/>
    </row>
    <row r="445">
      <c r="D445" s="19"/>
      <c r="E445" s="19"/>
    </row>
    <row r="446">
      <c r="D446" s="19"/>
      <c r="E446" s="19"/>
    </row>
    <row r="447">
      <c r="D447" s="19"/>
      <c r="E447" s="19"/>
    </row>
    <row r="448">
      <c r="D448" s="19"/>
      <c r="E448" s="19"/>
    </row>
    <row r="449">
      <c r="D449" s="19"/>
      <c r="E449" s="19"/>
    </row>
    <row r="450">
      <c r="D450" s="19"/>
      <c r="E450" s="19"/>
    </row>
    <row r="451">
      <c r="D451" s="19"/>
      <c r="E451" s="19"/>
    </row>
    <row r="452">
      <c r="D452" s="19"/>
      <c r="E452" s="19"/>
    </row>
    <row r="453">
      <c r="D453" s="19"/>
      <c r="E453" s="19"/>
    </row>
    <row r="454">
      <c r="D454" s="19"/>
      <c r="E454" s="19"/>
    </row>
    <row r="455">
      <c r="D455" s="19"/>
      <c r="E455" s="19"/>
    </row>
    <row r="456">
      <c r="D456" s="19"/>
      <c r="E456" s="19"/>
    </row>
    <row r="457">
      <c r="D457" s="19"/>
      <c r="E457" s="19"/>
    </row>
    <row r="458">
      <c r="D458" s="19"/>
      <c r="E458" s="19"/>
    </row>
    <row r="459">
      <c r="D459" s="19"/>
      <c r="E459" s="19"/>
    </row>
    <row r="460">
      <c r="D460" s="19"/>
      <c r="E460" s="19"/>
    </row>
    <row r="461">
      <c r="D461" s="19"/>
      <c r="E461" s="19"/>
    </row>
    <row r="462">
      <c r="D462" s="19"/>
      <c r="E462" s="19"/>
    </row>
    <row r="463">
      <c r="D463" s="19"/>
      <c r="E463" s="19"/>
    </row>
    <row r="464">
      <c r="D464" s="19"/>
      <c r="E464" s="19"/>
    </row>
    <row r="465">
      <c r="D465" s="19"/>
      <c r="E465" s="19"/>
    </row>
    <row r="466">
      <c r="D466" s="19"/>
      <c r="E466" s="19"/>
    </row>
    <row r="467">
      <c r="D467" s="19"/>
      <c r="E467" s="19"/>
    </row>
    <row r="468">
      <c r="D468" s="19"/>
      <c r="E468" s="19"/>
    </row>
    <row r="469">
      <c r="D469" s="19"/>
      <c r="E469" s="19"/>
    </row>
    <row r="470">
      <c r="D470" s="19"/>
      <c r="E470" s="19"/>
    </row>
    <row r="471">
      <c r="D471" s="19"/>
      <c r="E471" s="19"/>
    </row>
    <row r="472">
      <c r="D472" s="19"/>
      <c r="E472" s="19"/>
    </row>
    <row r="473">
      <c r="D473" s="19"/>
      <c r="E473" s="19"/>
    </row>
    <row r="474">
      <c r="D474" s="19"/>
      <c r="E474" s="19"/>
    </row>
    <row r="475">
      <c r="D475" s="19"/>
      <c r="E475" s="19"/>
    </row>
    <row r="476">
      <c r="D476" s="19"/>
      <c r="E476" s="19"/>
    </row>
    <row r="477">
      <c r="D477" s="19"/>
      <c r="E477" s="19"/>
    </row>
    <row r="478">
      <c r="D478" s="19"/>
      <c r="E478" s="19"/>
    </row>
    <row r="479">
      <c r="D479" s="19"/>
      <c r="E479" s="19"/>
    </row>
    <row r="480">
      <c r="D480" s="19"/>
      <c r="E480" s="19"/>
    </row>
    <row r="481">
      <c r="D481" s="19"/>
      <c r="E481" s="19"/>
    </row>
    <row r="482">
      <c r="D482" s="19"/>
      <c r="E482" s="19"/>
    </row>
    <row r="483">
      <c r="D483" s="19"/>
      <c r="E483" s="19"/>
    </row>
    <row r="484">
      <c r="D484" s="19"/>
      <c r="E484" s="19"/>
    </row>
    <row r="485">
      <c r="D485" s="19"/>
      <c r="E485" s="19"/>
    </row>
    <row r="486">
      <c r="D486" s="19"/>
      <c r="E486" s="19"/>
    </row>
    <row r="487">
      <c r="D487" s="19"/>
      <c r="E487" s="19"/>
    </row>
    <row r="488">
      <c r="D488" s="19"/>
      <c r="E488" s="19"/>
    </row>
    <row r="489">
      <c r="D489" s="19"/>
      <c r="E489" s="19"/>
    </row>
    <row r="490">
      <c r="D490" s="19"/>
      <c r="E490" s="19"/>
    </row>
    <row r="491">
      <c r="D491" s="19"/>
      <c r="E491" s="19"/>
    </row>
    <row r="492">
      <c r="D492" s="19"/>
      <c r="E492" s="19"/>
    </row>
    <row r="493">
      <c r="D493" s="19"/>
      <c r="E493" s="19"/>
    </row>
    <row r="494">
      <c r="D494" s="19"/>
      <c r="E494" s="19"/>
    </row>
    <row r="495">
      <c r="D495" s="19"/>
      <c r="E495" s="19"/>
    </row>
    <row r="496">
      <c r="D496" s="19"/>
      <c r="E496" s="19"/>
    </row>
    <row r="497">
      <c r="D497" s="19"/>
      <c r="E497" s="19"/>
    </row>
    <row r="498">
      <c r="D498" s="19"/>
      <c r="E498" s="19"/>
    </row>
    <row r="499">
      <c r="D499" s="19"/>
      <c r="E499" s="19"/>
    </row>
    <row r="500">
      <c r="D500" s="19"/>
      <c r="E500" s="19"/>
    </row>
    <row r="501">
      <c r="D501" s="19"/>
      <c r="E501" s="19"/>
    </row>
    <row r="502">
      <c r="D502" s="19"/>
      <c r="E502" s="19"/>
    </row>
    <row r="503">
      <c r="D503" s="19"/>
      <c r="E503" s="19"/>
    </row>
    <row r="504">
      <c r="D504" s="19"/>
      <c r="E504" s="19"/>
    </row>
    <row r="505">
      <c r="D505" s="19"/>
      <c r="E505" s="19"/>
    </row>
    <row r="506">
      <c r="D506" s="19"/>
      <c r="E506" s="19"/>
    </row>
    <row r="507">
      <c r="D507" s="19"/>
      <c r="E507" s="19"/>
    </row>
    <row r="508">
      <c r="D508" s="19"/>
      <c r="E508" s="19"/>
    </row>
    <row r="509">
      <c r="D509" s="19"/>
      <c r="E509" s="19"/>
    </row>
    <row r="510">
      <c r="D510" s="19"/>
      <c r="E510" s="19"/>
    </row>
    <row r="511">
      <c r="D511" s="19"/>
      <c r="E511" s="19"/>
    </row>
    <row r="512">
      <c r="D512" s="19"/>
      <c r="E512" s="19"/>
    </row>
    <row r="513">
      <c r="D513" s="19"/>
      <c r="E513" s="19"/>
    </row>
    <row r="514">
      <c r="D514" s="19"/>
      <c r="E514" s="19"/>
    </row>
    <row r="515">
      <c r="D515" s="19"/>
      <c r="E515" s="19"/>
    </row>
    <row r="516">
      <c r="D516" s="19"/>
      <c r="E516" s="19"/>
    </row>
    <row r="517">
      <c r="D517" s="19"/>
      <c r="E517" s="19"/>
    </row>
    <row r="518">
      <c r="D518" s="19"/>
      <c r="E518" s="19"/>
    </row>
    <row r="519">
      <c r="D519" s="19"/>
      <c r="E519" s="19"/>
    </row>
    <row r="520">
      <c r="D520" s="19"/>
      <c r="E520" s="19"/>
    </row>
    <row r="521">
      <c r="D521" s="19"/>
      <c r="E521" s="19"/>
    </row>
    <row r="522">
      <c r="D522" s="19"/>
      <c r="E522" s="19"/>
    </row>
    <row r="523">
      <c r="D523" s="19"/>
      <c r="E523" s="19"/>
    </row>
    <row r="524">
      <c r="D524" s="19"/>
      <c r="E524" s="19"/>
    </row>
    <row r="525">
      <c r="D525" s="19"/>
      <c r="E525" s="19"/>
    </row>
    <row r="526">
      <c r="D526" s="19"/>
      <c r="E526" s="19"/>
    </row>
    <row r="527">
      <c r="D527" s="19"/>
      <c r="E527" s="19"/>
    </row>
    <row r="528">
      <c r="D528" s="19"/>
      <c r="E528" s="19"/>
    </row>
    <row r="529">
      <c r="D529" s="19"/>
      <c r="E529" s="19"/>
    </row>
    <row r="530">
      <c r="D530" s="19"/>
      <c r="E530" s="19"/>
    </row>
    <row r="531">
      <c r="D531" s="19"/>
      <c r="E531" s="19"/>
    </row>
    <row r="532">
      <c r="D532" s="19"/>
      <c r="E532" s="19"/>
    </row>
    <row r="533">
      <c r="D533" s="19"/>
      <c r="E533" s="19"/>
    </row>
    <row r="534">
      <c r="D534" s="19"/>
      <c r="E534" s="19"/>
    </row>
    <row r="535">
      <c r="D535" s="19"/>
      <c r="E535" s="19"/>
    </row>
    <row r="536">
      <c r="D536" s="19"/>
      <c r="E536" s="19"/>
    </row>
    <row r="537">
      <c r="D537" s="19"/>
      <c r="E537" s="19"/>
    </row>
    <row r="538">
      <c r="D538" s="19"/>
      <c r="E538" s="19"/>
    </row>
    <row r="539">
      <c r="D539" s="19"/>
      <c r="E539" s="19"/>
    </row>
    <row r="540">
      <c r="D540" s="19"/>
      <c r="E540" s="19"/>
    </row>
    <row r="541">
      <c r="D541" s="19"/>
      <c r="E541" s="19"/>
    </row>
    <row r="542">
      <c r="D542" s="19"/>
      <c r="E542" s="19"/>
    </row>
    <row r="543">
      <c r="D543" s="19"/>
      <c r="E543" s="19"/>
    </row>
    <row r="544">
      <c r="D544" s="19"/>
      <c r="E544" s="19"/>
    </row>
    <row r="545">
      <c r="D545" s="19"/>
      <c r="E545" s="19"/>
    </row>
    <row r="546">
      <c r="D546" s="19"/>
      <c r="E546" s="19"/>
    </row>
    <row r="547">
      <c r="D547" s="19"/>
      <c r="E547" s="19"/>
    </row>
    <row r="548">
      <c r="D548" s="19"/>
      <c r="E548" s="19"/>
    </row>
    <row r="549">
      <c r="D549" s="19"/>
      <c r="E549" s="19"/>
    </row>
    <row r="550">
      <c r="D550" s="19"/>
      <c r="E550" s="19"/>
    </row>
    <row r="551">
      <c r="D551" s="19"/>
      <c r="E551" s="19"/>
    </row>
    <row r="552">
      <c r="D552" s="19"/>
      <c r="E552" s="19"/>
    </row>
    <row r="553">
      <c r="D553" s="19"/>
      <c r="E553" s="19"/>
    </row>
    <row r="554">
      <c r="D554" s="19"/>
      <c r="E554" s="19"/>
    </row>
    <row r="555">
      <c r="D555" s="19"/>
      <c r="E555" s="19"/>
    </row>
    <row r="556">
      <c r="D556" s="19"/>
      <c r="E556" s="19"/>
    </row>
    <row r="557">
      <c r="D557" s="19"/>
      <c r="E557" s="19"/>
    </row>
    <row r="558">
      <c r="D558" s="19"/>
      <c r="E558" s="19"/>
    </row>
    <row r="559">
      <c r="D559" s="19"/>
      <c r="E559" s="19"/>
    </row>
    <row r="560">
      <c r="D560" s="19"/>
      <c r="E560" s="19"/>
    </row>
    <row r="561">
      <c r="D561" s="19"/>
      <c r="E561" s="19"/>
    </row>
    <row r="562">
      <c r="D562" s="19"/>
      <c r="E562" s="19"/>
    </row>
    <row r="563">
      <c r="D563" s="19"/>
      <c r="E563" s="19"/>
    </row>
    <row r="564">
      <c r="D564" s="19"/>
      <c r="E564" s="19"/>
    </row>
    <row r="565">
      <c r="D565" s="19"/>
      <c r="E565" s="19"/>
    </row>
    <row r="566">
      <c r="D566" s="19"/>
      <c r="E566" s="19"/>
    </row>
    <row r="567">
      <c r="D567" s="19"/>
      <c r="E567" s="19"/>
    </row>
    <row r="568">
      <c r="D568" s="19"/>
      <c r="E568" s="19"/>
    </row>
    <row r="569">
      <c r="D569" s="19"/>
      <c r="E569" s="19"/>
    </row>
    <row r="570">
      <c r="D570" s="19"/>
      <c r="E570" s="19"/>
    </row>
    <row r="571">
      <c r="D571" s="19"/>
      <c r="E571" s="19"/>
    </row>
    <row r="572">
      <c r="D572" s="19"/>
      <c r="E572" s="19"/>
    </row>
    <row r="573">
      <c r="D573" s="19"/>
      <c r="E573" s="19"/>
    </row>
    <row r="574">
      <c r="D574" s="19"/>
      <c r="E574" s="19"/>
    </row>
    <row r="575">
      <c r="D575" s="19"/>
      <c r="E575" s="19"/>
    </row>
    <row r="576">
      <c r="D576" s="19"/>
      <c r="E576" s="19"/>
    </row>
    <row r="577">
      <c r="D577" s="19"/>
      <c r="E577" s="19"/>
    </row>
    <row r="578">
      <c r="D578" s="19"/>
      <c r="E578" s="19"/>
    </row>
    <row r="579">
      <c r="D579" s="19"/>
      <c r="E579" s="19"/>
    </row>
    <row r="580">
      <c r="D580" s="19"/>
      <c r="E580" s="19"/>
    </row>
    <row r="581">
      <c r="D581" s="19"/>
      <c r="E581" s="19"/>
    </row>
    <row r="582">
      <c r="D582" s="19"/>
      <c r="E582" s="19"/>
    </row>
    <row r="583">
      <c r="D583" s="19"/>
      <c r="E583" s="19"/>
    </row>
    <row r="584">
      <c r="D584" s="19"/>
      <c r="E584" s="19"/>
    </row>
    <row r="585">
      <c r="D585" s="19"/>
      <c r="E585" s="19"/>
    </row>
    <row r="586">
      <c r="D586" s="19"/>
      <c r="E586" s="19"/>
    </row>
    <row r="587">
      <c r="D587" s="19"/>
      <c r="E587" s="19"/>
    </row>
    <row r="588">
      <c r="D588" s="19"/>
      <c r="E588" s="19"/>
    </row>
    <row r="589">
      <c r="D589" s="19"/>
      <c r="E589" s="19"/>
    </row>
    <row r="590">
      <c r="D590" s="19"/>
      <c r="E590" s="19"/>
    </row>
    <row r="591">
      <c r="D591" s="19"/>
      <c r="E591" s="19"/>
    </row>
    <row r="592">
      <c r="D592" s="19"/>
      <c r="E592" s="19"/>
    </row>
    <row r="593">
      <c r="D593" s="19"/>
      <c r="E593" s="19"/>
    </row>
    <row r="594">
      <c r="D594" s="19"/>
      <c r="E594" s="19"/>
    </row>
    <row r="595">
      <c r="D595" s="19"/>
      <c r="E595" s="19"/>
    </row>
    <row r="596">
      <c r="D596" s="19"/>
      <c r="E596" s="19"/>
    </row>
    <row r="597">
      <c r="D597" s="19"/>
      <c r="E597" s="19"/>
    </row>
    <row r="598">
      <c r="D598" s="19"/>
      <c r="E598" s="19"/>
    </row>
    <row r="599">
      <c r="D599" s="19"/>
      <c r="E599" s="19"/>
    </row>
    <row r="600">
      <c r="D600" s="19"/>
      <c r="E600" s="19"/>
    </row>
    <row r="601">
      <c r="D601" s="19"/>
      <c r="E601" s="19"/>
    </row>
    <row r="602">
      <c r="D602" s="19"/>
      <c r="E602" s="19"/>
    </row>
    <row r="603">
      <c r="D603" s="19"/>
      <c r="E603" s="19"/>
    </row>
    <row r="604">
      <c r="D604" s="19"/>
      <c r="E604" s="19"/>
    </row>
    <row r="605">
      <c r="D605" s="19"/>
      <c r="E605" s="19"/>
    </row>
    <row r="606">
      <c r="D606" s="19"/>
      <c r="E606" s="19"/>
    </row>
    <row r="607">
      <c r="D607" s="19"/>
      <c r="E607" s="19"/>
    </row>
    <row r="608">
      <c r="D608" s="19"/>
      <c r="E608" s="19"/>
    </row>
    <row r="609">
      <c r="D609" s="19"/>
      <c r="E609" s="19"/>
    </row>
    <row r="610">
      <c r="D610" s="19"/>
      <c r="E610" s="19"/>
    </row>
    <row r="611">
      <c r="D611" s="19"/>
      <c r="E611" s="19"/>
    </row>
    <row r="612">
      <c r="D612" s="19"/>
      <c r="E612" s="19"/>
    </row>
    <row r="613">
      <c r="D613" s="19"/>
      <c r="E613" s="19"/>
    </row>
    <row r="614">
      <c r="D614" s="19"/>
      <c r="E614" s="19"/>
    </row>
    <row r="615">
      <c r="D615" s="19"/>
      <c r="E615" s="19"/>
    </row>
    <row r="616">
      <c r="D616" s="19"/>
      <c r="E616" s="19"/>
    </row>
    <row r="617">
      <c r="D617" s="19"/>
      <c r="E617" s="19"/>
    </row>
    <row r="618">
      <c r="D618" s="19"/>
      <c r="E618" s="19"/>
    </row>
    <row r="619">
      <c r="D619" s="19"/>
      <c r="E619" s="19"/>
    </row>
    <row r="620">
      <c r="D620" s="19"/>
      <c r="E620" s="19"/>
    </row>
    <row r="621">
      <c r="D621" s="19"/>
      <c r="E621" s="19"/>
    </row>
    <row r="622">
      <c r="D622" s="19"/>
      <c r="E622" s="19"/>
    </row>
    <row r="623">
      <c r="D623" s="19"/>
      <c r="E623" s="19"/>
    </row>
    <row r="624">
      <c r="D624" s="19"/>
      <c r="E624" s="19"/>
    </row>
    <row r="625">
      <c r="D625" s="19"/>
      <c r="E625" s="19"/>
    </row>
    <row r="626">
      <c r="D626" s="19"/>
      <c r="E626" s="19"/>
    </row>
    <row r="627">
      <c r="D627" s="19"/>
      <c r="E627" s="19"/>
    </row>
    <row r="628">
      <c r="D628" s="19"/>
      <c r="E628" s="19"/>
    </row>
    <row r="629">
      <c r="D629" s="19"/>
      <c r="E629" s="19"/>
    </row>
    <row r="630">
      <c r="D630" s="19"/>
      <c r="E630" s="19"/>
    </row>
    <row r="631">
      <c r="D631" s="19"/>
      <c r="E631" s="19"/>
    </row>
    <row r="632">
      <c r="D632" s="19"/>
      <c r="E632" s="19"/>
    </row>
    <row r="633">
      <c r="D633" s="19"/>
      <c r="E633" s="19"/>
    </row>
    <row r="634">
      <c r="D634" s="19"/>
      <c r="E634" s="19"/>
    </row>
    <row r="635">
      <c r="D635" s="19"/>
      <c r="E635" s="19"/>
    </row>
    <row r="636">
      <c r="D636" s="19"/>
      <c r="E636" s="19"/>
    </row>
    <row r="637">
      <c r="D637" s="19"/>
      <c r="E637" s="19"/>
    </row>
    <row r="638">
      <c r="D638" s="19"/>
      <c r="E638" s="19"/>
    </row>
    <row r="639">
      <c r="D639" s="19"/>
      <c r="E639" s="19"/>
    </row>
    <row r="640">
      <c r="D640" s="19"/>
      <c r="E640" s="19"/>
    </row>
    <row r="641">
      <c r="D641" s="19"/>
      <c r="E641" s="19"/>
    </row>
    <row r="642">
      <c r="D642" s="19"/>
      <c r="E642" s="19"/>
    </row>
    <row r="643">
      <c r="D643" s="19"/>
      <c r="E643" s="19"/>
    </row>
    <row r="644">
      <c r="D644" s="19"/>
      <c r="E644" s="19"/>
    </row>
    <row r="645">
      <c r="D645" s="19"/>
      <c r="E645" s="19"/>
    </row>
    <row r="646">
      <c r="D646" s="19"/>
      <c r="E646" s="19"/>
    </row>
    <row r="647">
      <c r="D647" s="19"/>
      <c r="E647" s="19"/>
    </row>
    <row r="648">
      <c r="D648" s="19"/>
      <c r="E648" s="19"/>
    </row>
    <row r="649">
      <c r="D649" s="19"/>
      <c r="E649" s="19"/>
    </row>
    <row r="650">
      <c r="D650" s="19"/>
      <c r="E650" s="19"/>
    </row>
    <row r="651">
      <c r="D651" s="19"/>
      <c r="E651" s="19"/>
    </row>
    <row r="652">
      <c r="D652" s="19"/>
      <c r="E652" s="19"/>
    </row>
    <row r="653">
      <c r="D653" s="19"/>
      <c r="E653" s="19"/>
    </row>
    <row r="654">
      <c r="D654" s="19"/>
      <c r="E654" s="19"/>
    </row>
    <row r="655">
      <c r="D655" s="19"/>
      <c r="E655" s="19"/>
    </row>
    <row r="656">
      <c r="D656" s="19"/>
      <c r="E656" s="19"/>
    </row>
    <row r="657">
      <c r="D657" s="19"/>
      <c r="E657" s="19"/>
    </row>
    <row r="658">
      <c r="D658" s="19"/>
      <c r="E658" s="19"/>
    </row>
    <row r="659">
      <c r="D659" s="19"/>
      <c r="E659" s="19"/>
    </row>
    <row r="660">
      <c r="D660" s="19"/>
      <c r="E660" s="19"/>
    </row>
    <row r="661">
      <c r="D661" s="19"/>
      <c r="E661" s="19"/>
    </row>
    <row r="662">
      <c r="D662" s="19"/>
      <c r="E662" s="19"/>
    </row>
    <row r="663">
      <c r="D663" s="19"/>
      <c r="E663" s="19"/>
    </row>
    <row r="664">
      <c r="D664" s="19"/>
      <c r="E664" s="19"/>
    </row>
    <row r="665">
      <c r="D665" s="19"/>
      <c r="E665" s="19"/>
    </row>
    <row r="666">
      <c r="D666" s="19"/>
      <c r="E666" s="19"/>
    </row>
    <row r="667">
      <c r="D667" s="19"/>
      <c r="E667" s="19"/>
    </row>
    <row r="668">
      <c r="D668" s="19"/>
      <c r="E668" s="19"/>
    </row>
    <row r="669">
      <c r="D669" s="19"/>
      <c r="E669" s="19"/>
    </row>
    <row r="670">
      <c r="D670" s="19"/>
      <c r="E670" s="19"/>
    </row>
    <row r="671">
      <c r="D671" s="19"/>
      <c r="E671" s="19"/>
    </row>
    <row r="672">
      <c r="D672" s="19"/>
      <c r="E672" s="19"/>
    </row>
    <row r="673">
      <c r="D673" s="19"/>
      <c r="E673" s="19"/>
    </row>
    <row r="674">
      <c r="D674" s="19"/>
      <c r="E674" s="19"/>
    </row>
    <row r="675">
      <c r="D675" s="19"/>
      <c r="E675" s="19"/>
    </row>
    <row r="676">
      <c r="D676" s="19"/>
      <c r="E676" s="19"/>
    </row>
    <row r="677">
      <c r="D677" s="19"/>
      <c r="E677" s="19"/>
    </row>
    <row r="678">
      <c r="D678" s="19"/>
      <c r="E678" s="19"/>
    </row>
    <row r="679">
      <c r="D679" s="19"/>
      <c r="E679" s="19"/>
    </row>
    <row r="680">
      <c r="D680" s="19"/>
      <c r="E680" s="19"/>
    </row>
    <row r="681">
      <c r="D681" s="19"/>
      <c r="E681" s="19"/>
    </row>
    <row r="682">
      <c r="D682" s="19"/>
      <c r="E682" s="19"/>
    </row>
    <row r="683">
      <c r="D683" s="19"/>
      <c r="E683" s="19"/>
    </row>
    <row r="684">
      <c r="D684" s="19"/>
      <c r="E684" s="19"/>
    </row>
    <row r="685">
      <c r="D685" s="19"/>
      <c r="E685" s="19"/>
    </row>
    <row r="686">
      <c r="D686" s="19"/>
      <c r="E686" s="19"/>
    </row>
    <row r="687">
      <c r="D687" s="19"/>
      <c r="E687" s="19"/>
    </row>
    <row r="688">
      <c r="D688" s="19"/>
      <c r="E688" s="19"/>
    </row>
    <row r="689">
      <c r="D689" s="19"/>
      <c r="E689" s="19"/>
    </row>
    <row r="690">
      <c r="D690" s="19"/>
      <c r="E690" s="19"/>
    </row>
    <row r="691">
      <c r="D691" s="19"/>
      <c r="E691" s="19"/>
    </row>
    <row r="692">
      <c r="D692" s="19"/>
      <c r="E692" s="19"/>
    </row>
    <row r="693">
      <c r="D693" s="19"/>
      <c r="E693" s="19"/>
    </row>
    <row r="694">
      <c r="D694" s="19"/>
      <c r="E694" s="19"/>
    </row>
    <row r="695">
      <c r="D695" s="19"/>
      <c r="E695" s="19"/>
    </row>
    <row r="696">
      <c r="D696" s="19"/>
      <c r="E696" s="19"/>
    </row>
    <row r="697">
      <c r="D697" s="19"/>
      <c r="E697" s="19"/>
    </row>
    <row r="698">
      <c r="D698" s="19"/>
      <c r="E698" s="19"/>
    </row>
    <row r="699">
      <c r="D699" s="19"/>
      <c r="E699" s="19"/>
    </row>
    <row r="700">
      <c r="D700" s="19"/>
      <c r="E700" s="19"/>
    </row>
    <row r="701">
      <c r="D701" s="19"/>
      <c r="E701" s="19"/>
    </row>
    <row r="702">
      <c r="D702" s="19"/>
      <c r="E702" s="19"/>
    </row>
    <row r="703">
      <c r="D703" s="19"/>
      <c r="E703" s="19"/>
    </row>
    <row r="704">
      <c r="D704" s="19"/>
      <c r="E704" s="19"/>
    </row>
    <row r="705">
      <c r="D705" s="19"/>
      <c r="E705" s="19"/>
    </row>
    <row r="706">
      <c r="D706" s="19"/>
      <c r="E706" s="19"/>
    </row>
    <row r="707">
      <c r="D707" s="19"/>
      <c r="E707" s="19"/>
    </row>
    <row r="708">
      <c r="D708" s="19"/>
      <c r="E708" s="19"/>
    </row>
    <row r="709">
      <c r="D709" s="19"/>
      <c r="E709" s="19"/>
    </row>
    <row r="710">
      <c r="D710" s="19"/>
      <c r="E710" s="19"/>
    </row>
    <row r="711">
      <c r="D711" s="19"/>
      <c r="E711" s="19"/>
    </row>
    <row r="712">
      <c r="D712" s="19"/>
      <c r="E712" s="19"/>
    </row>
    <row r="713">
      <c r="D713" s="19"/>
      <c r="E713" s="19"/>
    </row>
    <row r="714">
      <c r="D714" s="19"/>
      <c r="E714" s="19"/>
    </row>
    <row r="715">
      <c r="D715" s="19"/>
      <c r="E715" s="19"/>
    </row>
    <row r="716">
      <c r="D716" s="19"/>
      <c r="E716" s="19"/>
    </row>
    <row r="717">
      <c r="D717" s="19"/>
      <c r="E717" s="19"/>
    </row>
    <row r="718">
      <c r="D718" s="19"/>
      <c r="E718" s="19"/>
    </row>
    <row r="719">
      <c r="D719" s="19"/>
      <c r="E719" s="19"/>
    </row>
    <row r="720">
      <c r="D720" s="19"/>
      <c r="E720" s="19"/>
    </row>
    <row r="721">
      <c r="D721" s="19"/>
      <c r="E721" s="19"/>
    </row>
    <row r="722">
      <c r="D722" s="19"/>
      <c r="E722" s="19"/>
    </row>
    <row r="723">
      <c r="D723" s="19"/>
      <c r="E723" s="19"/>
    </row>
    <row r="724">
      <c r="D724" s="19"/>
      <c r="E724" s="19"/>
    </row>
    <row r="725">
      <c r="D725" s="19"/>
      <c r="E725" s="19"/>
    </row>
    <row r="726">
      <c r="D726" s="19"/>
      <c r="E726" s="19"/>
    </row>
    <row r="727">
      <c r="D727" s="19"/>
      <c r="E727" s="19"/>
    </row>
    <row r="728">
      <c r="D728" s="19"/>
      <c r="E728" s="19"/>
    </row>
    <row r="729">
      <c r="D729" s="19"/>
      <c r="E729" s="19"/>
    </row>
    <row r="730">
      <c r="D730" s="19"/>
      <c r="E730" s="19"/>
    </row>
    <row r="731">
      <c r="D731" s="19"/>
      <c r="E731" s="19"/>
    </row>
    <row r="732">
      <c r="D732" s="19"/>
      <c r="E732" s="19"/>
    </row>
    <row r="733">
      <c r="D733" s="19"/>
      <c r="E733" s="19"/>
    </row>
    <row r="734">
      <c r="D734" s="19"/>
      <c r="E734" s="19"/>
    </row>
    <row r="735">
      <c r="D735" s="19"/>
      <c r="E735" s="19"/>
    </row>
    <row r="736">
      <c r="D736" s="19"/>
      <c r="E736" s="19"/>
    </row>
    <row r="737">
      <c r="D737" s="19"/>
      <c r="E737" s="19"/>
    </row>
    <row r="738">
      <c r="D738" s="19"/>
      <c r="E738" s="19"/>
    </row>
    <row r="739">
      <c r="D739" s="19"/>
      <c r="E739" s="19"/>
    </row>
    <row r="740">
      <c r="D740" s="19"/>
      <c r="E740" s="19"/>
    </row>
    <row r="741">
      <c r="D741" s="19"/>
      <c r="E741" s="19"/>
    </row>
    <row r="742">
      <c r="D742" s="19"/>
      <c r="E742" s="19"/>
    </row>
    <row r="743">
      <c r="D743" s="19"/>
      <c r="E743" s="19"/>
    </row>
    <row r="744">
      <c r="D744" s="19"/>
      <c r="E744" s="19"/>
    </row>
    <row r="745">
      <c r="D745" s="19"/>
      <c r="E745" s="19"/>
    </row>
    <row r="746">
      <c r="D746" s="19"/>
      <c r="E746" s="19"/>
    </row>
    <row r="747">
      <c r="D747" s="19"/>
      <c r="E747" s="19"/>
    </row>
    <row r="748">
      <c r="D748" s="19"/>
      <c r="E748" s="19"/>
    </row>
    <row r="749">
      <c r="D749" s="19"/>
      <c r="E749" s="19"/>
    </row>
    <row r="750">
      <c r="D750" s="19"/>
      <c r="E750" s="19"/>
    </row>
    <row r="751">
      <c r="D751" s="19"/>
      <c r="E751" s="19"/>
    </row>
    <row r="752">
      <c r="D752" s="19"/>
      <c r="E752" s="19"/>
    </row>
    <row r="753">
      <c r="D753" s="19"/>
      <c r="E753" s="19"/>
    </row>
    <row r="754">
      <c r="D754" s="19"/>
      <c r="E754" s="19"/>
    </row>
    <row r="755">
      <c r="D755" s="19"/>
      <c r="E755" s="19"/>
    </row>
    <row r="756">
      <c r="D756" s="19"/>
      <c r="E756" s="19"/>
    </row>
    <row r="757">
      <c r="D757" s="19"/>
      <c r="E757" s="19"/>
    </row>
    <row r="758">
      <c r="D758" s="19"/>
      <c r="E758" s="19"/>
    </row>
    <row r="759">
      <c r="D759" s="19"/>
      <c r="E759" s="19"/>
    </row>
    <row r="760">
      <c r="D760" s="19"/>
      <c r="E760" s="19"/>
    </row>
    <row r="761">
      <c r="D761" s="19"/>
      <c r="E761" s="19"/>
    </row>
    <row r="762">
      <c r="D762" s="19"/>
      <c r="E762" s="19"/>
    </row>
    <row r="763">
      <c r="D763" s="19"/>
      <c r="E763" s="19"/>
    </row>
    <row r="764">
      <c r="D764" s="19"/>
      <c r="E764" s="19"/>
    </row>
    <row r="765">
      <c r="D765" s="19"/>
      <c r="E765" s="19"/>
    </row>
    <row r="766">
      <c r="D766" s="19"/>
      <c r="E766" s="19"/>
    </row>
    <row r="767">
      <c r="D767" s="19"/>
      <c r="E767" s="19"/>
    </row>
    <row r="768">
      <c r="D768" s="19"/>
      <c r="E768" s="19"/>
    </row>
    <row r="769">
      <c r="D769" s="19"/>
      <c r="E769" s="19"/>
    </row>
    <row r="770">
      <c r="D770" s="19"/>
      <c r="E770" s="19"/>
    </row>
    <row r="771">
      <c r="D771" s="19"/>
      <c r="E771" s="19"/>
    </row>
    <row r="772">
      <c r="D772" s="19"/>
      <c r="E772" s="19"/>
    </row>
    <row r="773">
      <c r="D773" s="19"/>
      <c r="E773" s="19"/>
    </row>
    <row r="774">
      <c r="D774" s="19"/>
      <c r="E774" s="19"/>
    </row>
    <row r="775">
      <c r="D775" s="19"/>
      <c r="E775" s="19"/>
    </row>
    <row r="776">
      <c r="D776" s="19"/>
      <c r="E776" s="19"/>
    </row>
    <row r="777">
      <c r="D777" s="19"/>
      <c r="E777" s="19"/>
    </row>
    <row r="778">
      <c r="D778" s="19"/>
      <c r="E778" s="19"/>
    </row>
    <row r="779">
      <c r="D779" s="19"/>
      <c r="E779" s="19"/>
    </row>
    <row r="780">
      <c r="D780" s="19"/>
      <c r="E780" s="19"/>
    </row>
    <row r="781">
      <c r="D781" s="19"/>
      <c r="E781" s="19"/>
    </row>
    <row r="782">
      <c r="D782" s="19"/>
      <c r="E782" s="19"/>
    </row>
    <row r="783">
      <c r="D783" s="19"/>
      <c r="E783" s="19"/>
    </row>
    <row r="784">
      <c r="D784" s="19"/>
      <c r="E784" s="19"/>
    </row>
    <row r="785">
      <c r="D785" s="19"/>
      <c r="E785" s="19"/>
    </row>
    <row r="786">
      <c r="D786" s="19"/>
      <c r="E786" s="19"/>
    </row>
    <row r="787">
      <c r="D787" s="19"/>
      <c r="E787" s="19"/>
    </row>
    <row r="788">
      <c r="D788" s="19"/>
      <c r="E788" s="19"/>
    </row>
    <row r="789">
      <c r="D789" s="19"/>
      <c r="E789" s="19"/>
    </row>
    <row r="790">
      <c r="D790" s="19"/>
      <c r="E790" s="19"/>
    </row>
    <row r="791">
      <c r="D791" s="19"/>
      <c r="E791" s="19"/>
    </row>
    <row r="792">
      <c r="D792" s="19"/>
      <c r="E792" s="19"/>
    </row>
    <row r="793">
      <c r="D793" s="19"/>
      <c r="E793" s="19"/>
    </row>
    <row r="794">
      <c r="D794" s="19"/>
      <c r="E794" s="19"/>
    </row>
    <row r="795">
      <c r="D795" s="19"/>
      <c r="E795" s="19"/>
    </row>
    <row r="796">
      <c r="D796" s="19"/>
      <c r="E796" s="19"/>
    </row>
    <row r="797">
      <c r="D797" s="19"/>
      <c r="E797" s="19"/>
    </row>
    <row r="798">
      <c r="D798" s="19"/>
      <c r="E798" s="19"/>
    </row>
    <row r="799">
      <c r="D799" s="19"/>
      <c r="E799" s="19"/>
    </row>
    <row r="800">
      <c r="D800" s="19"/>
      <c r="E800" s="19"/>
    </row>
    <row r="801">
      <c r="D801" s="19"/>
      <c r="E801" s="19"/>
    </row>
    <row r="802">
      <c r="D802" s="19"/>
      <c r="E802" s="19"/>
    </row>
    <row r="803">
      <c r="D803" s="19"/>
      <c r="E803" s="19"/>
    </row>
    <row r="804">
      <c r="D804" s="19"/>
      <c r="E804" s="19"/>
    </row>
    <row r="805">
      <c r="D805" s="19"/>
      <c r="E805" s="19"/>
    </row>
    <row r="806">
      <c r="D806" s="19"/>
      <c r="E806" s="19"/>
    </row>
    <row r="807">
      <c r="D807" s="19"/>
      <c r="E807" s="19"/>
    </row>
    <row r="808">
      <c r="D808" s="19"/>
      <c r="E808" s="19"/>
    </row>
    <row r="809">
      <c r="D809" s="19"/>
      <c r="E809" s="19"/>
    </row>
    <row r="810">
      <c r="D810" s="19"/>
      <c r="E810" s="19"/>
    </row>
    <row r="811">
      <c r="D811" s="19"/>
      <c r="E811" s="19"/>
    </row>
    <row r="812">
      <c r="D812" s="19"/>
      <c r="E812" s="19"/>
    </row>
    <row r="813">
      <c r="D813" s="19"/>
      <c r="E813" s="19"/>
    </row>
    <row r="814">
      <c r="D814" s="19"/>
      <c r="E814" s="19"/>
    </row>
    <row r="815">
      <c r="D815" s="19"/>
      <c r="E815" s="19"/>
    </row>
    <row r="816">
      <c r="D816" s="19"/>
      <c r="E816" s="19"/>
    </row>
    <row r="817">
      <c r="D817" s="19"/>
      <c r="E817" s="19"/>
    </row>
    <row r="818">
      <c r="D818" s="19"/>
      <c r="E818" s="19"/>
    </row>
    <row r="819">
      <c r="D819" s="19"/>
      <c r="E819" s="19"/>
    </row>
    <row r="820">
      <c r="D820" s="19"/>
      <c r="E820" s="19"/>
    </row>
    <row r="821">
      <c r="D821" s="19"/>
      <c r="E821" s="19"/>
    </row>
    <row r="822">
      <c r="D822" s="19"/>
      <c r="E822" s="19"/>
    </row>
    <row r="823">
      <c r="D823" s="19"/>
      <c r="E823" s="19"/>
    </row>
    <row r="824">
      <c r="D824" s="19"/>
      <c r="E824" s="19"/>
    </row>
    <row r="825">
      <c r="D825" s="19"/>
      <c r="E825" s="19"/>
    </row>
    <row r="826">
      <c r="D826" s="19"/>
      <c r="E826" s="19"/>
    </row>
    <row r="827">
      <c r="D827" s="19"/>
      <c r="E827" s="19"/>
    </row>
    <row r="828">
      <c r="D828" s="19"/>
      <c r="E828" s="19"/>
    </row>
    <row r="829">
      <c r="D829" s="19"/>
      <c r="E829" s="19"/>
    </row>
    <row r="830">
      <c r="D830" s="19"/>
      <c r="E830" s="19"/>
    </row>
    <row r="831">
      <c r="D831" s="19"/>
      <c r="E831" s="19"/>
    </row>
    <row r="832">
      <c r="D832" s="19"/>
      <c r="E832" s="19"/>
    </row>
    <row r="833">
      <c r="D833" s="19"/>
      <c r="E833" s="19"/>
    </row>
    <row r="834">
      <c r="D834" s="19"/>
      <c r="E834" s="19"/>
    </row>
    <row r="835">
      <c r="D835" s="19"/>
      <c r="E835" s="19"/>
    </row>
    <row r="836">
      <c r="D836" s="19"/>
      <c r="E836" s="19"/>
    </row>
    <row r="837">
      <c r="D837" s="19"/>
      <c r="E837" s="19"/>
    </row>
    <row r="838">
      <c r="D838" s="19"/>
      <c r="E838" s="19"/>
    </row>
    <row r="839">
      <c r="D839" s="19"/>
      <c r="E839" s="19"/>
    </row>
    <row r="840">
      <c r="D840" s="19"/>
      <c r="E840" s="19"/>
    </row>
    <row r="841">
      <c r="D841" s="19"/>
      <c r="E841" s="19"/>
    </row>
    <row r="842">
      <c r="D842" s="19"/>
      <c r="E842" s="19"/>
    </row>
    <row r="843">
      <c r="D843" s="19"/>
      <c r="E843" s="19"/>
    </row>
    <row r="844">
      <c r="D844" s="19"/>
      <c r="E844" s="19"/>
    </row>
    <row r="845">
      <c r="D845" s="19"/>
      <c r="E845" s="19"/>
    </row>
    <row r="846">
      <c r="D846" s="19"/>
      <c r="E846" s="19"/>
    </row>
    <row r="847">
      <c r="D847" s="19"/>
      <c r="E847" s="19"/>
    </row>
    <row r="848">
      <c r="D848" s="19"/>
      <c r="E848" s="19"/>
    </row>
    <row r="849">
      <c r="D849" s="19"/>
      <c r="E849" s="19"/>
    </row>
    <row r="850">
      <c r="D850" s="19"/>
      <c r="E850" s="19"/>
    </row>
    <row r="851">
      <c r="D851" s="19"/>
      <c r="E851" s="19"/>
    </row>
    <row r="852">
      <c r="D852" s="19"/>
      <c r="E852" s="19"/>
    </row>
    <row r="853">
      <c r="D853" s="19"/>
      <c r="E853" s="19"/>
    </row>
    <row r="854">
      <c r="D854" s="19"/>
      <c r="E854" s="19"/>
    </row>
    <row r="855">
      <c r="D855" s="19"/>
      <c r="E855" s="19"/>
    </row>
    <row r="856">
      <c r="D856" s="19"/>
      <c r="E856" s="19"/>
    </row>
    <row r="857">
      <c r="D857" s="19"/>
      <c r="E857" s="19"/>
    </row>
    <row r="858">
      <c r="D858" s="19"/>
      <c r="E858" s="19"/>
    </row>
    <row r="859">
      <c r="D859" s="19"/>
      <c r="E859" s="19"/>
    </row>
    <row r="860">
      <c r="D860" s="19"/>
      <c r="E860" s="19"/>
    </row>
    <row r="861">
      <c r="D861" s="19"/>
      <c r="E861" s="19"/>
    </row>
    <row r="862">
      <c r="D862" s="19"/>
      <c r="E862" s="19"/>
    </row>
    <row r="863">
      <c r="D863" s="19"/>
      <c r="E863" s="19"/>
    </row>
    <row r="864">
      <c r="D864" s="19"/>
      <c r="E864" s="19"/>
    </row>
    <row r="865">
      <c r="D865" s="19"/>
      <c r="E865" s="19"/>
    </row>
    <row r="866">
      <c r="D866" s="19"/>
      <c r="E866" s="19"/>
    </row>
    <row r="867">
      <c r="D867" s="19"/>
      <c r="E867" s="19"/>
    </row>
    <row r="868">
      <c r="D868" s="19"/>
      <c r="E868" s="19"/>
    </row>
    <row r="869">
      <c r="D869" s="19"/>
      <c r="E869" s="19"/>
    </row>
    <row r="870">
      <c r="D870" s="19"/>
      <c r="E870" s="19"/>
    </row>
    <row r="871">
      <c r="D871" s="19"/>
      <c r="E871" s="19"/>
    </row>
    <row r="872">
      <c r="D872" s="19"/>
      <c r="E872" s="19"/>
    </row>
    <row r="873">
      <c r="D873" s="19"/>
      <c r="E873" s="19"/>
    </row>
    <row r="874">
      <c r="D874" s="19"/>
      <c r="E874" s="19"/>
    </row>
    <row r="875">
      <c r="D875" s="19"/>
      <c r="E875" s="19"/>
    </row>
    <row r="876">
      <c r="D876" s="19"/>
      <c r="E876" s="19"/>
    </row>
    <row r="877">
      <c r="D877" s="19"/>
      <c r="E877" s="19"/>
    </row>
    <row r="878">
      <c r="D878" s="19"/>
      <c r="E878" s="19"/>
    </row>
    <row r="879">
      <c r="D879" s="19"/>
      <c r="E879" s="19"/>
    </row>
    <row r="880">
      <c r="D880" s="19"/>
      <c r="E880" s="19"/>
    </row>
    <row r="881">
      <c r="D881" s="19"/>
      <c r="E881" s="19"/>
    </row>
    <row r="882">
      <c r="D882" s="19"/>
      <c r="E882" s="19"/>
    </row>
    <row r="883">
      <c r="D883" s="19"/>
      <c r="E883" s="19"/>
    </row>
    <row r="884">
      <c r="D884" s="19"/>
      <c r="E884" s="19"/>
    </row>
    <row r="885">
      <c r="D885" s="19"/>
      <c r="E885" s="19"/>
    </row>
    <row r="886">
      <c r="D886" s="19"/>
      <c r="E886" s="19"/>
    </row>
    <row r="887">
      <c r="D887" s="19"/>
      <c r="E887" s="19"/>
    </row>
    <row r="888">
      <c r="D888" s="19"/>
      <c r="E888" s="19"/>
    </row>
    <row r="889">
      <c r="D889" s="19"/>
      <c r="E889" s="19"/>
    </row>
    <row r="890">
      <c r="D890" s="19"/>
      <c r="E890" s="19"/>
    </row>
    <row r="891">
      <c r="D891" s="19"/>
      <c r="E891" s="19"/>
    </row>
    <row r="892">
      <c r="D892" s="19"/>
      <c r="E892" s="19"/>
    </row>
    <row r="893">
      <c r="D893" s="19"/>
      <c r="E893" s="19"/>
    </row>
    <row r="894">
      <c r="D894" s="19"/>
      <c r="E894" s="19"/>
    </row>
    <row r="895">
      <c r="D895" s="19"/>
      <c r="E895" s="19"/>
    </row>
    <row r="896">
      <c r="D896" s="19"/>
      <c r="E896" s="19"/>
    </row>
    <row r="897">
      <c r="D897" s="19"/>
      <c r="E897" s="19"/>
    </row>
    <row r="898">
      <c r="D898" s="19"/>
      <c r="E898" s="19"/>
    </row>
    <row r="899">
      <c r="D899" s="19"/>
      <c r="E899" s="19"/>
    </row>
    <row r="900">
      <c r="D900" s="19"/>
      <c r="E900" s="19"/>
    </row>
    <row r="901">
      <c r="D901" s="19"/>
      <c r="E901" s="19"/>
    </row>
    <row r="902">
      <c r="D902" s="19"/>
      <c r="E902" s="19"/>
    </row>
    <row r="903">
      <c r="D903" s="19"/>
      <c r="E903" s="19"/>
    </row>
    <row r="904">
      <c r="D904" s="19"/>
      <c r="E904" s="19"/>
    </row>
    <row r="905">
      <c r="D905" s="19"/>
      <c r="E905" s="19"/>
    </row>
    <row r="906">
      <c r="D906" s="19"/>
      <c r="E906" s="19"/>
    </row>
    <row r="907">
      <c r="D907" s="19"/>
      <c r="E907" s="19"/>
    </row>
    <row r="908">
      <c r="D908" s="19"/>
      <c r="E908" s="19"/>
    </row>
    <row r="909">
      <c r="D909" s="19"/>
      <c r="E909" s="19"/>
    </row>
    <row r="910">
      <c r="D910" s="19"/>
      <c r="E910" s="19"/>
    </row>
    <row r="911">
      <c r="D911" s="19"/>
      <c r="E911" s="19"/>
    </row>
    <row r="912">
      <c r="D912" s="19"/>
      <c r="E912" s="19"/>
    </row>
    <row r="913">
      <c r="D913" s="19"/>
      <c r="E913" s="19"/>
    </row>
    <row r="914">
      <c r="D914" s="19"/>
      <c r="E914" s="19"/>
    </row>
    <row r="915">
      <c r="D915" s="19"/>
      <c r="E915" s="19"/>
    </row>
    <row r="916">
      <c r="D916" s="19"/>
      <c r="E916" s="19"/>
    </row>
    <row r="917">
      <c r="D917" s="19"/>
      <c r="E917" s="19"/>
    </row>
    <row r="918">
      <c r="D918" s="19"/>
      <c r="E918" s="19"/>
    </row>
    <row r="919">
      <c r="D919" s="19"/>
      <c r="E919" s="19"/>
    </row>
    <row r="920">
      <c r="D920" s="19"/>
      <c r="E920" s="19"/>
    </row>
    <row r="921">
      <c r="D921" s="19"/>
      <c r="E921" s="19"/>
    </row>
    <row r="922">
      <c r="D922" s="19"/>
      <c r="E922" s="19"/>
    </row>
    <row r="923">
      <c r="D923" s="19"/>
      <c r="E923" s="19"/>
    </row>
    <row r="924">
      <c r="D924" s="19"/>
      <c r="E924" s="19"/>
    </row>
    <row r="925">
      <c r="D925" s="19"/>
      <c r="E925" s="19"/>
    </row>
    <row r="926">
      <c r="D926" s="19"/>
      <c r="E926" s="19"/>
    </row>
    <row r="927">
      <c r="D927" s="19"/>
      <c r="E927" s="19"/>
    </row>
    <row r="928">
      <c r="D928" s="19"/>
      <c r="E928" s="19"/>
    </row>
    <row r="929">
      <c r="D929" s="19"/>
      <c r="E929" s="19"/>
    </row>
    <row r="930">
      <c r="D930" s="19"/>
      <c r="E930" s="19"/>
    </row>
    <row r="931">
      <c r="D931" s="19"/>
      <c r="E931" s="19"/>
    </row>
    <row r="932">
      <c r="D932" s="19"/>
      <c r="E932" s="19"/>
    </row>
    <row r="933">
      <c r="D933" s="19"/>
      <c r="E933" s="19"/>
    </row>
    <row r="934">
      <c r="D934" s="19"/>
      <c r="E934" s="19"/>
    </row>
    <row r="935">
      <c r="D935" s="19"/>
      <c r="E935" s="19"/>
    </row>
    <row r="936">
      <c r="D936" s="19"/>
      <c r="E936" s="19"/>
    </row>
    <row r="937">
      <c r="D937" s="19"/>
      <c r="E937" s="19"/>
    </row>
    <row r="938">
      <c r="D938" s="19"/>
      <c r="E938" s="19"/>
    </row>
    <row r="939">
      <c r="D939" s="19"/>
      <c r="E939" s="19"/>
    </row>
    <row r="940">
      <c r="D940" s="19"/>
      <c r="E940" s="19"/>
    </row>
    <row r="941">
      <c r="D941" s="19"/>
      <c r="E941" s="19"/>
    </row>
    <row r="942">
      <c r="D942" s="19"/>
      <c r="E942" s="19"/>
    </row>
    <row r="943">
      <c r="D943" s="19"/>
      <c r="E943" s="19"/>
    </row>
    <row r="944">
      <c r="D944" s="19"/>
      <c r="E944" s="19"/>
    </row>
    <row r="945">
      <c r="D945" s="19"/>
      <c r="E945" s="19"/>
    </row>
    <row r="946">
      <c r="D946" s="19"/>
      <c r="E946" s="19"/>
    </row>
    <row r="947">
      <c r="D947" s="19"/>
      <c r="E947" s="19"/>
    </row>
    <row r="948">
      <c r="D948" s="19"/>
      <c r="E948" s="19"/>
    </row>
    <row r="949">
      <c r="D949" s="19"/>
      <c r="E949" s="19"/>
    </row>
    <row r="950">
      <c r="D950" s="19"/>
      <c r="E950" s="19"/>
    </row>
    <row r="951">
      <c r="D951" s="19"/>
      <c r="E951" s="19"/>
    </row>
    <row r="952">
      <c r="D952" s="19"/>
      <c r="E952" s="19"/>
    </row>
    <row r="953">
      <c r="D953" s="19"/>
      <c r="E953" s="19"/>
    </row>
    <row r="954">
      <c r="D954" s="19"/>
      <c r="E954" s="19"/>
    </row>
    <row r="955">
      <c r="D955" s="19"/>
      <c r="E955" s="19"/>
    </row>
    <row r="956">
      <c r="D956" s="19"/>
      <c r="E956" s="19"/>
    </row>
    <row r="957">
      <c r="D957" s="19"/>
      <c r="E957" s="19"/>
    </row>
    <row r="958">
      <c r="D958" s="19"/>
      <c r="E958" s="19"/>
    </row>
    <row r="959">
      <c r="D959" s="19"/>
      <c r="E959" s="19"/>
    </row>
    <row r="960">
      <c r="D960" s="19"/>
      <c r="E960" s="19"/>
    </row>
    <row r="961">
      <c r="D961" s="19"/>
      <c r="E961" s="19"/>
    </row>
    <row r="962">
      <c r="D962" s="19"/>
      <c r="E962" s="19"/>
    </row>
    <row r="963">
      <c r="D963" s="19"/>
      <c r="E963" s="19"/>
    </row>
    <row r="964">
      <c r="D964" s="19"/>
      <c r="E964" s="19"/>
    </row>
    <row r="965">
      <c r="D965" s="19"/>
      <c r="E965" s="19"/>
    </row>
    <row r="966">
      <c r="D966" s="19"/>
      <c r="E966" s="19"/>
    </row>
    <row r="967">
      <c r="D967" s="19"/>
      <c r="E967" s="19"/>
    </row>
    <row r="968">
      <c r="D968" s="19"/>
      <c r="E968" s="19"/>
    </row>
    <row r="969">
      <c r="D969" s="19"/>
      <c r="E969" s="19"/>
    </row>
    <row r="970">
      <c r="D970" s="19"/>
      <c r="E970" s="19"/>
    </row>
    <row r="971">
      <c r="D971" s="19"/>
      <c r="E971" s="19"/>
    </row>
    <row r="972">
      <c r="D972" s="19"/>
      <c r="E972" s="19"/>
    </row>
    <row r="973">
      <c r="D973" s="19"/>
      <c r="E973" s="19"/>
    </row>
    <row r="974">
      <c r="D974" s="19"/>
      <c r="E974" s="19"/>
    </row>
    <row r="975">
      <c r="D975" s="19"/>
      <c r="E975" s="19"/>
    </row>
    <row r="976">
      <c r="D976" s="19"/>
      <c r="E976" s="19"/>
    </row>
    <row r="977">
      <c r="D977" s="19"/>
      <c r="E977" s="19"/>
    </row>
    <row r="978">
      <c r="D978" s="19"/>
      <c r="E978" s="19"/>
    </row>
    <row r="979">
      <c r="D979" s="19"/>
      <c r="E979" s="19"/>
    </row>
    <row r="980">
      <c r="D980" s="19"/>
      <c r="E980" s="19"/>
    </row>
    <row r="981">
      <c r="D981" s="19"/>
      <c r="E981" s="19"/>
    </row>
    <row r="982">
      <c r="D982" s="19"/>
      <c r="E982" s="19"/>
    </row>
    <row r="983">
      <c r="D983" s="19"/>
      <c r="E983" s="19"/>
    </row>
    <row r="984">
      <c r="D984" s="19"/>
      <c r="E984" s="19"/>
    </row>
    <row r="985">
      <c r="D985" s="19"/>
      <c r="E985" s="19"/>
    </row>
    <row r="986">
      <c r="D986" s="19"/>
      <c r="E986" s="19"/>
    </row>
    <row r="987">
      <c r="D987" s="19"/>
      <c r="E987" s="19"/>
    </row>
    <row r="988">
      <c r="D988" s="19"/>
      <c r="E988" s="19"/>
    </row>
    <row r="989">
      <c r="D989" s="19"/>
      <c r="E989" s="19"/>
    </row>
    <row r="990">
      <c r="D990" s="19"/>
      <c r="E990" s="19"/>
    </row>
    <row r="991">
      <c r="D991" s="19"/>
      <c r="E991" s="19"/>
    </row>
    <row r="992">
      <c r="D992" s="19"/>
      <c r="E992" s="19"/>
    </row>
    <row r="993">
      <c r="D993" s="19"/>
      <c r="E993" s="19"/>
    </row>
    <row r="994">
      <c r="D994" s="19"/>
      <c r="E994" s="19"/>
    </row>
    <row r="995">
      <c r="D995" s="19"/>
      <c r="E995" s="19"/>
    </row>
    <row r="996">
      <c r="D996" s="19"/>
      <c r="E996" s="19"/>
    </row>
    <row r="997">
      <c r="D997" s="19"/>
      <c r="E997" s="19"/>
    </row>
    <row r="998">
      <c r="D998" s="19"/>
      <c r="E998" s="19"/>
    </row>
    <row r="999">
      <c r="D999" s="19"/>
      <c r="E999" s="19"/>
    </row>
    <row r="1000">
      <c r="D1000" s="19"/>
      <c r="E1000" s="19"/>
    </row>
  </sheetData>
  <mergeCells count="2">
    <mergeCell ref="A2:A3"/>
    <mergeCell ref="A4:A5"/>
  </mergeCells>
  <dataValidations>
    <dataValidation type="list" allowBlank="1" showErrorMessage="1" sqref="A2">
      <formula1>'Suivi stockvaleurs'!$E$2:$E$1000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63"/>
    <col customWidth="1" min="2" max="2" width="11.13"/>
    <col customWidth="1" min="3" max="3" width="18.0"/>
    <col customWidth="1" min="4" max="4" width="8.25"/>
    <col customWidth="1" min="5" max="5" width="13.38"/>
    <col customWidth="1" min="6" max="6" width="10.25"/>
    <col customWidth="1" min="7" max="7" width="11.25"/>
    <col customWidth="1" min="8" max="8" width="6.88"/>
    <col customWidth="1" min="9" max="9" width="21.25"/>
    <col customWidth="1" hidden="1" min="10" max="11" width="11.25"/>
    <col customWidth="1" min="12" max="12" width="9.88"/>
    <col customWidth="1" min="13" max="13" width="11.13"/>
    <col customWidth="1" min="14" max="14" width="11.75"/>
    <col customWidth="1" min="15" max="15" width="12.0"/>
    <col customWidth="1" min="16" max="16" width="9.75"/>
    <col customWidth="1" min="17" max="18" width="8.63"/>
    <col customWidth="1" min="19" max="19" width="7.5"/>
    <col customWidth="1" min="20" max="20" width="8.63"/>
    <col customWidth="1" min="21" max="21" width="14.13"/>
    <col customWidth="1" min="22" max="22" width="14.88"/>
  </cols>
  <sheetData>
    <row r="1">
      <c r="A1" s="21" t="s">
        <v>7</v>
      </c>
      <c r="B1" s="21" t="s">
        <v>8</v>
      </c>
      <c r="C1" s="21" t="s">
        <v>9</v>
      </c>
      <c r="D1" s="22" t="s">
        <v>10</v>
      </c>
      <c r="E1" s="23" t="str">
        <f>IFERROR(__xludf.DUMMYFUNCTION("{""GENRE(data)"";
  MAP(D2:D19,
    LAMBDA(c,
      IF(c="""",
        """",
        IF(REGEXMATCH(c,""♀️ */ *♂️""),""Homme/ Femme"",
        IF(REGEXMATCH(c,""♀️ */ *Kevin""),""Femme/ Kevin"",
        IF(REGEXMATCH(c,""♂️ */ *Beno[îi]t""),""Homme/ Benoît"&amp;""",
        IF(REGEXMATCH(c,""♀️""),""Femme"",
        IF(REGEXMATCH(c,""♂️""),""Homme"","""")))))
      )
    )
  )
}
"),"GENRE(data)")</f>
        <v>GENRE(data)</v>
      </c>
      <c r="F1" s="24" t="s">
        <v>11</v>
      </c>
      <c r="G1" s="25" t="str">
        <f>IFERROR(__xludf.DUMMYFUNCTION("{""REFERENCE"";
 MAP(B2:B19, C2:C19, E2:E19,
  LAMBDA(a, b, c,
   IF(AND(a="""", b="""", c=""""), """",
    LET(
      ACR, LAMBDA(x, SUBSTITUTE(REGEXREPLACE("" ""&amp;UPPER(TRIM(x)),""(^| )([A-ZÀ-ÖØ-öø-ÿ])[^ ]*"",""$2""),"" "","""")),
      acrA, ACR(a),
   "&amp;"   acrB, ACR(b),
      uc,   UPPER(TRIM(c)),
      norm, REGEXREPLACE(uc, ""\s*/\s*"", ""/""),
      ban,  REGEXMATCH(norm, ""^HOMME/FEMME$""),
      allow, AND(NOT(ban), REGEXMATCH(norm, ""^(HOMME|FEMME)$|^HOMME/BENO[IÎ]T$|^FEMME/KEVIN$"")),
      acrC, "&amp;"IF(allow,
               IF(REGEXMATCH(norm, ""/""),
                  ACR(INDEX(SPLIT(norm, ""/""), 1, 1)) &amp;
                  ACR(INDEX(SPLIT(norm, ""/""), 1, 2)),
                  ACR(norm)
               ),
               """"
             ),
      T"&amp;"EXTJOIN("""" , TRUE, acrA, acrB, acrC)
    )
   )
  )
)}
"),"REFERENCE")</f>
        <v>REFERENCE</v>
      </c>
      <c r="H1" s="25" t="s">
        <v>12</v>
      </c>
      <c r="I1" s="26" t="s">
        <v>13</v>
      </c>
      <c r="J1" s="25" t="str">
        <f t="array" ref="J1:J17">{"MOIS";
IF(F4:F19="","", 
  UPPER(TEXT(F4:F19,"mmmm"))
 )}
</f>
        <v>MOIS</v>
      </c>
      <c r="K1" s="25" t="str">
        <f t="array" ref="K1:K17">{"MOIS NUM";
IF(F4:F19="",
 "",
 TEXT(MONTH(F4:F19),"00"))}
</f>
        <v>MOIS NUM</v>
      </c>
      <c r="L1" s="24" t="s">
        <v>14</v>
      </c>
      <c r="M1" s="26" t="str">
        <f t="array" ref="M1:M19">{"DELAI DE LIVRAISON";IF(L2:L19="","",L2:L19-F2:F19)}</f>
        <v>DELAI DE LIVRAISON</v>
      </c>
      <c r="N1" s="21" t="s">
        <v>15</v>
      </c>
      <c r="O1" s="25" t="s">
        <v>16</v>
      </c>
      <c r="P1" s="25" t="s">
        <v>17</v>
      </c>
      <c r="Q1" s="21" t="str">
        <f t="array" ref="Q1:Q19">{"PRIX UNITAIRE BRUTE";IF(P2:P19="","",N2:N19/P2:P19)}</f>
        <v>PRIX UNITAIRE BRUTE</v>
      </c>
      <c r="R1" s="26" t="s">
        <v>18</v>
      </c>
      <c r="S1" s="26" t="s">
        <v>19</v>
      </c>
      <c r="T1" s="21" t="str">
        <f t="array" ref="T1:T19">{"PRIX UNITAIRE TTC";IF(P2:P19="","",S2:S19/P2:P19)}</f>
        <v>PRIX UNITAIRE TTC</v>
      </c>
      <c r="U1" s="26" t="s">
        <v>20</v>
      </c>
      <c r="V1" s="27" t="s">
        <v>21</v>
      </c>
    </row>
    <row r="2">
      <c r="A2" s="28">
        <v>1.0</v>
      </c>
      <c r="B2" s="29" t="s">
        <v>22</v>
      </c>
      <c r="C2" s="29" t="s">
        <v>23</v>
      </c>
      <c r="D2" s="30" t="s">
        <v>24</v>
      </c>
      <c r="E2" s="31" t="str">
        <f>IFERROR(__xludf.DUMMYFUNCTION("""COMPUTED_VALUE"""),"Homme/ Femme")</f>
        <v>Homme/ Femme</v>
      </c>
      <c r="F2" s="32">
        <v>45889.0</v>
      </c>
      <c r="G2" s="33" t="str">
        <f>IFERROR(__xludf.DUMMYFUNCTION("""COMPUTED_VALUE"""),"SM")</f>
        <v>SM</v>
      </c>
      <c r="H2" s="34" t="s">
        <v>25</v>
      </c>
      <c r="I2" s="29" t="s">
        <v>26</v>
      </c>
      <c r="J2" s="33" t="s">
        <v>27</v>
      </c>
      <c r="K2" s="33" t="s">
        <v>28</v>
      </c>
      <c r="L2" s="35">
        <v>45898.0</v>
      </c>
      <c r="M2" s="36">
        <v>9.0</v>
      </c>
      <c r="N2" s="37">
        <v>808.57</v>
      </c>
      <c r="O2" s="29">
        <v>17.0</v>
      </c>
      <c r="P2" s="38">
        <v>17.0</v>
      </c>
      <c r="Q2" s="39">
        <v>47.56294117647059</v>
      </c>
      <c r="R2" s="40">
        <v>0.0</v>
      </c>
      <c r="S2" s="41">
        <f t="shared" ref="S2:S4" si="1">SUM(Q2*P2+R2)</f>
        <v>808.57</v>
      </c>
      <c r="T2" s="39">
        <v>47.56294117647059</v>
      </c>
      <c r="U2" s="33"/>
      <c r="V2" s="42">
        <v>45899.0</v>
      </c>
    </row>
    <row r="3">
      <c r="A3" s="28">
        <v>2.0</v>
      </c>
      <c r="B3" s="29" t="s">
        <v>29</v>
      </c>
      <c r="C3" s="29" t="s">
        <v>30</v>
      </c>
      <c r="D3" s="30" t="s">
        <v>24</v>
      </c>
      <c r="E3" s="31" t="str">
        <f>IFERROR(__xludf.DUMMYFUNCTION("""COMPUTED_VALUE"""),"Homme/ Femme")</f>
        <v>Homme/ Femme</v>
      </c>
      <c r="F3" s="32">
        <v>45887.0</v>
      </c>
      <c r="G3" s="33" t="str">
        <f>IFERROR(__xludf.DUMMYFUNCTION("""COMPUTED_VALUE"""),"VWN")</f>
        <v>VWN</v>
      </c>
      <c r="H3" s="34" t="s">
        <v>25</v>
      </c>
      <c r="I3" s="29" t="s">
        <v>30</v>
      </c>
      <c r="J3" s="33" t="s">
        <v>31</v>
      </c>
      <c r="K3" s="33" t="s">
        <v>32</v>
      </c>
      <c r="L3" s="35">
        <v>45898.0</v>
      </c>
      <c r="M3" s="29">
        <v>11.0</v>
      </c>
      <c r="N3" s="43">
        <v>38.83</v>
      </c>
      <c r="O3" s="29">
        <v>7.0</v>
      </c>
      <c r="P3" s="38">
        <v>7.0</v>
      </c>
      <c r="Q3" s="39">
        <v>5.547142857142857</v>
      </c>
      <c r="R3" s="40">
        <v>0.0</v>
      </c>
      <c r="S3" s="41">
        <f t="shared" si="1"/>
        <v>38.83</v>
      </c>
      <c r="T3" s="39">
        <v>5.547142857142857</v>
      </c>
      <c r="U3" s="33"/>
      <c r="V3" s="42">
        <v>45899.0</v>
      </c>
    </row>
    <row r="4">
      <c r="A4" s="28">
        <v>3.0</v>
      </c>
      <c r="B4" s="28" t="s">
        <v>29</v>
      </c>
      <c r="C4" s="28" t="s">
        <v>33</v>
      </c>
      <c r="D4" s="30" t="s">
        <v>34</v>
      </c>
      <c r="E4" s="28" t="str">
        <f>IFERROR(__xludf.DUMMYFUNCTION("""COMPUTED_VALUE"""),"Homme/ Benoît")</f>
        <v>Homme/ Benoît</v>
      </c>
      <c r="F4" s="44">
        <v>43890.0</v>
      </c>
      <c r="G4" s="45" t="str">
        <f>IFERROR(__xludf.DUMMYFUNCTION("""COMPUTED_VALUE"""),"VPHB")</f>
        <v>VPHB</v>
      </c>
      <c r="H4" s="46" t="s">
        <v>25</v>
      </c>
      <c r="I4" s="28" t="s">
        <v>35</v>
      </c>
      <c r="J4" s="45" t="s">
        <v>31</v>
      </c>
      <c r="K4" s="45" t="s">
        <v>32</v>
      </c>
      <c r="L4" s="44">
        <v>43891.0</v>
      </c>
      <c r="M4" s="47">
        <v>1.0</v>
      </c>
      <c r="N4" s="48">
        <v>0.0</v>
      </c>
      <c r="O4" s="49">
        <v>10.0</v>
      </c>
      <c r="P4" s="49">
        <v>10.0</v>
      </c>
      <c r="Q4" s="41">
        <v>0.0</v>
      </c>
      <c r="R4" s="48">
        <v>0.0</v>
      </c>
      <c r="S4" s="41">
        <f t="shared" si="1"/>
        <v>0</v>
      </c>
      <c r="T4" s="48">
        <v>0.0</v>
      </c>
      <c r="U4" s="50"/>
      <c r="V4" s="42">
        <v>44075.0</v>
      </c>
    </row>
    <row r="5">
      <c r="A5" s="28">
        <v>4.0</v>
      </c>
      <c r="B5" s="28" t="s">
        <v>36</v>
      </c>
      <c r="C5" s="28" t="s">
        <v>37</v>
      </c>
      <c r="D5" s="30" t="s">
        <v>38</v>
      </c>
      <c r="E5" s="28" t="str">
        <f>IFERROR(__xludf.DUMMYFUNCTION("""COMPUTED_VALUE"""),"Femme/ Kevin")</f>
        <v>Femme/ Kevin</v>
      </c>
      <c r="F5" s="51">
        <v>45898.0</v>
      </c>
      <c r="G5" s="28" t="str">
        <f>IFERROR(__xludf.DUMMYFUNCTION("""COMPUTED_VALUE"""),"JLFK")</f>
        <v>JLFK</v>
      </c>
      <c r="H5" s="46" t="s">
        <v>25</v>
      </c>
      <c r="I5" s="52" t="s">
        <v>39</v>
      </c>
      <c r="J5" s="28" t="s">
        <v>31</v>
      </c>
      <c r="K5" s="28" t="s">
        <v>32</v>
      </c>
      <c r="L5" s="51">
        <v>45904.0</v>
      </c>
      <c r="M5" s="47">
        <v>6.0</v>
      </c>
      <c r="N5" s="41">
        <v>408.0</v>
      </c>
      <c r="O5" s="47">
        <v>60.0</v>
      </c>
      <c r="P5" s="47">
        <v>62.0</v>
      </c>
      <c r="Q5" s="41">
        <v>6.580645161290323</v>
      </c>
      <c r="R5" s="41">
        <v>30.5</v>
      </c>
      <c r="S5" s="48">
        <v>438.61</v>
      </c>
      <c r="T5" s="41">
        <v>7.074354838709677</v>
      </c>
      <c r="U5" s="50"/>
      <c r="V5" s="42">
        <v>45905.0</v>
      </c>
    </row>
    <row r="6">
      <c r="A6" s="28">
        <v>5.0</v>
      </c>
      <c r="B6" s="28" t="s">
        <v>29</v>
      </c>
      <c r="C6" s="28" t="s">
        <v>40</v>
      </c>
      <c r="D6" s="30" t="s">
        <v>41</v>
      </c>
      <c r="E6" s="28" t="str">
        <f>IFERROR(__xludf.DUMMYFUNCTION("""COMPUTED_VALUE"""),"Homme")</f>
        <v>Homme</v>
      </c>
      <c r="F6" s="51">
        <v>45899.0</v>
      </c>
      <c r="G6" s="45" t="str">
        <f>IFERROR(__xludf.DUMMYFUNCTION("""COMPUTED_VALUE"""),"VTH")</f>
        <v>VTH</v>
      </c>
      <c r="H6" s="46" t="s">
        <v>25</v>
      </c>
      <c r="I6" s="52" t="s">
        <v>42</v>
      </c>
      <c r="J6" s="45" t="s">
        <v>43</v>
      </c>
      <c r="K6" s="45" t="s">
        <v>44</v>
      </c>
      <c r="L6" s="51">
        <v>45906.0</v>
      </c>
      <c r="M6" s="47">
        <v>7.0</v>
      </c>
      <c r="N6" s="48">
        <v>41.18</v>
      </c>
      <c r="O6" s="49">
        <v>29.0</v>
      </c>
      <c r="P6" s="49">
        <v>29.0</v>
      </c>
      <c r="Q6" s="41">
        <v>1.42</v>
      </c>
      <c r="R6" s="41">
        <v>0.0</v>
      </c>
      <c r="S6" s="41">
        <f t="shared" ref="S6:S10" si="2">SUM(Q6*P6+R6)</f>
        <v>41.18</v>
      </c>
      <c r="T6" s="53">
        <v>1.42</v>
      </c>
      <c r="U6" s="50"/>
      <c r="V6" s="42">
        <v>45907.0</v>
      </c>
    </row>
    <row r="7">
      <c r="A7" s="28">
        <v>6.0</v>
      </c>
      <c r="B7" s="28" t="s">
        <v>29</v>
      </c>
      <c r="C7" s="28" t="s">
        <v>40</v>
      </c>
      <c r="D7" s="30" t="s">
        <v>45</v>
      </c>
      <c r="E7" s="28" t="str">
        <f>IFERROR(__xludf.DUMMYFUNCTION("""COMPUTED_VALUE"""),"Femme")</f>
        <v>Femme</v>
      </c>
      <c r="F7" s="51">
        <v>45899.0</v>
      </c>
      <c r="G7" s="45" t="str">
        <f>IFERROR(__xludf.DUMMYFUNCTION("""COMPUTED_VALUE"""),"VTF")</f>
        <v>VTF</v>
      </c>
      <c r="H7" s="46" t="s">
        <v>25</v>
      </c>
      <c r="I7" s="52" t="s">
        <v>42</v>
      </c>
      <c r="J7" s="45" t="s">
        <v>43</v>
      </c>
      <c r="K7" s="45" t="s">
        <v>44</v>
      </c>
      <c r="L7" s="51">
        <v>45906.0</v>
      </c>
      <c r="M7" s="47">
        <v>7.0</v>
      </c>
      <c r="N7" s="48">
        <v>48.28</v>
      </c>
      <c r="O7" s="49">
        <v>34.0</v>
      </c>
      <c r="P7" s="49">
        <v>34.0</v>
      </c>
      <c r="Q7" s="41">
        <v>1.42</v>
      </c>
      <c r="R7" s="41">
        <v>0.0</v>
      </c>
      <c r="S7" s="41">
        <f t="shared" si="2"/>
        <v>48.28</v>
      </c>
      <c r="T7" s="41">
        <v>1.42</v>
      </c>
      <c r="U7" s="50"/>
      <c r="V7" s="42">
        <v>45907.0</v>
      </c>
    </row>
    <row r="8">
      <c r="A8" s="28">
        <v>7.0</v>
      </c>
      <c r="B8" s="28" t="s">
        <v>46</v>
      </c>
      <c r="C8" s="28" t="s">
        <v>47</v>
      </c>
      <c r="D8" s="30" t="s">
        <v>24</v>
      </c>
      <c r="E8" s="28" t="str">
        <f>IFERROR(__xludf.DUMMYFUNCTION("""COMPUTED_VALUE"""),"Homme/ Femme")</f>
        <v>Homme/ Femme</v>
      </c>
      <c r="F8" s="51">
        <v>45910.0</v>
      </c>
      <c r="G8" s="28" t="str">
        <f>IFERROR(__xludf.DUMMYFUNCTION("""COMPUTED_VALUE"""),"JMB")</f>
        <v>JMB</v>
      </c>
      <c r="H8" s="46" t="s">
        <v>48</v>
      </c>
      <c r="I8" s="52" t="s">
        <v>39</v>
      </c>
      <c r="J8" s="28" t="s">
        <v>43</v>
      </c>
      <c r="K8" s="28" t="s">
        <v>44</v>
      </c>
      <c r="L8" s="51">
        <v>45922.0</v>
      </c>
      <c r="M8" s="47">
        <v>12.0</v>
      </c>
      <c r="N8" s="41">
        <v>238.0</v>
      </c>
      <c r="O8" s="47">
        <v>60.0</v>
      </c>
      <c r="P8" s="47">
        <v>60.0</v>
      </c>
      <c r="Q8" s="41">
        <v>3.966666666666667</v>
      </c>
      <c r="R8" s="41">
        <v>47.0</v>
      </c>
      <c r="S8" s="41">
        <f t="shared" si="2"/>
        <v>285</v>
      </c>
      <c r="T8" s="41">
        <v>4.75</v>
      </c>
      <c r="U8" s="50"/>
      <c r="V8" s="42">
        <v>45923.0</v>
      </c>
    </row>
    <row r="9">
      <c r="A9" s="28">
        <v>8.0</v>
      </c>
      <c r="B9" s="28" t="s">
        <v>49</v>
      </c>
      <c r="C9" s="28" t="s">
        <v>50</v>
      </c>
      <c r="D9" s="30" t="s">
        <v>24</v>
      </c>
      <c r="E9" s="28" t="str">
        <f>IFERROR(__xludf.DUMMYFUNCTION("""COMPUTED_VALUE"""),"Homme/ Femme")</f>
        <v>Homme/ Femme</v>
      </c>
      <c r="F9" s="51">
        <v>45923.0</v>
      </c>
      <c r="G9" s="28" t="str">
        <f>IFERROR(__xludf.DUMMYFUNCTION("""COMPUTED_VALUE"""),"PTNF")</f>
        <v>PTNF</v>
      </c>
      <c r="H9" s="46" t="s">
        <v>25</v>
      </c>
      <c r="I9" s="52" t="s">
        <v>51</v>
      </c>
      <c r="J9" s="28" t="s">
        <v>43</v>
      </c>
      <c r="K9" s="28" t="s">
        <v>44</v>
      </c>
      <c r="L9" s="51">
        <v>45952.0</v>
      </c>
      <c r="M9" s="47">
        <v>29.0</v>
      </c>
      <c r="N9" s="41">
        <v>184.0</v>
      </c>
      <c r="O9" s="47">
        <v>20.0</v>
      </c>
      <c r="P9" s="47">
        <v>20.0</v>
      </c>
      <c r="Q9" s="41">
        <v>9.2</v>
      </c>
      <c r="R9" s="41">
        <v>15.33</v>
      </c>
      <c r="S9" s="41">
        <f t="shared" si="2"/>
        <v>199.33</v>
      </c>
      <c r="T9" s="41">
        <v>9.9665</v>
      </c>
      <c r="U9" s="52" t="s">
        <v>52</v>
      </c>
      <c r="V9" s="42">
        <v>45953.0</v>
      </c>
    </row>
    <row r="10">
      <c r="A10" s="28">
        <v>9.0</v>
      </c>
      <c r="B10" s="28" t="s">
        <v>49</v>
      </c>
      <c r="C10" s="28" t="s">
        <v>53</v>
      </c>
      <c r="D10" s="30" t="s">
        <v>24</v>
      </c>
      <c r="E10" s="28" t="str">
        <f>IFERROR(__xludf.DUMMYFUNCTION("""COMPUTED_VALUE"""),"Homme/ Femme")</f>
        <v>Homme/ Femme</v>
      </c>
      <c r="F10" s="51">
        <v>45923.0</v>
      </c>
      <c r="G10" s="28" t="str">
        <f>IFERROR(__xludf.DUMMYFUNCTION("""COMPUTED_VALUE"""),"PC")</f>
        <v>PC</v>
      </c>
      <c r="H10" s="46" t="s">
        <v>25</v>
      </c>
      <c r="I10" s="52" t="s">
        <v>51</v>
      </c>
      <c r="J10" s="28" t="s">
        <v>43</v>
      </c>
      <c r="K10" s="28" t="s">
        <v>44</v>
      </c>
      <c r="L10" s="51">
        <v>45952.0</v>
      </c>
      <c r="M10" s="47">
        <v>29.0</v>
      </c>
      <c r="N10" s="41">
        <v>65.0</v>
      </c>
      <c r="O10" s="47">
        <v>10.0</v>
      </c>
      <c r="P10" s="47">
        <v>10.0</v>
      </c>
      <c r="Q10" s="41">
        <v>6.5</v>
      </c>
      <c r="R10" s="41">
        <v>7.66</v>
      </c>
      <c r="S10" s="41">
        <f t="shared" si="2"/>
        <v>72.66</v>
      </c>
      <c r="T10" s="41">
        <v>7.266</v>
      </c>
      <c r="U10" s="52" t="s">
        <v>52</v>
      </c>
      <c r="V10" s="42">
        <v>45953.0</v>
      </c>
    </row>
    <row r="11">
      <c r="A11" s="28">
        <v>10.0</v>
      </c>
      <c r="B11" s="28" t="s">
        <v>36</v>
      </c>
      <c r="C11" s="28" t="s">
        <v>37</v>
      </c>
      <c r="D11" s="30" t="s">
        <v>45</v>
      </c>
      <c r="E11" s="28" t="str">
        <f>IFERROR(__xludf.DUMMYFUNCTION("""COMPUTED_VALUE"""),"Femme")</f>
        <v>Femme</v>
      </c>
      <c r="F11" s="51">
        <v>45925.0</v>
      </c>
      <c r="G11" s="28" t="str">
        <f>IFERROR(__xludf.DUMMYFUNCTION("""COMPUTED_VALUE"""),"JLF")</f>
        <v>JLF</v>
      </c>
      <c r="H11" s="46" t="s">
        <v>25</v>
      </c>
      <c r="I11" s="52" t="s">
        <v>54</v>
      </c>
      <c r="J11" s="28" t="s">
        <v>43</v>
      </c>
      <c r="K11" s="28" t="s">
        <v>44</v>
      </c>
      <c r="L11" s="51">
        <v>45937.0</v>
      </c>
      <c r="M11" s="47">
        <v>12.0</v>
      </c>
      <c r="N11" s="41">
        <v>408.0</v>
      </c>
      <c r="O11" s="47">
        <v>60.0</v>
      </c>
      <c r="P11" s="47">
        <v>64.0</v>
      </c>
      <c r="Q11" s="41">
        <v>6.375</v>
      </c>
      <c r="R11" s="41">
        <v>45.45</v>
      </c>
      <c r="S11" s="48">
        <v>453.56</v>
      </c>
      <c r="T11" s="41">
        <v>7.086875</v>
      </c>
      <c r="U11" s="50"/>
      <c r="V11" s="42">
        <v>45938.0</v>
      </c>
    </row>
    <row r="12">
      <c r="A12" s="28">
        <v>11.0</v>
      </c>
      <c r="B12" s="28" t="s">
        <v>49</v>
      </c>
      <c r="C12" s="28" t="s">
        <v>50</v>
      </c>
      <c r="D12" s="30" t="s">
        <v>24</v>
      </c>
      <c r="E12" s="28" t="str">
        <f>IFERROR(__xludf.DUMMYFUNCTION("""COMPUTED_VALUE"""),"Homme/ Femme")</f>
        <v>Homme/ Femme</v>
      </c>
      <c r="F12" s="51">
        <v>45925.0</v>
      </c>
      <c r="G12" s="28" t="str">
        <f>IFERROR(__xludf.DUMMYFUNCTION("""COMPUTED_VALUE"""),"PTNF")</f>
        <v>PTNF</v>
      </c>
      <c r="H12" s="46" t="s">
        <v>25</v>
      </c>
      <c r="I12" s="52" t="s">
        <v>54</v>
      </c>
      <c r="J12" s="28" t="s">
        <v>55</v>
      </c>
      <c r="K12" s="28" t="s">
        <v>56</v>
      </c>
      <c r="L12" s="51">
        <v>45937.0</v>
      </c>
      <c r="M12" s="47">
        <v>12.0</v>
      </c>
      <c r="N12" s="41">
        <v>436.0</v>
      </c>
      <c r="O12" s="47">
        <v>40.0</v>
      </c>
      <c r="P12" s="47">
        <v>41.0</v>
      </c>
      <c r="Q12" s="41">
        <v>10.634146341463415</v>
      </c>
      <c r="R12" s="41">
        <v>30.05</v>
      </c>
      <c r="S12" s="41">
        <f>SUM(Q12*P12+R12)</f>
        <v>466.05</v>
      </c>
      <c r="T12" s="41">
        <v>11.367073170731707</v>
      </c>
      <c r="U12" s="50"/>
      <c r="V12" s="42">
        <v>45938.0</v>
      </c>
    </row>
    <row r="13">
      <c r="A13" s="28">
        <v>12.0</v>
      </c>
      <c r="B13" s="28" t="s">
        <v>36</v>
      </c>
      <c r="C13" s="28" t="s">
        <v>37</v>
      </c>
      <c r="D13" s="30" t="s">
        <v>45</v>
      </c>
      <c r="E13" s="28" t="str">
        <f>IFERROR(__xludf.DUMMYFUNCTION("""COMPUTED_VALUE"""),"Femme")</f>
        <v>Femme</v>
      </c>
      <c r="F13" s="51">
        <v>45928.0</v>
      </c>
      <c r="G13" s="28" t="str">
        <f>IFERROR(__xludf.DUMMYFUNCTION("""COMPUTED_VALUE"""),"JLF")</f>
        <v>JLF</v>
      </c>
      <c r="H13" s="46" t="s">
        <v>25</v>
      </c>
      <c r="I13" s="52" t="s">
        <v>57</v>
      </c>
      <c r="J13" s="28" t="s">
        <v>55</v>
      </c>
      <c r="K13" s="28" t="s">
        <v>56</v>
      </c>
      <c r="L13" s="51">
        <v>45937.0</v>
      </c>
      <c r="M13" s="47">
        <v>9.0</v>
      </c>
      <c r="N13" s="41">
        <v>464.0</v>
      </c>
      <c r="O13" s="47">
        <v>70.0</v>
      </c>
      <c r="P13" s="47">
        <v>73.0</v>
      </c>
      <c r="Q13" s="41">
        <v>6.3561643835616435</v>
      </c>
      <c r="R13" s="41">
        <v>52.78</v>
      </c>
      <c r="S13" s="48">
        <v>517.0</v>
      </c>
      <c r="T13" s="41">
        <v>7.082191780821918</v>
      </c>
      <c r="U13" s="50"/>
      <c r="V13" s="42">
        <v>45938.0</v>
      </c>
    </row>
    <row r="14">
      <c r="A14" s="28"/>
      <c r="B14" s="28" t="s">
        <v>46</v>
      </c>
      <c r="C14" s="28" t="s">
        <v>58</v>
      </c>
      <c r="D14" s="30" t="s">
        <v>24</v>
      </c>
      <c r="E14" s="28" t="str">
        <f>IFERROR(__xludf.DUMMYFUNCTION("""COMPUTED_VALUE"""),"Homme/ Femme")</f>
        <v>Homme/ Femme</v>
      </c>
      <c r="F14" s="51">
        <v>45934.0</v>
      </c>
      <c r="G14" s="54" t="str">
        <f>IFERROR(__xludf.DUMMYFUNCTION("""COMPUTED_VALUE"""),"JCR")</f>
        <v>JCR</v>
      </c>
      <c r="H14" s="46" t="s">
        <v>25</v>
      </c>
      <c r="I14" s="52" t="s">
        <v>59</v>
      </c>
      <c r="J14" s="54" t="s">
        <v>55</v>
      </c>
      <c r="K14" s="54" t="s">
        <v>56</v>
      </c>
      <c r="L14" s="44"/>
      <c r="M14" s="47" t="s">
        <v>60</v>
      </c>
      <c r="N14" s="41">
        <v>525.0</v>
      </c>
      <c r="O14" s="47">
        <v>30.0</v>
      </c>
      <c r="P14" s="55"/>
      <c r="Q14" s="41" t="s">
        <v>60</v>
      </c>
      <c r="R14" s="56"/>
      <c r="S14" s="41">
        <f>SUM(Q14*P14+R14)</f>
        <v>0</v>
      </c>
      <c r="T14" s="41" t="s">
        <v>60</v>
      </c>
      <c r="U14" s="50"/>
      <c r="V14" s="42" t="b">
        <v>0</v>
      </c>
    </row>
    <row r="15">
      <c r="A15" s="28">
        <v>14.0</v>
      </c>
      <c r="B15" s="28" t="s">
        <v>61</v>
      </c>
      <c r="C15" s="28" t="s">
        <v>62</v>
      </c>
      <c r="D15" s="30" t="s">
        <v>45</v>
      </c>
      <c r="E15" s="28" t="str">
        <f>IFERROR(__xludf.DUMMYFUNCTION("""COMPUTED_VALUE"""),"Femme")</f>
        <v>Femme</v>
      </c>
      <c r="F15" s="51">
        <v>45939.0</v>
      </c>
      <c r="G15" s="28" t="str">
        <f>IFERROR(__xludf.DUMMYFUNCTION("""COMPUTED_VALUE"""),"PTF")</f>
        <v>PTF</v>
      </c>
      <c r="H15" s="46" t="s">
        <v>25</v>
      </c>
      <c r="I15" s="52" t="s">
        <v>63</v>
      </c>
      <c r="J15" s="28" t="s">
        <v>55</v>
      </c>
      <c r="K15" s="28" t="s">
        <v>56</v>
      </c>
      <c r="L15" s="51">
        <v>45944.0</v>
      </c>
      <c r="M15" s="47">
        <v>5.0</v>
      </c>
      <c r="N15" s="41">
        <v>200.0</v>
      </c>
      <c r="O15" s="47">
        <v>55.0</v>
      </c>
      <c r="P15" s="47">
        <v>56.0</v>
      </c>
      <c r="Q15" s="41">
        <v>3.5714285714285716</v>
      </c>
      <c r="R15" s="41">
        <v>26.0</v>
      </c>
      <c r="S15" s="48">
        <v>226.21999999999997</v>
      </c>
      <c r="T15" s="41">
        <v>4.039642857142857</v>
      </c>
      <c r="U15" s="50"/>
      <c r="V15" s="42">
        <v>45945.0</v>
      </c>
    </row>
    <row r="16">
      <c r="A16" s="28">
        <v>15.0</v>
      </c>
      <c r="B16" s="28" t="s">
        <v>36</v>
      </c>
      <c r="C16" s="28" t="s">
        <v>37</v>
      </c>
      <c r="D16" s="30" t="s">
        <v>45</v>
      </c>
      <c r="E16" s="28" t="str">
        <f>IFERROR(__xludf.DUMMYFUNCTION("""COMPUTED_VALUE"""),"Femme")</f>
        <v>Femme</v>
      </c>
      <c r="F16" s="51">
        <v>45941.0</v>
      </c>
      <c r="G16" s="28" t="str">
        <f>IFERROR(__xludf.DUMMYFUNCTION("""COMPUTED_VALUE"""),"JLF")</f>
        <v>JLF</v>
      </c>
      <c r="H16" s="46" t="s">
        <v>25</v>
      </c>
      <c r="I16" s="52" t="s">
        <v>64</v>
      </c>
      <c r="J16" s="28" t="s">
        <v>55</v>
      </c>
      <c r="K16" s="28" t="s">
        <v>56</v>
      </c>
      <c r="L16" s="51">
        <v>45947.0</v>
      </c>
      <c r="M16" s="47">
        <v>6.0</v>
      </c>
      <c r="N16" s="41">
        <v>654.0</v>
      </c>
      <c r="O16" s="47">
        <v>100.0</v>
      </c>
      <c r="P16" s="47">
        <v>100.0</v>
      </c>
      <c r="Q16" s="41">
        <v>6.54</v>
      </c>
      <c r="R16" s="41">
        <v>55.0</v>
      </c>
      <c r="S16" s="48">
        <v>709.6600000000001</v>
      </c>
      <c r="T16" s="41">
        <v>7.0966000000000005</v>
      </c>
      <c r="U16" s="50"/>
      <c r="V16" s="42">
        <v>45948.0</v>
      </c>
    </row>
    <row r="17">
      <c r="A17" s="28">
        <v>16.0</v>
      </c>
      <c r="B17" s="28" t="s">
        <v>36</v>
      </c>
      <c r="C17" s="28" t="s">
        <v>65</v>
      </c>
      <c r="D17" s="30" t="s">
        <v>45</v>
      </c>
      <c r="E17" s="28" t="str">
        <f>IFERROR(__xludf.DUMMYFUNCTION("""COMPUTED_VALUE"""),"Femme")</f>
        <v>Femme</v>
      </c>
      <c r="F17" s="51">
        <v>45953.0</v>
      </c>
      <c r="G17" s="54" t="str">
        <f>IFERROR(__xludf.DUMMYFUNCTION("""COMPUTED_VALUE"""),"JLF")</f>
        <v>JLF</v>
      </c>
      <c r="H17" s="46" t="s">
        <v>25</v>
      </c>
      <c r="I17" s="52" t="s">
        <v>64</v>
      </c>
      <c r="J17" s="54" t="s">
        <v>60</v>
      </c>
      <c r="K17" s="54" t="s">
        <v>60</v>
      </c>
      <c r="L17" s="57">
        <v>45959.0</v>
      </c>
      <c r="M17" s="47">
        <v>6.0</v>
      </c>
      <c r="N17" s="41">
        <v>634.0</v>
      </c>
      <c r="O17" s="47">
        <v>100.0</v>
      </c>
      <c r="P17" s="58">
        <v>100.0</v>
      </c>
      <c r="Q17" s="56">
        <v>6.34</v>
      </c>
      <c r="R17" s="59">
        <v>80.5</v>
      </c>
      <c r="S17" s="48">
        <v>715.1600000000001</v>
      </c>
      <c r="T17" s="56">
        <v>7.151600000000001</v>
      </c>
      <c r="U17" s="50"/>
      <c r="V17" s="42">
        <v>45960.0</v>
      </c>
    </row>
    <row r="18">
      <c r="A18" s="28"/>
      <c r="B18" s="28" t="s">
        <v>61</v>
      </c>
      <c r="C18" s="28" t="s">
        <v>62</v>
      </c>
      <c r="D18" s="30" t="s">
        <v>45</v>
      </c>
      <c r="E18" s="31" t="str">
        <f>IFERROR(__xludf.DUMMYFUNCTION("""COMPUTED_VALUE"""),"Femme")</f>
        <v>Femme</v>
      </c>
      <c r="F18" s="32">
        <v>45960.0</v>
      </c>
      <c r="G18" s="33" t="str">
        <f>IFERROR(__xludf.DUMMYFUNCTION("""COMPUTED_VALUE"""),"PTF")</f>
        <v>PTF</v>
      </c>
      <c r="H18" s="46" t="s">
        <v>25</v>
      </c>
      <c r="I18" s="52" t="s">
        <v>63</v>
      </c>
      <c r="J18" s="33"/>
      <c r="K18" s="33"/>
      <c r="L18" s="60"/>
      <c r="M18" s="36" t="s">
        <v>60</v>
      </c>
      <c r="N18" s="61"/>
      <c r="O18" s="29">
        <v>200.0</v>
      </c>
      <c r="P18" s="33"/>
      <c r="Q18" s="39" t="s">
        <v>60</v>
      </c>
      <c r="R18" s="33"/>
      <c r="S18" s="41">
        <f>SUM(Q18*P18+R18)</f>
        <v>0</v>
      </c>
      <c r="T18" s="39" t="s">
        <v>60</v>
      </c>
      <c r="U18" s="33"/>
      <c r="V18" s="42" t="b">
        <v>0</v>
      </c>
    </row>
    <row r="19">
      <c r="A19" s="28"/>
      <c r="B19" s="28"/>
      <c r="C19" s="28"/>
      <c r="D19" s="30"/>
      <c r="E19" s="31" t="str">
        <f>IFERROR(__xludf.DUMMYFUNCTION("""COMPUTED_VALUE"""),"")</f>
        <v/>
      </c>
      <c r="F19" s="32"/>
      <c r="G19" s="33" t="str">
        <f>IFERROR(__xludf.DUMMYFUNCTION("""COMPUTED_VALUE"""),"")</f>
        <v/>
      </c>
      <c r="H19" s="46"/>
      <c r="I19" s="52"/>
      <c r="J19" s="33"/>
      <c r="K19" s="33"/>
      <c r="L19" s="60"/>
      <c r="M19" s="36" t="s">
        <v>60</v>
      </c>
      <c r="N19" s="61">
        <f>24*4.75</f>
        <v>114</v>
      </c>
      <c r="O19" s="29"/>
      <c r="P19" s="33"/>
      <c r="Q19" s="39" t="s">
        <v>60</v>
      </c>
      <c r="R19" s="33"/>
      <c r="S19" s="41"/>
      <c r="T19" s="39" t="s">
        <v>60</v>
      </c>
      <c r="U19" s="33"/>
      <c r="V19" s="42" t="b">
        <v>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31.0"/>
    <col customWidth="1" hidden="1" min="3" max="3" width="46.75"/>
    <col customWidth="1" min="4" max="4" width="26.25"/>
    <col customWidth="1" min="5" max="5" width="14.75"/>
    <col customWidth="1" min="6" max="6" width="17.75"/>
    <col customWidth="1" min="7" max="7" width="22.13"/>
    <col customWidth="1" min="8" max="8" width="20.5"/>
    <col customWidth="1" min="9" max="9" width="16.88"/>
    <col customWidth="1" min="10" max="10" width="15.88"/>
    <col customWidth="1" min="11" max="11" width="14.0"/>
    <col customWidth="1" min="12" max="13" width="13.25"/>
    <col customWidth="1" min="14" max="14" width="2.63"/>
    <col customWidth="1" min="15" max="15" width="33.13"/>
  </cols>
  <sheetData>
    <row r="1" ht="22.5" customHeight="1">
      <c r="A1" s="62" t="s">
        <v>7</v>
      </c>
      <c r="B1" s="63" t="s">
        <v>8</v>
      </c>
      <c r="C1" s="63" t="s">
        <v>66</v>
      </c>
      <c r="D1" s="63" t="s">
        <v>67</v>
      </c>
      <c r="E1" s="64" t="s">
        <v>68</v>
      </c>
      <c r="F1" s="65" t="s">
        <v>69</v>
      </c>
      <c r="G1" s="64" t="s">
        <v>70</v>
      </c>
      <c r="H1" s="64" t="s">
        <v>71</v>
      </c>
      <c r="I1" s="64" t="s">
        <v>72</v>
      </c>
      <c r="J1" s="66" t="s">
        <v>73</v>
      </c>
      <c r="K1" s="67" t="s">
        <v>74</v>
      </c>
      <c r="L1" s="67" t="s">
        <v>75</v>
      </c>
      <c r="M1" s="68" t="s">
        <v>76</v>
      </c>
      <c r="N1" s="69"/>
    </row>
    <row r="2" ht="22.5" customHeight="1">
      <c r="A2" s="70">
        <v>3.0</v>
      </c>
      <c r="B2" s="71" t="s">
        <v>77</v>
      </c>
      <c r="C2" s="72"/>
      <c r="D2" s="73" t="s">
        <v>78</v>
      </c>
      <c r="E2" s="74">
        <v>43891.0</v>
      </c>
      <c r="F2" s="74">
        <v>44075.0</v>
      </c>
      <c r="G2" s="74"/>
      <c r="H2" s="74"/>
      <c r="I2" s="75"/>
      <c r="J2" s="76"/>
      <c r="K2" s="77"/>
      <c r="L2" s="77"/>
      <c r="M2" s="78"/>
      <c r="N2" s="17"/>
      <c r="O2" s="79"/>
      <c r="P2" s="79"/>
      <c r="Q2" s="79"/>
      <c r="R2" s="79"/>
    </row>
    <row r="3" ht="22.5" customHeight="1">
      <c r="A3" s="70">
        <v>3.0</v>
      </c>
      <c r="B3" s="71" t="s">
        <v>77</v>
      </c>
      <c r="C3" s="72"/>
      <c r="D3" s="73" t="s">
        <v>79</v>
      </c>
      <c r="E3" s="74">
        <v>43891.0</v>
      </c>
      <c r="F3" s="74">
        <v>44075.0</v>
      </c>
      <c r="G3" s="74"/>
      <c r="H3" s="74"/>
      <c r="I3" s="75"/>
      <c r="J3" s="76"/>
      <c r="K3" s="77"/>
      <c r="L3" s="77"/>
      <c r="M3" s="78"/>
      <c r="N3" s="17"/>
      <c r="O3" s="79"/>
      <c r="P3" s="79"/>
      <c r="Q3" s="79"/>
      <c r="R3" s="79"/>
    </row>
    <row r="4" ht="22.5" customHeight="1">
      <c r="A4" s="70">
        <v>3.0</v>
      </c>
      <c r="B4" s="71" t="s">
        <v>77</v>
      </c>
      <c r="C4" s="72"/>
      <c r="D4" s="73" t="s">
        <v>80</v>
      </c>
      <c r="E4" s="74">
        <v>43891.0</v>
      </c>
      <c r="F4" s="74">
        <v>44075.0</v>
      </c>
      <c r="G4" s="74"/>
      <c r="H4" s="74"/>
      <c r="I4" s="75"/>
      <c r="J4" s="76"/>
      <c r="K4" s="77"/>
      <c r="L4" s="77"/>
      <c r="M4" s="78"/>
      <c r="N4" s="17"/>
      <c r="O4" s="79"/>
      <c r="P4" s="79"/>
      <c r="Q4" s="79"/>
      <c r="R4" s="79"/>
    </row>
    <row r="5" ht="22.5" customHeight="1">
      <c r="A5" s="70">
        <v>3.0</v>
      </c>
      <c r="B5" s="71" t="s">
        <v>77</v>
      </c>
      <c r="C5" s="72"/>
      <c r="D5" s="73" t="s">
        <v>81</v>
      </c>
      <c r="E5" s="74">
        <v>43891.0</v>
      </c>
      <c r="F5" s="74">
        <v>44075.0</v>
      </c>
      <c r="G5" s="74"/>
      <c r="H5" s="74"/>
      <c r="I5" s="75"/>
      <c r="J5" s="76"/>
      <c r="K5" s="77"/>
      <c r="L5" s="77"/>
      <c r="M5" s="78"/>
      <c r="N5" s="17"/>
      <c r="O5" s="79"/>
      <c r="P5" s="79"/>
      <c r="Q5" s="79"/>
      <c r="R5" s="79"/>
    </row>
    <row r="6" ht="22.5" customHeight="1">
      <c r="A6" s="70">
        <v>3.0</v>
      </c>
      <c r="B6" s="71" t="s">
        <v>77</v>
      </c>
      <c r="C6" s="72"/>
      <c r="D6" s="73" t="s">
        <v>82</v>
      </c>
      <c r="E6" s="74">
        <v>43891.0</v>
      </c>
      <c r="F6" s="74">
        <v>44075.0</v>
      </c>
      <c r="G6" s="74"/>
      <c r="H6" s="74"/>
      <c r="I6" s="75"/>
      <c r="J6" s="76"/>
      <c r="K6" s="77"/>
      <c r="L6" s="77"/>
      <c r="M6" s="78"/>
      <c r="N6" s="17"/>
      <c r="O6" s="79"/>
      <c r="P6" s="79"/>
      <c r="Q6" s="79"/>
      <c r="R6" s="79"/>
    </row>
    <row r="7" ht="22.5" customHeight="1">
      <c r="A7" s="70">
        <v>3.0</v>
      </c>
      <c r="B7" s="71" t="s">
        <v>77</v>
      </c>
      <c r="C7" s="72"/>
      <c r="D7" s="73" t="s">
        <v>83</v>
      </c>
      <c r="E7" s="74">
        <v>43891.0</v>
      </c>
      <c r="F7" s="74">
        <v>44075.0</v>
      </c>
      <c r="G7" s="74"/>
      <c r="H7" s="74"/>
      <c r="I7" s="75"/>
      <c r="J7" s="76"/>
      <c r="K7" s="77"/>
      <c r="L7" s="77"/>
      <c r="M7" s="78"/>
      <c r="N7" s="17"/>
      <c r="O7" s="79"/>
      <c r="P7" s="79"/>
      <c r="Q7" s="79"/>
      <c r="R7" s="79"/>
    </row>
    <row r="8" ht="22.5" customHeight="1">
      <c r="A8" s="70">
        <v>3.0</v>
      </c>
      <c r="B8" s="71" t="s">
        <v>77</v>
      </c>
      <c r="C8" s="72"/>
      <c r="D8" s="73" t="s">
        <v>84</v>
      </c>
      <c r="E8" s="74">
        <v>43891.0</v>
      </c>
      <c r="F8" s="74">
        <v>44075.0</v>
      </c>
      <c r="G8" s="74"/>
      <c r="H8" s="74"/>
      <c r="I8" s="75"/>
      <c r="J8" s="76"/>
      <c r="K8" s="77"/>
      <c r="L8" s="77"/>
      <c r="M8" s="78"/>
      <c r="N8" s="17"/>
      <c r="O8" s="79"/>
      <c r="P8" s="79"/>
      <c r="Q8" s="79"/>
      <c r="R8" s="79"/>
    </row>
    <row r="9" ht="22.5" customHeight="1">
      <c r="A9" s="70">
        <v>3.0</v>
      </c>
      <c r="B9" s="71" t="s">
        <v>77</v>
      </c>
      <c r="C9" s="72"/>
      <c r="D9" s="73" t="s">
        <v>85</v>
      </c>
      <c r="E9" s="74">
        <v>43891.0</v>
      </c>
      <c r="F9" s="74">
        <v>44075.0</v>
      </c>
      <c r="G9" s="74"/>
      <c r="H9" s="74"/>
      <c r="I9" s="75"/>
      <c r="J9" s="76"/>
      <c r="K9" s="77"/>
      <c r="L9" s="77"/>
      <c r="M9" s="78"/>
      <c r="N9" s="17"/>
      <c r="O9" s="79"/>
      <c r="P9" s="79"/>
      <c r="Q9" s="79"/>
      <c r="R9" s="79"/>
    </row>
    <row r="10" ht="22.5" customHeight="1">
      <c r="A10" s="80">
        <v>1.0</v>
      </c>
      <c r="B10" s="81" t="s">
        <v>86</v>
      </c>
      <c r="C10" s="82"/>
      <c r="D10" s="83" t="s">
        <v>87</v>
      </c>
      <c r="E10" s="84">
        <v>45898.0</v>
      </c>
      <c r="F10" s="84">
        <v>45899.0</v>
      </c>
      <c r="G10" s="84"/>
      <c r="H10" s="84"/>
      <c r="I10" s="85"/>
      <c r="J10" s="86"/>
      <c r="K10" s="87"/>
      <c r="L10" s="87"/>
      <c r="M10" s="88"/>
      <c r="N10" s="17"/>
    </row>
    <row r="11" ht="22.5" customHeight="1">
      <c r="A11" s="80">
        <v>1.0</v>
      </c>
      <c r="B11" s="81" t="s">
        <v>86</v>
      </c>
      <c r="C11" s="82"/>
      <c r="D11" s="83" t="s">
        <v>88</v>
      </c>
      <c r="E11" s="84">
        <v>45898.0</v>
      </c>
      <c r="F11" s="84">
        <v>45899.0</v>
      </c>
      <c r="G11" s="84"/>
      <c r="H11" s="84"/>
      <c r="I11" s="85"/>
      <c r="J11" s="86"/>
      <c r="K11" s="87"/>
      <c r="L11" s="87"/>
      <c r="M11" s="88"/>
      <c r="N11" s="17"/>
    </row>
    <row r="12" ht="22.5" customHeight="1">
      <c r="A12" s="80">
        <v>1.0</v>
      </c>
      <c r="B12" s="81" t="s">
        <v>86</v>
      </c>
      <c r="C12" s="82"/>
      <c r="D12" s="83" t="s">
        <v>89</v>
      </c>
      <c r="E12" s="84">
        <v>45898.0</v>
      </c>
      <c r="F12" s="84">
        <v>45899.0</v>
      </c>
      <c r="G12" s="84"/>
      <c r="H12" s="84"/>
      <c r="I12" s="85"/>
      <c r="J12" s="86"/>
      <c r="K12" s="87"/>
      <c r="L12" s="87"/>
      <c r="M12" s="88"/>
      <c r="N12" s="17"/>
    </row>
    <row r="13" ht="22.5" customHeight="1">
      <c r="A13" s="89">
        <v>4.0</v>
      </c>
      <c r="B13" s="90" t="s">
        <v>90</v>
      </c>
      <c r="C13" s="91"/>
      <c r="D13" s="92" t="s">
        <v>91</v>
      </c>
      <c r="E13" s="93">
        <v>45904.0</v>
      </c>
      <c r="F13" s="93">
        <v>45905.0</v>
      </c>
      <c r="G13" s="93"/>
      <c r="H13" s="93"/>
      <c r="I13" s="91"/>
      <c r="J13" s="94"/>
      <c r="K13" s="95"/>
      <c r="L13" s="95"/>
      <c r="M13" s="96"/>
      <c r="N13" s="17"/>
      <c r="O13" s="79"/>
      <c r="P13" s="79"/>
      <c r="Q13" s="79"/>
      <c r="R13" s="79"/>
    </row>
    <row r="14" ht="22.5" customHeight="1">
      <c r="A14" s="89">
        <v>4.0</v>
      </c>
      <c r="B14" s="90" t="s">
        <v>90</v>
      </c>
      <c r="C14" s="97"/>
      <c r="D14" s="92" t="s">
        <v>92</v>
      </c>
      <c r="E14" s="93">
        <v>45904.0</v>
      </c>
      <c r="F14" s="93">
        <v>45905.0</v>
      </c>
      <c r="G14" s="93"/>
      <c r="H14" s="93"/>
      <c r="I14" s="91"/>
      <c r="J14" s="94"/>
      <c r="K14" s="95"/>
      <c r="L14" s="95"/>
      <c r="M14" s="96"/>
      <c r="N14" s="17"/>
      <c r="O14" s="79"/>
      <c r="P14" s="79"/>
      <c r="Q14" s="79"/>
      <c r="R14" s="79"/>
    </row>
    <row r="15" ht="22.5" customHeight="1">
      <c r="A15" s="89">
        <v>4.0</v>
      </c>
      <c r="B15" s="90" t="s">
        <v>90</v>
      </c>
      <c r="C15" s="97"/>
      <c r="D15" s="92" t="s">
        <v>93</v>
      </c>
      <c r="E15" s="93">
        <v>45904.0</v>
      </c>
      <c r="F15" s="93">
        <v>45905.0</v>
      </c>
      <c r="G15" s="93"/>
      <c r="H15" s="93"/>
      <c r="I15" s="91"/>
      <c r="J15" s="94"/>
      <c r="K15" s="95"/>
      <c r="L15" s="95"/>
      <c r="M15" s="96"/>
      <c r="N15" s="17"/>
      <c r="O15" s="79"/>
      <c r="P15" s="79"/>
      <c r="Q15" s="79"/>
      <c r="R15" s="79"/>
    </row>
    <row r="16" ht="22.5" customHeight="1">
      <c r="A16" s="89">
        <v>4.0</v>
      </c>
      <c r="B16" s="90" t="s">
        <v>90</v>
      </c>
      <c r="C16" s="97"/>
      <c r="D16" s="92" t="s">
        <v>94</v>
      </c>
      <c r="E16" s="93">
        <v>45904.0</v>
      </c>
      <c r="F16" s="93">
        <v>45905.0</v>
      </c>
      <c r="G16" s="93"/>
      <c r="H16" s="93"/>
      <c r="I16" s="91"/>
      <c r="J16" s="94"/>
      <c r="K16" s="95"/>
      <c r="L16" s="95"/>
      <c r="M16" s="96"/>
      <c r="N16" s="17"/>
      <c r="O16" s="79"/>
      <c r="P16" s="79"/>
      <c r="Q16" s="79"/>
      <c r="R16" s="79"/>
    </row>
    <row r="17" ht="22.5" customHeight="1">
      <c r="A17" s="89">
        <v>4.0</v>
      </c>
      <c r="B17" s="90" t="s">
        <v>90</v>
      </c>
      <c r="C17" s="97"/>
      <c r="D17" s="92" t="s">
        <v>95</v>
      </c>
      <c r="E17" s="93">
        <v>45904.0</v>
      </c>
      <c r="F17" s="93">
        <v>45905.0</v>
      </c>
      <c r="G17" s="93"/>
      <c r="H17" s="93"/>
      <c r="I17" s="91"/>
      <c r="J17" s="94"/>
      <c r="K17" s="95"/>
      <c r="L17" s="95"/>
      <c r="M17" s="96"/>
      <c r="N17" s="17"/>
      <c r="O17" s="79"/>
      <c r="P17" s="79"/>
      <c r="Q17" s="79"/>
      <c r="R17" s="79"/>
    </row>
    <row r="18" ht="22.5" customHeight="1">
      <c r="A18" s="89">
        <v>4.0</v>
      </c>
      <c r="B18" s="90" t="s">
        <v>90</v>
      </c>
      <c r="C18" s="97"/>
      <c r="D18" s="92" t="s">
        <v>96</v>
      </c>
      <c r="E18" s="93">
        <v>45904.0</v>
      </c>
      <c r="F18" s="93">
        <v>45905.0</v>
      </c>
      <c r="G18" s="93"/>
      <c r="H18" s="93"/>
      <c r="I18" s="91"/>
      <c r="J18" s="94"/>
      <c r="K18" s="95"/>
      <c r="L18" s="95"/>
      <c r="M18" s="96"/>
      <c r="N18" s="17"/>
      <c r="O18" s="79"/>
      <c r="P18" s="79"/>
      <c r="Q18" s="79"/>
      <c r="R18" s="79"/>
    </row>
    <row r="19" ht="22.5" customHeight="1">
      <c r="A19" s="89">
        <v>4.0</v>
      </c>
      <c r="B19" s="90" t="s">
        <v>90</v>
      </c>
      <c r="C19" s="97"/>
      <c r="D19" s="92" t="s">
        <v>97</v>
      </c>
      <c r="E19" s="93">
        <v>45904.0</v>
      </c>
      <c r="F19" s="93">
        <v>45905.0</v>
      </c>
      <c r="G19" s="93"/>
      <c r="H19" s="93"/>
      <c r="I19" s="91"/>
      <c r="J19" s="94"/>
      <c r="K19" s="95"/>
      <c r="L19" s="95"/>
      <c r="M19" s="96"/>
      <c r="N19" s="17"/>
      <c r="O19" s="79"/>
      <c r="P19" s="79"/>
      <c r="Q19" s="79"/>
      <c r="R19" s="79"/>
    </row>
    <row r="20" ht="22.5" customHeight="1">
      <c r="A20" s="89">
        <v>4.0</v>
      </c>
      <c r="B20" s="90" t="s">
        <v>90</v>
      </c>
      <c r="C20" s="97"/>
      <c r="D20" s="92" t="s">
        <v>98</v>
      </c>
      <c r="E20" s="93">
        <v>45904.0</v>
      </c>
      <c r="F20" s="93">
        <v>45905.0</v>
      </c>
      <c r="G20" s="93"/>
      <c r="H20" s="93"/>
      <c r="I20" s="91"/>
      <c r="J20" s="94"/>
      <c r="K20" s="95"/>
      <c r="L20" s="95"/>
      <c r="M20" s="96"/>
      <c r="N20" s="17"/>
      <c r="O20" s="79"/>
      <c r="P20" s="79"/>
      <c r="Q20" s="79"/>
      <c r="R20" s="79"/>
    </row>
    <row r="21" ht="22.5" customHeight="1">
      <c r="A21" s="89">
        <v>4.0</v>
      </c>
      <c r="B21" s="90" t="s">
        <v>90</v>
      </c>
      <c r="C21" s="97"/>
      <c r="D21" s="92" t="s">
        <v>99</v>
      </c>
      <c r="E21" s="93">
        <v>45904.0</v>
      </c>
      <c r="F21" s="93">
        <v>45905.0</v>
      </c>
      <c r="G21" s="93"/>
      <c r="H21" s="93"/>
      <c r="I21" s="91"/>
      <c r="J21" s="94"/>
      <c r="K21" s="95"/>
      <c r="L21" s="95"/>
      <c r="M21" s="96"/>
      <c r="N21" s="17"/>
      <c r="O21" s="79"/>
      <c r="P21" s="79"/>
      <c r="Q21" s="79"/>
      <c r="R21" s="79"/>
    </row>
    <row r="22" ht="22.5" customHeight="1">
      <c r="A22" s="89">
        <v>4.0</v>
      </c>
      <c r="B22" s="90" t="s">
        <v>90</v>
      </c>
      <c r="C22" s="97"/>
      <c r="D22" s="92" t="s">
        <v>100</v>
      </c>
      <c r="E22" s="93">
        <v>45904.0</v>
      </c>
      <c r="F22" s="93">
        <v>45905.0</v>
      </c>
      <c r="G22" s="93"/>
      <c r="H22" s="93"/>
      <c r="I22" s="91"/>
      <c r="J22" s="94"/>
      <c r="K22" s="95"/>
      <c r="L22" s="95"/>
      <c r="M22" s="96"/>
      <c r="N22" s="17"/>
      <c r="O22" s="79"/>
      <c r="P22" s="79"/>
      <c r="Q22" s="79"/>
      <c r="R22" s="79"/>
    </row>
    <row r="23" ht="22.5" customHeight="1">
      <c r="A23" s="89">
        <v>4.0</v>
      </c>
      <c r="B23" s="90" t="s">
        <v>90</v>
      </c>
      <c r="C23" s="97"/>
      <c r="D23" s="92" t="s">
        <v>101</v>
      </c>
      <c r="E23" s="93">
        <v>45904.0</v>
      </c>
      <c r="F23" s="93">
        <v>45905.0</v>
      </c>
      <c r="G23" s="93"/>
      <c r="H23" s="93"/>
      <c r="I23" s="91"/>
      <c r="J23" s="94"/>
      <c r="K23" s="95"/>
      <c r="L23" s="95"/>
      <c r="M23" s="96"/>
      <c r="N23" s="17"/>
      <c r="O23" s="79"/>
      <c r="P23" s="79"/>
      <c r="Q23" s="79"/>
      <c r="R23" s="79"/>
    </row>
    <row r="24" ht="22.5" customHeight="1">
      <c r="A24" s="89">
        <v>4.0</v>
      </c>
      <c r="B24" s="90" t="s">
        <v>90</v>
      </c>
      <c r="C24" s="97"/>
      <c r="D24" s="92" t="s">
        <v>102</v>
      </c>
      <c r="E24" s="93">
        <v>45904.0</v>
      </c>
      <c r="F24" s="93">
        <v>45905.0</v>
      </c>
      <c r="G24" s="93"/>
      <c r="H24" s="93"/>
      <c r="I24" s="91"/>
      <c r="J24" s="94"/>
      <c r="K24" s="95"/>
      <c r="L24" s="95"/>
      <c r="M24" s="96"/>
      <c r="N24" s="17"/>
      <c r="O24" s="79"/>
      <c r="P24" s="79"/>
      <c r="Q24" s="79"/>
      <c r="R24" s="79"/>
    </row>
    <row r="25" ht="22.5" customHeight="1">
      <c r="A25" s="89">
        <v>4.0</v>
      </c>
      <c r="B25" s="90" t="s">
        <v>90</v>
      </c>
      <c r="C25" s="97"/>
      <c r="D25" s="92" t="s">
        <v>103</v>
      </c>
      <c r="E25" s="93">
        <v>45904.0</v>
      </c>
      <c r="F25" s="93">
        <v>45905.0</v>
      </c>
      <c r="G25" s="93"/>
      <c r="H25" s="93"/>
      <c r="I25" s="91"/>
      <c r="J25" s="94"/>
      <c r="K25" s="95"/>
      <c r="L25" s="95"/>
      <c r="M25" s="96"/>
      <c r="N25" s="17"/>
      <c r="O25" s="79"/>
      <c r="P25" s="79"/>
      <c r="Q25" s="79"/>
      <c r="R25" s="79"/>
    </row>
    <row r="26" ht="22.5" customHeight="1">
      <c r="A26" s="89">
        <v>4.0</v>
      </c>
      <c r="B26" s="90" t="s">
        <v>90</v>
      </c>
      <c r="C26" s="97"/>
      <c r="D26" s="92" t="s">
        <v>104</v>
      </c>
      <c r="E26" s="93">
        <v>45904.0</v>
      </c>
      <c r="F26" s="93">
        <v>45905.0</v>
      </c>
      <c r="G26" s="93"/>
      <c r="H26" s="93"/>
      <c r="I26" s="91"/>
      <c r="J26" s="94"/>
      <c r="K26" s="95"/>
      <c r="L26" s="95"/>
      <c r="M26" s="96"/>
      <c r="N26" s="17"/>
      <c r="O26" s="79"/>
      <c r="P26" s="79"/>
      <c r="Q26" s="79"/>
      <c r="R26" s="79"/>
    </row>
    <row r="27" ht="22.5" customHeight="1">
      <c r="A27" s="98">
        <v>5.0</v>
      </c>
      <c r="B27" s="99" t="s">
        <v>105</v>
      </c>
      <c r="C27" s="100"/>
      <c r="D27" s="101" t="s">
        <v>106</v>
      </c>
      <c r="E27" s="102">
        <v>45906.0</v>
      </c>
      <c r="F27" s="102">
        <v>45907.0</v>
      </c>
      <c r="G27" s="102"/>
      <c r="H27" s="102"/>
      <c r="I27" s="103"/>
      <c r="J27" s="104"/>
      <c r="K27" s="105"/>
      <c r="L27" s="105"/>
      <c r="M27" s="106"/>
      <c r="N27" s="17"/>
      <c r="O27" s="79"/>
      <c r="P27" s="79"/>
      <c r="Q27" s="79"/>
      <c r="R27" s="79"/>
    </row>
    <row r="28" ht="22.5" customHeight="1">
      <c r="A28" s="98">
        <v>5.0</v>
      </c>
      <c r="B28" s="99" t="s">
        <v>105</v>
      </c>
      <c r="C28" s="100"/>
      <c r="D28" s="101" t="s">
        <v>107</v>
      </c>
      <c r="E28" s="102">
        <v>45906.0</v>
      </c>
      <c r="F28" s="102">
        <v>45907.0</v>
      </c>
      <c r="G28" s="102"/>
      <c r="H28" s="102"/>
      <c r="I28" s="103"/>
      <c r="J28" s="104"/>
      <c r="K28" s="105"/>
      <c r="L28" s="105"/>
      <c r="M28" s="106"/>
      <c r="N28" s="17"/>
      <c r="O28" s="79"/>
      <c r="P28" s="79"/>
      <c r="Q28" s="79"/>
      <c r="R28" s="79"/>
    </row>
    <row r="29" ht="22.5" customHeight="1">
      <c r="A29" s="98">
        <v>5.0</v>
      </c>
      <c r="B29" s="99" t="s">
        <v>105</v>
      </c>
      <c r="C29" s="100"/>
      <c r="D29" s="101" t="s">
        <v>108</v>
      </c>
      <c r="E29" s="102">
        <v>45906.0</v>
      </c>
      <c r="F29" s="102">
        <v>45907.0</v>
      </c>
      <c r="G29" s="102"/>
      <c r="H29" s="102"/>
      <c r="I29" s="103"/>
      <c r="J29" s="104"/>
      <c r="K29" s="105"/>
      <c r="L29" s="105"/>
      <c r="M29" s="106"/>
      <c r="N29" s="17"/>
      <c r="O29" s="79"/>
      <c r="P29" s="79"/>
      <c r="Q29" s="79"/>
      <c r="R29" s="79"/>
    </row>
    <row r="30" ht="22.5" customHeight="1">
      <c r="A30" s="98">
        <v>5.0</v>
      </c>
      <c r="B30" s="99" t="s">
        <v>105</v>
      </c>
      <c r="C30" s="100"/>
      <c r="D30" s="101" t="s">
        <v>109</v>
      </c>
      <c r="E30" s="102">
        <v>45906.0</v>
      </c>
      <c r="F30" s="102">
        <v>45907.0</v>
      </c>
      <c r="G30" s="102"/>
      <c r="H30" s="102"/>
      <c r="I30" s="103"/>
      <c r="J30" s="104"/>
      <c r="K30" s="105"/>
      <c r="L30" s="105"/>
      <c r="M30" s="106"/>
      <c r="N30" s="17"/>
      <c r="O30" s="79"/>
      <c r="P30" s="79"/>
      <c r="Q30" s="79"/>
      <c r="R30" s="79"/>
    </row>
    <row r="31" ht="22.5" customHeight="1">
      <c r="A31" s="98">
        <v>5.0</v>
      </c>
      <c r="B31" s="99" t="s">
        <v>105</v>
      </c>
      <c r="C31" s="100"/>
      <c r="D31" s="101" t="s">
        <v>110</v>
      </c>
      <c r="E31" s="102">
        <v>45906.0</v>
      </c>
      <c r="F31" s="102">
        <v>45907.0</v>
      </c>
      <c r="G31" s="102"/>
      <c r="H31" s="102"/>
      <c r="I31" s="103"/>
      <c r="J31" s="104"/>
      <c r="K31" s="105"/>
      <c r="L31" s="105"/>
      <c r="M31" s="106"/>
      <c r="N31" s="17"/>
      <c r="O31" s="79"/>
      <c r="P31" s="79"/>
      <c r="Q31" s="79"/>
      <c r="R31" s="79"/>
    </row>
    <row r="32" ht="22.5" customHeight="1">
      <c r="A32" s="98">
        <v>5.0</v>
      </c>
      <c r="B32" s="99" t="s">
        <v>105</v>
      </c>
      <c r="C32" s="100"/>
      <c r="D32" s="101" t="s">
        <v>111</v>
      </c>
      <c r="E32" s="102">
        <v>45906.0</v>
      </c>
      <c r="F32" s="102">
        <v>45907.0</v>
      </c>
      <c r="G32" s="102"/>
      <c r="H32" s="102"/>
      <c r="I32" s="103"/>
      <c r="J32" s="104"/>
      <c r="K32" s="105"/>
      <c r="L32" s="105"/>
      <c r="M32" s="106"/>
      <c r="N32" s="17"/>
      <c r="O32" s="79"/>
      <c r="P32" s="79"/>
      <c r="Q32" s="79"/>
      <c r="R32" s="79"/>
    </row>
    <row r="33" ht="22.5" customHeight="1">
      <c r="A33" s="98">
        <v>5.0</v>
      </c>
      <c r="B33" s="99" t="s">
        <v>105</v>
      </c>
      <c r="C33" s="100"/>
      <c r="D33" s="101" t="s">
        <v>112</v>
      </c>
      <c r="E33" s="102">
        <v>45906.0</v>
      </c>
      <c r="F33" s="102">
        <v>45907.0</v>
      </c>
      <c r="G33" s="102"/>
      <c r="H33" s="102"/>
      <c r="I33" s="103"/>
      <c r="J33" s="104"/>
      <c r="K33" s="105"/>
      <c r="L33" s="105"/>
      <c r="M33" s="106"/>
      <c r="N33" s="17"/>
      <c r="O33" s="79"/>
      <c r="P33" s="79"/>
      <c r="Q33" s="79"/>
      <c r="R33" s="79"/>
    </row>
    <row r="34" ht="22.5" customHeight="1">
      <c r="A34" s="98">
        <v>5.0</v>
      </c>
      <c r="B34" s="99" t="s">
        <v>105</v>
      </c>
      <c r="C34" s="100"/>
      <c r="D34" s="101" t="s">
        <v>113</v>
      </c>
      <c r="E34" s="102">
        <v>45906.0</v>
      </c>
      <c r="F34" s="102">
        <v>45907.0</v>
      </c>
      <c r="G34" s="102"/>
      <c r="H34" s="102"/>
      <c r="I34" s="103"/>
      <c r="J34" s="104"/>
      <c r="K34" s="105"/>
      <c r="L34" s="105"/>
      <c r="M34" s="106"/>
      <c r="N34" s="17"/>
      <c r="O34" s="79"/>
      <c r="P34" s="79"/>
      <c r="Q34" s="79"/>
      <c r="R34" s="79"/>
    </row>
    <row r="35" ht="22.5" customHeight="1">
      <c r="A35" s="98">
        <v>5.0</v>
      </c>
      <c r="B35" s="99" t="s">
        <v>105</v>
      </c>
      <c r="C35" s="100"/>
      <c r="D35" s="101" t="s">
        <v>114</v>
      </c>
      <c r="E35" s="102">
        <v>45906.0</v>
      </c>
      <c r="F35" s="102">
        <v>45907.0</v>
      </c>
      <c r="G35" s="102"/>
      <c r="H35" s="102"/>
      <c r="I35" s="103"/>
      <c r="J35" s="104"/>
      <c r="K35" s="105"/>
      <c r="L35" s="105"/>
      <c r="M35" s="106"/>
      <c r="N35" s="17"/>
      <c r="O35" s="79"/>
      <c r="P35" s="79"/>
      <c r="Q35" s="79"/>
      <c r="R35" s="79"/>
    </row>
    <row r="36" ht="22.5" customHeight="1">
      <c r="A36" s="98">
        <v>5.0</v>
      </c>
      <c r="B36" s="99" t="s">
        <v>105</v>
      </c>
      <c r="C36" s="100"/>
      <c r="D36" s="101" t="s">
        <v>115</v>
      </c>
      <c r="E36" s="102">
        <v>45906.0</v>
      </c>
      <c r="F36" s="102">
        <v>45907.0</v>
      </c>
      <c r="G36" s="102"/>
      <c r="H36" s="102"/>
      <c r="I36" s="103"/>
      <c r="J36" s="104"/>
      <c r="K36" s="105"/>
      <c r="L36" s="105"/>
      <c r="M36" s="106"/>
      <c r="N36" s="17"/>
      <c r="O36" s="79"/>
      <c r="P36" s="79"/>
      <c r="Q36" s="79"/>
      <c r="R36" s="79"/>
    </row>
    <row r="37" ht="22.5" customHeight="1">
      <c r="A37" s="98">
        <v>5.0</v>
      </c>
      <c r="B37" s="99" t="s">
        <v>105</v>
      </c>
      <c r="C37" s="100"/>
      <c r="D37" s="101" t="s">
        <v>116</v>
      </c>
      <c r="E37" s="102">
        <v>45906.0</v>
      </c>
      <c r="F37" s="102">
        <v>45907.0</v>
      </c>
      <c r="G37" s="102"/>
      <c r="H37" s="102"/>
      <c r="I37" s="103"/>
      <c r="J37" s="104"/>
      <c r="K37" s="105"/>
      <c r="L37" s="105"/>
      <c r="M37" s="106"/>
      <c r="N37" s="17"/>
      <c r="O37" s="79"/>
      <c r="P37" s="79"/>
      <c r="Q37" s="79"/>
      <c r="R37" s="79"/>
    </row>
    <row r="38" ht="22.5" customHeight="1">
      <c r="A38" s="98">
        <v>5.0</v>
      </c>
      <c r="B38" s="99" t="s">
        <v>105</v>
      </c>
      <c r="C38" s="100"/>
      <c r="D38" s="101" t="s">
        <v>117</v>
      </c>
      <c r="E38" s="102">
        <v>45906.0</v>
      </c>
      <c r="F38" s="102">
        <v>45907.0</v>
      </c>
      <c r="G38" s="102"/>
      <c r="H38" s="102"/>
      <c r="I38" s="103"/>
      <c r="J38" s="104"/>
      <c r="K38" s="105"/>
      <c r="L38" s="105"/>
      <c r="M38" s="106"/>
      <c r="N38" s="17"/>
      <c r="O38" s="79"/>
      <c r="P38" s="79"/>
      <c r="Q38" s="79"/>
      <c r="R38" s="79"/>
    </row>
    <row r="39" ht="22.5" customHeight="1">
      <c r="A39" s="98">
        <v>5.0</v>
      </c>
      <c r="B39" s="99" t="s">
        <v>105</v>
      </c>
      <c r="C39" s="100"/>
      <c r="D39" s="101" t="s">
        <v>118</v>
      </c>
      <c r="E39" s="102">
        <v>45906.0</v>
      </c>
      <c r="F39" s="102">
        <v>45907.0</v>
      </c>
      <c r="G39" s="102"/>
      <c r="H39" s="102"/>
      <c r="I39" s="103"/>
      <c r="J39" s="104"/>
      <c r="K39" s="105"/>
      <c r="L39" s="105"/>
      <c r="M39" s="106"/>
      <c r="N39" s="17"/>
      <c r="O39" s="79"/>
      <c r="P39" s="79"/>
      <c r="Q39" s="79"/>
      <c r="R39" s="79"/>
    </row>
    <row r="40" ht="22.5" customHeight="1">
      <c r="A40" s="98">
        <v>5.0</v>
      </c>
      <c r="B40" s="99" t="s">
        <v>105</v>
      </c>
      <c r="C40" s="100"/>
      <c r="D40" s="101" t="s">
        <v>119</v>
      </c>
      <c r="E40" s="102">
        <v>45906.0</v>
      </c>
      <c r="F40" s="102">
        <v>45907.0</v>
      </c>
      <c r="G40" s="102"/>
      <c r="H40" s="102"/>
      <c r="I40" s="103"/>
      <c r="J40" s="104"/>
      <c r="K40" s="105"/>
      <c r="L40" s="105"/>
      <c r="M40" s="106"/>
      <c r="N40" s="17"/>
      <c r="O40" s="79"/>
      <c r="P40" s="79"/>
      <c r="Q40" s="79"/>
      <c r="R40" s="79"/>
    </row>
    <row r="41" ht="22.5" customHeight="1">
      <c r="A41" s="98">
        <v>5.0</v>
      </c>
      <c r="B41" s="99" t="s">
        <v>105</v>
      </c>
      <c r="C41" s="100"/>
      <c r="D41" s="101" t="s">
        <v>120</v>
      </c>
      <c r="E41" s="102">
        <v>45906.0</v>
      </c>
      <c r="F41" s="102">
        <v>45907.0</v>
      </c>
      <c r="G41" s="102"/>
      <c r="H41" s="102"/>
      <c r="I41" s="103"/>
      <c r="J41" s="104"/>
      <c r="K41" s="105"/>
      <c r="L41" s="105"/>
      <c r="M41" s="106"/>
      <c r="N41" s="17"/>
      <c r="O41" s="79"/>
      <c r="P41" s="79"/>
      <c r="Q41" s="79"/>
      <c r="R41" s="79"/>
    </row>
    <row r="42" ht="22.5" customHeight="1">
      <c r="A42" s="98">
        <v>5.0</v>
      </c>
      <c r="B42" s="99" t="s">
        <v>105</v>
      </c>
      <c r="C42" s="100"/>
      <c r="D42" s="101" t="s">
        <v>121</v>
      </c>
      <c r="E42" s="102">
        <v>45906.0</v>
      </c>
      <c r="F42" s="102">
        <v>45907.0</v>
      </c>
      <c r="G42" s="102"/>
      <c r="H42" s="102"/>
      <c r="I42" s="103"/>
      <c r="J42" s="104"/>
      <c r="K42" s="105"/>
      <c r="L42" s="105"/>
      <c r="M42" s="106"/>
      <c r="N42" s="17"/>
      <c r="O42" s="79"/>
      <c r="P42" s="79"/>
      <c r="Q42" s="79"/>
      <c r="R42" s="79"/>
    </row>
    <row r="43" ht="22.5" customHeight="1">
      <c r="A43" s="98">
        <v>5.0</v>
      </c>
      <c r="B43" s="99" t="s">
        <v>105</v>
      </c>
      <c r="C43" s="100"/>
      <c r="D43" s="101" t="s">
        <v>122</v>
      </c>
      <c r="E43" s="102">
        <v>45906.0</v>
      </c>
      <c r="F43" s="102">
        <v>45907.0</v>
      </c>
      <c r="G43" s="102"/>
      <c r="H43" s="102"/>
      <c r="I43" s="103"/>
      <c r="J43" s="104"/>
      <c r="K43" s="105"/>
      <c r="L43" s="105"/>
      <c r="M43" s="106"/>
      <c r="N43" s="17"/>
      <c r="O43" s="79"/>
      <c r="P43" s="79"/>
      <c r="Q43" s="79"/>
      <c r="R43" s="79"/>
    </row>
    <row r="44" ht="22.5" customHeight="1">
      <c r="A44" s="98">
        <v>5.0</v>
      </c>
      <c r="B44" s="99" t="s">
        <v>105</v>
      </c>
      <c r="C44" s="100"/>
      <c r="D44" s="101" t="s">
        <v>123</v>
      </c>
      <c r="E44" s="102">
        <v>45906.0</v>
      </c>
      <c r="F44" s="102">
        <v>45907.0</v>
      </c>
      <c r="G44" s="102"/>
      <c r="H44" s="102"/>
      <c r="I44" s="103"/>
      <c r="J44" s="104"/>
      <c r="K44" s="105"/>
      <c r="L44" s="105"/>
      <c r="M44" s="106"/>
      <c r="N44" s="17"/>
      <c r="O44" s="79"/>
      <c r="P44" s="79"/>
      <c r="Q44" s="79"/>
      <c r="R44" s="79"/>
    </row>
    <row r="45" ht="22.5" customHeight="1">
      <c r="A45" s="98">
        <v>5.0</v>
      </c>
      <c r="B45" s="99" t="s">
        <v>105</v>
      </c>
      <c r="C45" s="100"/>
      <c r="D45" s="101" t="s">
        <v>124</v>
      </c>
      <c r="E45" s="102">
        <v>45906.0</v>
      </c>
      <c r="F45" s="102">
        <v>45907.0</v>
      </c>
      <c r="G45" s="102"/>
      <c r="H45" s="102"/>
      <c r="I45" s="103"/>
      <c r="J45" s="104"/>
      <c r="K45" s="105"/>
      <c r="L45" s="105"/>
      <c r="M45" s="106"/>
      <c r="N45" s="17"/>
      <c r="O45" s="79"/>
      <c r="P45" s="79"/>
      <c r="Q45" s="79"/>
      <c r="R45" s="79"/>
    </row>
    <row r="46" ht="22.5" customHeight="1">
      <c r="A46" s="98">
        <v>5.0</v>
      </c>
      <c r="B46" s="99" t="s">
        <v>105</v>
      </c>
      <c r="C46" s="100"/>
      <c r="D46" s="101" t="s">
        <v>125</v>
      </c>
      <c r="E46" s="102">
        <v>45906.0</v>
      </c>
      <c r="F46" s="102">
        <v>45907.0</v>
      </c>
      <c r="G46" s="102"/>
      <c r="H46" s="102"/>
      <c r="I46" s="103"/>
      <c r="J46" s="104"/>
      <c r="K46" s="105"/>
      <c r="L46" s="105"/>
      <c r="M46" s="106"/>
      <c r="N46" s="17"/>
      <c r="O46" s="79"/>
      <c r="P46" s="79"/>
      <c r="Q46" s="79"/>
      <c r="R46" s="79"/>
    </row>
    <row r="47" ht="22.5" customHeight="1">
      <c r="A47" s="107">
        <v>6.0</v>
      </c>
      <c r="B47" s="108" t="s">
        <v>126</v>
      </c>
      <c r="C47" s="109"/>
      <c r="D47" s="110" t="s">
        <v>127</v>
      </c>
      <c r="E47" s="111">
        <v>45906.0</v>
      </c>
      <c r="F47" s="111">
        <v>45907.0</v>
      </c>
      <c r="G47" s="111"/>
      <c r="H47" s="111"/>
      <c r="I47" s="112"/>
      <c r="J47" s="113"/>
      <c r="K47" s="114"/>
      <c r="L47" s="114"/>
      <c r="M47" s="115"/>
      <c r="N47" s="17"/>
      <c r="O47" s="79"/>
      <c r="P47" s="79"/>
      <c r="Q47" s="79"/>
      <c r="R47" s="79"/>
    </row>
    <row r="48" ht="22.5" customHeight="1">
      <c r="A48" s="107">
        <v>6.0</v>
      </c>
      <c r="B48" s="108" t="s">
        <v>126</v>
      </c>
      <c r="C48" s="109"/>
      <c r="D48" s="110" t="s">
        <v>128</v>
      </c>
      <c r="E48" s="111">
        <v>45906.0</v>
      </c>
      <c r="F48" s="111">
        <v>45907.0</v>
      </c>
      <c r="G48" s="111"/>
      <c r="H48" s="111"/>
      <c r="I48" s="112"/>
      <c r="J48" s="113"/>
      <c r="K48" s="114"/>
      <c r="L48" s="114"/>
      <c r="M48" s="115"/>
      <c r="N48" s="17"/>
      <c r="O48" s="79"/>
      <c r="P48" s="79"/>
      <c r="Q48" s="79"/>
      <c r="R48" s="79"/>
    </row>
    <row r="49" ht="22.5" customHeight="1">
      <c r="A49" s="107">
        <v>6.0</v>
      </c>
      <c r="B49" s="108" t="s">
        <v>126</v>
      </c>
      <c r="C49" s="109"/>
      <c r="D49" s="110" t="s">
        <v>129</v>
      </c>
      <c r="E49" s="111">
        <v>45906.0</v>
      </c>
      <c r="F49" s="111">
        <v>45907.0</v>
      </c>
      <c r="G49" s="111"/>
      <c r="H49" s="111"/>
      <c r="I49" s="112"/>
      <c r="J49" s="113"/>
      <c r="K49" s="114"/>
      <c r="L49" s="114"/>
      <c r="M49" s="115"/>
      <c r="N49" s="17"/>
      <c r="O49" s="79"/>
      <c r="P49" s="79"/>
      <c r="Q49" s="79"/>
      <c r="R49" s="79"/>
    </row>
    <row r="50" ht="22.5" customHeight="1">
      <c r="A50" s="107">
        <v>6.0</v>
      </c>
      <c r="B50" s="108" t="s">
        <v>126</v>
      </c>
      <c r="C50" s="109"/>
      <c r="D50" s="110" t="s">
        <v>130</v>
      </c>
      <c r="E50" s="111">
        <v>45906.0</v>
      </c>
      <c r="F50" s="111">
        <v>45907.0</v>
      </c>
      <c r="G50" s="111"/>
      <c r="H50" s="111"/>
      <c r="I50" s="112"/>
      <c r="J50" s="113"/>
      <c r="K50" s="114"/>
      <c r="L50" s="114"/>
      <c r="M50" s="115"/>
      <c r="N50" s="17"/>
      <c r="O50" s="79"/>
      <c r="P50" s="79"/>
      <c r="Q50" s="79"/>
      <c r="R50" s="79"/>
    </row>
    <row r="51" ht="22.5" customHeight="1">
      <c r="A51" s="107">
        <v>6.0</v>
      </c>
      <c r="B51" s="108" t="s">
        <v>126</v>
      </c>
      <c r="C51" s="109"/>
      <c r="D51" s="110" t="s">
        <v>131</v>
      </c>
      <c r="E51" s="111">
        <v>45906.0</v>
      </c>
      <c r="F51" s="111">
        <v>45907.0</v>
      </c>
      <c r="G51" s="111"/>
      <c r="H51" s="111"/>
      <c r="I51" s="112"/>
      <c r="J51" s="113"/>
      <c r="K51" s="114"/>
      <c r="L51" s="114"/>
      <c r="M51" s="115"/>
      <c r="N51" s="17"/>
      <c r="O51" s="79"/>
      <c r="P51" s="79"/>
      <c r="Q51" s="79"/>
      <c r="R51" s="79"/>
    </row>
    <row r="52" ht="22.5" customHeight="1">
      <c r="A52" s="107">
        <v>6.0</v>
      </c>
      <c r="B52" s="108" t="s">
        <v>126</v>
      </c>
      <c r="C52" s="109"/>
      <c r="D52" s="110" t="s">
        <v>132</v>
      </c>
      <c r="E52" s="111">
        <v>45906.0</v>
      </c>
      <c r="F52" s="111">
        <v>45907.0</v>
      </c>
      <c r="G52" s="111"/>
      <c r="H52" s="111"/>
      <c r="I52" s="112"/>
      <c r="J52" s="113"/>
      <c r="K52" s="114"/>
      <c r="L52" s="114"/>
      <c r="M52" s="115"/>
      <c r="N52" s="17"/>
      <c r="O52" s="79"/>
      <c r="P52" s="79"/>
      <c r="Q52" s="79"/>
      <c r="R52" s="79"/>
    </row>
    <row r="53" ht="22.5" customHeight="1">
      <c r="A53" s="107">
        <v>6.0</v>
      </c>
      <c r="B53" s="108" t="s">
        <v>126</v>
      </c>
      <c r="C53" s="109"/>
      <c r="D53" s="110" t="s">
        <v>133</v>
      </c>
      <c r="E53" s="111">
        <v>45906.0</v>
      </c>
      <c r="F53" s="111">
        <v>45907.0</v>
      </c>
      <c r="G53" s="111"/>
      <c r="H53" s="111"/>
      <c r="I53" s="112"/>
      <c r="J53" s="113"/>
      <c r="K53" s="114"/>
      <c r="L53" s="114"/>
      <c r="M53" s="115"/>
      <c r="N53" s="17"/>
      <c r="O53" s="79"/>
      <c r="P53" s="79"/>
      <c r="Q53" s="79"/>
      <c r="R53" s="79"/>
    </row>
    <row r="54" ht="22.5" customHeight="1">
      <c r="A54" s="107">
        <v>6.0</v>
      </c>
      <c r="B54" s="108" t="s">
        <v>126</v>
      </c>
      <c r="C54" s="109"/>
      <c r="D54" s="110" t="s">
        <v>134</v>
      </c>
      <c r="E54" s="111">
        <v>45906.0</v>
      </c>
      <c r="F54" s="111">
        <v>45907.0</v>
      </c>
      <c r="G54" s="111"/>
      <c r="H54" s="111"/>
      <c r="I54" s="112"/>
      <c r="J54" s="113"/>
      <c r="K54" s="114"/>
      <c r="L54" s="114"/>
      <c r="M54" s="115"/>
      <c r="N54" s="17"/>
      <c r="O54" s="79"/>
      <c r="P54" s="79"/>
      <c r="Q54" s="79"/>
      <c r="R54" s="79"/>
    </row>
    <row r="55" ht="22.5" customHeight="1">
      <c r="A55" s="107">
        <v>6.0</v>
      </c>
      <c r="B55" s="108" t="s">
        <v>126</v>
      </c>
      <c r="C55" s="109"/>
      <c r="D55" s="110" t="s">
        <v>135</v>
      </c>
      <c r="E55" s="111">
        <v>45906.0</v>
      </c>
      <c r="F55" s="111">
        <v>45907.0</v>
      </c>
      <c r="G55" s="111"/>
      <c r="H55" s="111"/>
      <c r="I55" s="112"/>
      <c r="J55" s="113"/>
      <c r="K55" s="114"/>
      <c r="L55" s="114"/>
      <c r="M55" s="115"/>
      <c r="N55" s="17"/>
      <c r="O55" s="79"/>
      <c r="P55" s="79"/>
      <c r="Q55" s="79"/>
      <c r="R55" s="79"/>
    </row>
    <row r="56" ht="22.5" customHeight="1">
      <c r="A56" s="107">
        <v>6.0</v>
      </c>
      <c r="B56" s="108" t="s">
        <v>126</v>
      </c>
      <c r="C56" s="109"/>
      <c r="D56" s="110" t="s">
        <v>136</v>
      </c>
      <c r="E56" s="111">
        <v>45906.0</v>
      </c>
      <c r="F56" s="111">
        <v>45907.0</v>
      </c>
      <c r="G56" s="111"/>
      <c r="H56" s="111"/>
      <c r="I56" s="112"/>
      <c r="J56" s="113"/>
      <c r="K56" s="114"/>
      <c r="L56" s="114"/>
      <c r="M56" s="115"/>
      <c r="N56" s="17"/>
      <c r="O56" s="79"/>
      <c r="P56" s="79"/>
      <c r="Q56" s="79"/>
      <c r="R56" s="79"/>
    </row>
    <row r="57" ht="22.5" customHeight="1">
      <c r="A57" s="107">
        <v>6.0</v>
      </c>
      <c r="B57" s="108" t="s">
        <v>126</v>
      </c>
      <c r="C57" s="109"/>
      <c r="D57" s="110" t="s">
        <v>137</v>
      </c>
      <c r="E57" s="111">
        <v>45906.0</v>
      </c>
      <c r="F57" s="111">
        <v>45907.0</v>
      </c>
      <c r="G57" s="111"/>
      <c r="H57" s="111"/>
      <c r="I57" s="112"/>
      <c r="J57" s="113"/>
      <c r="K57" s="114"/>
      <c r="L57" s="114"/>
      <c r="M57" s="115"/>
      <c r="N57" s="17"/>
      <c r="O57" s="79"/>
      <c r="P57" s="79"/>
      <c r="Q57" s="79"/>
      <c r="R57" s="79"/>
    </row>
    <row r="58" ht="22.5" customHeight="1">
      <c r="A58" s="107">
        <v>6.0</v>
      </c>
      <c r="B58" s="108" t="s">
        <v>126</v>
      </c>
      <c r="C58" s="109"/>
      <c r="D58" s="110" t="s">
        <v>138</v>
      </c>
      <c r="E58" s="111">
        <v>45906.0</v>
      </c>
      <c r="F58" s="111">
        <v>45907.0</v>
      </c>
      <c r="G58" s="111"/>
      <c r="H58" s="111"/>
      <c r="I58" s="112"/>
      <c r="J58" s="113"/>
      <c r="K58" s="114"/>
      <c r="L58" s="114"/>
      <c r="M58" s="115"/>
      <c r="N58" s="17"/>
      <c r="O58" s="79"/>
      <c r="P58" s="79"/>
      <c r="Q58" s="79"/>
      <c r="R58" s="79"/>
    </row>
    <row r="59" ht="22.5" customHeight="1">
      <c r="A59" s="107">
        <v>6.0</v>
      </c>
      <c r="B59" s="108" t="s">
        <v>126</v>
      </c>
      <c r="C59" s="109"/>
      <c r="D59" s="110" t="s">
        <v>139</v>
      </c>
      <c r="E59" s="111">
        <v>45906.0</v>
      </c>
      <c r="F59" s="111">
        <v>45907.0</v>
      </c>
      <c r="G59" s="111"/>
      <c r="H59" s="111"/>
      <c r="I59" s="112"/>
      <c r="J59" s="113"/>
      <c r="K59" s="114"/>
      <c r="L59" s="114"/>
      <c r="M59" s="115"/>
      <c r="N59" s="17"/>
      <c r="O59" s="79"/>
      <c r="P59" s="79"/>
      <c r="Q59" s="79"/>
      <c r="R59" s="79"/>
    </row>
    <row r="60" ht="22.5" customHeight="1">
      <c r="A60" s="107">
        <v>6.0</v>
      </c>
      <c r="B60" s="108" t="s">
        <v>126</v>
      </c>
      <c r="C60" s="109"/>
      <c r="D60" s="110" t="s">
        <v>140</v>
      </c>
      <c r="E60" s="111">
        <v>45906.0</v>
      </c>
      <c r="F60" s="111">
        <v>45907.0</v>
      </c>
      <c r="G60" s="111"/>
      <c r="H60" s="111"/>
      <c r="I60" s="112"/>
      <c r="J60" s="113"/>
      <c r="K60" s="114"/>
      <c r="L60" s="114"/>
      <c r="M60" s="115"/>
      <c r="N60" s="17"/>
      <c r="O60" s="79"/>
      <c r="P60" s="79"/>
      <c r="Q60" s="79"/>
      <c r="R60" s="79"/>
    </row>
    <row r="61" ht="22.5" customHeight="1">
      <c r="A61" s="107">
        <v>6.0</v>
      </c>
      <c r="B61" s="108" t="s">
        <v>126</v>
      </c>
      <c r="C61" s="109"/>
      <c r="D61" s="110" t="s">
        <v>141</v>
      </c>
      <c r="E61" s="111">
        <v>45906.0</v>
      </c>
      <c r="F61" s="111">
        <v>45907.0</v>
      </c>
      <c r="G61" s="111"/>
      <c r="H61" s="111"/>
      <c r="I61" s="112"/>
      <c r="J61" s="113"/>
      <c r="K61" s="114"/>
      <c r="L61" s="114"/>
      <c r="M61" s="115"/>
      <c r="N61" s="17"/>
      <c r="O61" s="79"/>
      <c r="P61" s="79"/>
      <c r="Q61" s="79"/>
      <c r="R61" s="79"/>
    </row>
    <row r="62" ht="22.5" customHeight="1">
      <c r="A62" s="107">
        <v>6.0</v>
      </c>
      <c r="B62" s="108" t="s">
        <v>126</v>
      </c>
      <c r="C62" s="109"/>
      <c r="D62" s="110" t="s">
        <v>142</v>
      </c>
      <c r="E62" s="111">
        <v>45906.0</v>
      </c>
      <c r="F62" s="111">
        <v>45907.0</v>
      </c>
      <c r="G62" s="111"/>
      <c r="H62" s="111"/>
      <c r="I62" s="112"/>
      <c r="J62" s="113"/>
      <c r="K62" s="114"/>
      <c r="L62" s="114"/>
      <c r="M62" s="115"/>
      <c r="N62" s="17"/>
      <c r="O62" s="79"/>
      <c r="P62" s="79"/>
      <c r="Q62" s="79"/>
      <c r="R62" s="79"/>
    </row>
    <row r="63" ht="22.5" customHeight="1">
      <c r="A63" s="107">
        <v>6.0</v>
      </c>
      <c r="B63" s="108" t="s">
        <v>126</v>
      </c>
      <c r="C63" s="109"/>
      <c r="D63" s="110" t="s">
        <v>143</v>
      </c>
      <c r="E63" s="111">
        <v>45906.0</v>
      </c>
      <c r="F63" s="111">
        <v>45907.0</v>
      </c>
      <c r="G63" s="111"/>
      <c r="H63" s="111"/>
      <c r="I63" s="112"/>
      <c r="J63" s="113"/>
      <c r="K63" s="114"/>
      <c r="L63" s="114"/>
      <c r="M63" s="115"/>
      <c r="N63" s="17"/>
      <c r="O63" s="79"/>
      <c r="P63" s="79"/>
      <c r="Q63" s="79"/>
      <c r="R63" s="79"/>
    </row>
    <row r="64" ht="22.5" customHeight="1">
      <c r="A64" s="107">
        <v>6.0</v>
      </c>
      <c r="B64" s="108" t="s">
        <v>126</v>
      </c>
      <c r="C64" s="109"/>
      <c r="D64" s="110" t="s">
        <v>144</v>
      </c>
      <c r="E64" s="111">
        <v>45906.0</v>
      </c>
      <c r="F64" s="111">
        <v>45907.0</v>
      </c>
      <c r="G64" s="111"/>
      <c r="H64" s="111"/>
      <c r="I64" s="112"/>
      <c r="J64" s="113"/>
      <c r="K64" s="114"/>
      <c r="L64" s="114"/>
      <c r="M64" s="115"/>
      <c r="N64" s="17"/>
      <c r="O64" s="79"/>
      <c r="P64" s="79"/>
      <c r="Q64" s="79"/>
      <c r="R64" s="79"/>
    </row>
    <row r="65" ht="22.5" customHeight="1">
      <c r="A65" s="107">
        <v>6.0</v>
      </c>
      <c r="B65" s="108" t="s">
        <v>126</v>
      </c>
      <c r="C65" s="109"/>
      <c r="D65" s="110" t="s">
        <v>145</v>
      </c>
      <c r="E65" s="111">
        <v>45906.0</v>
      </c>
      <c r="F65" s="111">
        <v>45907.0</v>
      </c>
      <c r="G65" s="111"/>
      <c r="H65" s="111"/>
      <c r="I65" s="112"/>
      <c r="J65" s="113"/>
      <c r="K65" s="114"/>
      <c r="L65" s="114"/>
      <c r="M65" s="115"/>
      <c r="N65" s="17"/>
      <c r="P65" s="116"/>
      <c r="Q65" s="79"/>
      <c r="R65" s="79"/>
    </row>
    <row r="66" ht="22.5" customHeight="1">
      <c r="A66" s="107">
        <v>6.0</v>
      </c>
      <c r="B66" s="108" t="s">
        <v>126</v>
      </c>
      <c r="C66" s="109"/>
      <c r="D66" s="110" t="s">
        <v>146</v>
      </c>
      <c r="E66" s="111">
        <v>45906.0</v>
      </c>
      <c r="F66" s="111">
        <v>45907.0</v>
      </c>
      <c r="G66" s="111"/>
      <c r="H66" s="111"/>
      <c r="I66" s="112"/>
      <c r="J66" s="113"/>
      <c r="K66" s="114"/>
      <c r="L66" s="114"/>
      <c r="M66" s="115"/>
      <c r="N66" s="17"/>
      <c r="P66" s="116"/>
      <c r="Q66" s="79"/>
      <c r="R66" s="79"/>
    </row>
    <row r="67" ht="22.5" customHeight="1">
      <c r="A67" s="107">
        <v>6.0</v>
      </c>
      <c r="B67" s="108" t="s">
        <v>126</v>
      </c>
      <c r="C67" s="109"/>
      <c r="D67" s="110" t="s">
        <v>147</v>
      </c>
      <c r="E67" s="111">
        <v>45906.0</v>
      </c>
      <c r="F67" s="111">
        <v>45907.0</v>
      </c>
      <c r="G67" s="111"/>
      <c r="H67" s="111"/>
      <c r="I67" s="112"/>
      <c r="J67" s="113"/>
      <c r="K67" s="114"/>
      <c r="L67" s="114"/>
      <c r="M67" s="115"/>
      <c r="N67" s="17"/>
      <c r="P67" s="116"/>
      <c r="Q67" s="79"/>
      <c r="R67" s="79"/>
    </row>
    <row r="68" ht="22.5" customHeight="1">
      <c r="A68" s="107">
        <v>6.0</v>
      </c>
      <c r="B68" s="108" t="s">
        <v>126</v>
      </c>
      <c r="C68" s="109"/>
      <c r="D68" s="110" t="s">
        <v>148</v>
      </c>
      <c r="E68" s="111">
        <v>45906.0</v>
      </c>
      <c r="F68" s="111">
        <v>45907.0</v>
      </c>
      <c r="G68" s="111"/>
      <c r="H68" s="111"/>
      <c r="I68" s="112"/>
      <c r="J68" s="113"/>
      <c r="K68" s="114"/>
      <c r="L68" s="114"/>
      <c r="M68" s="115"/>
      <c r="N68" s="17"/>
      <c r="P68" s="116"/>
      <c r="Q68" s="79"/>
      <c r="R68" s="79"/>
    </row>
    <row r="69" ht="22.5" customHeight="1">
      <c r="A69" s="107">
        <v>6.0</v>
      </c>
      <c r="B69" s="108" t="s">
        <v>126</v>
      </c>
      <c r="C69" s="109"/>
      <c r="D69" s="110" t="s">
        <v>149</v>
      </c>
      <c r="E69" s="111">
        <v>45906.0</v>
      </c>
      <c r="F69" s="111">
        <v>45907.0</v>
      </c>
      <c r="G69" s="111"/>
      <c r="H69" s="111"/>
      <c r="I69" s="112"/>
      <c r="J69" s="113"/>
      <c r="K69" s="114"/>
      <c r="L69" s="114"/>
      <c r="M69" s="115"/>
      <c r="N69" s="17"/>
      <c r="P69" s="116"/>
      <c r="Q69" s="79"/>
      <c r="R69" s="79"/>
    </row>
    <row r="70" ht="22.5" customHeight="1">
      <c r="A70" s="107">
        <v>6.0</v>
      </c>
      <c r="B70" s="108" t="s">
        <v>126</v>
      </c>
      <c r="C70" s="109"/>
      <c r="D70" s="110" t="s">
        <v>150</v>
      </c>
      <c r="E70" s="111">
        <v>45906.0</v>
      </c>
      <c r="F70" s="111">
        <v>45907.0</v>
      </c>
      <c r="G70" s="111"/>
      <c r="H70" s="111"/>
      <c r="I70" s="112"/>
      <c r="J70" s="113"/>
      <c r="K70" s="114"/>
      <c r="L70" s="114"/>
      <c r="M70" s="115"/>
      <c r="N70" s="17"/>
      <c r="P70" s="116"/>
      <c r="Q70" s="79"/>
      <c r="R70" s="79"/>
    </row>
    <row r="71" ht="22.5" customHeight="1">
      <c r="A71" s="107">
        <v>6.0</v>
      </c>
      <c r="B71" s="108" t="s">
        <v>126</v>
      </c>
      <c r="C71" s="109"/>
      <c r="D71" s="110" t="s">
        <v>151</v>
      </c>
      <c r="E71" s="111">
        <v>45906.0</v>
      </c>
      <c r="F71" s="111">
        <v>45907.0</v>
      </c>
      <c r="G71" s="111"/>
      <c r="H71" s="111"/>
      <c r="I71" s="112"/>
      <c r="J71" s="113"/>
      <c r="K71" s="114"/>
      <c r="L71" s="114"/>
      <c r="M71" s="115"/>
      <c r="N71" s="17"/>
      <c r="P71" s="116"/>
      <c r="Q71" s="79"/>
      <c r="R71" s="79"/>
    </row>
    <row r="72" ht="22.5" customHeight="1">
      <c r="A72" s="107">
        <v>6.0</v>
      </c>
      <c r="B72" s="108" t="s">
        <v>126</v>
      </c>
      <c r="C72" s="109"/>
      <c r="D72" s="110" t="s">
        <v>152</v>
      </c>
      <c r="E72" s="111">
        <v>45906.0</v>
      </c>
      <c r="F72" s="111">
        <v>45907.0</v>
      </c>
      <c r="G72" s="111"/>
      <c r="H72" s="111"/>
      <c r="I72" s="112"/>
      <c r="J72" s="113"/>
      <c r="K72" s="114"/>
      <c r="L72" s="114"/>
      <c r="M72" s="115"/>
      <c r="N72" s="17"/>
      <c r="P72" s="116"/>
      <c r="Q72" s="79"/>
      <c r="R72" s="79"/>
    </row>
    <row r="73" ht="22.5" customHeight="1">
      <c r="A73" s="107">
        <v>6.0</v>
      </c>
      <c r="B73" s="108" t="s">
        <v>126</v>
      </c>
      <c r="C73" s="109"/>
      <c r="D73" s="110" t="s">
        <v>153</v>
      </c>
      <c r="E73" s="111">
        <v>45906.0</v>
      </c>
      <c r="F73" s="111">
        <v>45907.0</v>
      </c>
      <c r="G73" s="111"/>
      <c r="H73" s="111"/>
      <c r="I73" s="112"/>
      <c r="J73" s="113"/>
      <c r="K73" s="114"/>
      <c r="L73" s="114"/>
      <c r="M73" s="115"/>
      <c r="N73" s="17"/>
      <c r="P73" s="116"/>
      <c r="Q73" s="79"/>
      <c r="R73" s="79"/>
    </row>
    <row r="74" ht="22.5" customHeight="1">
      <c r="A74" s="117">
        <v>7.0</v>
      </c>
      <c r="B74" s="90" t="s">
        <v>154</v>
      </c>
      <c r="C74" s="118"/>
      <c r="D74" s="119" t="s">
        <v>155</v>
      </c>
      <c r="E74" s="120">
        <v>45922.0</v>
      </c>
      <c r="F74" s="120">
        <v>45923.0</v>
      </c>
      <c r="G74" s="120"/>
      <c r="H74" s="120"/>
      <c r="I74" s="121"/>
      <c r="J74" s="122"/>
      <c r="K74" s="123"/>
      <c r="L74" s="123"/>
      <c r="M74" s="124"/>
      <c r="N74" s="17"/>
      <c r="P74" s="116"/>
      <c r="Q74" s="79"/>
      <c r="R74" s="79"/>
    </row>
    <row r="75" ht="22.5" customHeight="1">
      <c r="A75" s="117">
        <v>7.0</v>
      </c>
      <c r="B75" s="90" t="s">
        <v>154</v>
      </c>
      <c r="C75" s="118"/>
      <c r="D75" s="119" t="s">
        <v>156</v>
      </c>
      <c r="E75" s="120">
        <v>45922.0</v>
      </c>
      <c r="F75" s="120">
        <v>45923.0</v>
      </c>
      <c r="G75" s="120"/>
      <c r="H75" s="120"/>
      <c r="I75" s="121"/>
      <c r="J75" s="122"/>
      <c r="K75" s="123"/>
      <c r="L75" s="123"/>
      <c r="M75" s="124"/>
      <c r="N75" s="17"/>
      <c r="P75" s="116"/>
      <c r="Q75" s="79"/>
      <c r="R75" s="79"/>
    </row>
    <row r="76" ht="22.5" customHeight="1">
      <c r="A76" s="117">
        <v>7.0</v>
      </c>
      <c r="B76" s="90" t="s">
        <v>154</v>
      </c>
      <c r="C76" s="118"/>
      <c r="D76" s="119" t="s">
        <v>157</v>
      </c>
      <c r="E76" s="120">
        <v>45922.0</v>
      </c>
      <c r="F76" s="120">
        <v>45923.0</v>
      </c>
      <c r="G76" s="120"/>
      <c r="H76" s="120"/>
      <c r="I76" s="121"/>
      <c r="J76" s="122"/>
      <c r="K76" s="123"/>
      <c r="L76" s="123"/>
      <c r="M76" s="124"/>
      <c r="N76" s="17"/>
      <c r="P76" s="116"/>
      <c r="Q76" s="79"/>
      <c r="R76" s="79"/>
    </row>
    <row r="77" ht="22.5" customHeight="1">
      <c r="A77" s="117">
        <v>7.0</v>
      </c>
      <c r="B77" s="90" t="s">
        <v>154</v>
      </c>
      <c r="C77" s="118"/>
      <c r="D77" s="119" t="s">
        <v>158</v>
      </c>
      <c r="E77" s="120">
        <v>45922.0</v>
      </c>
      <c r="F77" s="120">
        <v>45923.0</v>
      </c>
      <c r="G77" s="120"/>
      <c r="H77" s="120"/>
      <c r="I77" s="121"/>
      <c r="J77" s="122"/>
      <c r="K77" s="123"/>
      <c r="L77" s="123"/>
      <c r="M77" s="124"/>
      <c r="N77" s="17"/>
      <c r="P77" s="116"/>
      <c r="Q77" s="79"/>
      <c r="R77" s="79"/>
    </row>
    <row r="78" ht="22.5" customHeight="1">
      <c r="A78" s="117">
        <v>7.0</v>
      </c>
      <c r="B78" s="90" t="s">
        <v>154</v>
      </c>
      <c r="C78" s="118"/>
      <c r="D78" s="119" t="s">
        <v>159</v>
      </c>
      <c r="E78" s="120">
        <v>45922.0</v>
      </c>
      <c r="F78" s="120">
        <v>45923.0</v>
      </c>
      <c r="G78" s="120"/>
      <c r="H78" s="120"/>
      <c r="I78" s="121"/>
      <c r="J78" s="122"/>
      <c r="K78" s="123"/>
      <c r="L78" s="123"/>
      <c r="M78" s="124"/>
      <c r="N78" s="17"/>
      <c r="P78" s="116"/>
      <c r="Q78" s="79"/>
      <c r="R78" s="79"/>
    </row>
    <row r="79" ht="22.5" customHeight="1">
      <c r="A79" s="117">
        <v>7.0</v>
      </c>
      <c r="B79" s="90" t="s">
        <v>154</v>
      </c>
      <c r="C79" s="118"/>
      <c r="D79" s="119" t="s">
        <v>160</v>
      </c>
      <c r="E79" s="120">
        <v>45922.0</v>
      </c>
      <c r="F79" s="120">
        <v>45923.0</v>
      </c>
      <c r="G79" s="120"/>
      <c r="H79" s="120"/>
      <c r="I79" s="121"/>
      <c r="J79" s="122"/>
      <c r="K79" s="123"/>
      <c r="L79" s="123"/>
      <c r="M79" s="124"/>
      <c r="N79" s="17"/>
      <c r="P79" s="116"/>
      <c r="Q79" s="79"/>
      <c r="R79" s="79"/>
    </row>
    <row r="80" ht="22.5" customHeight="1">
      <c r="A80" s="117">
        <v>7.0</v>
      </c>
      <c r="B80" s="90" t="s">
        <v>154</v>
      </c>
      <c r="C80" s="118"/>
      <c r="D80" s="119" t="s">
        <v>161</v>
      </c>
      <c r="E80" s="120">
        <v>45922.0</v>
      </c>
      <c r="F80" s="120">
        <v>45923.0</v>
      </c>
      <c r="G80" s="120"/>
      <c r="H80" s="120"/>
      <c r="I80" s="121"/>
      <c r="J80" s="122"/>
      <c r="K80" s="123"/>
      <c r="L80" s="123"/>
      <c r="M80" s="124"/>
      <c r="N80" s="17"/>
      <c r="P80" s="116"/>
      <c r="Q80" s="79"/>
      <c r="R80" s="79"/>
    </row>
    <row r="81" ht="22.5" customHeight="1">
      <c r="A81" s="117">
        <v>7.0</v>
      </c>
      <c r="B81" s="90" t="s">
        <v>154</v>
      </c>
      <c r="C81" s="118"/>
      <c r="D81" s="119" t="s">
        <v>162</v>
      </c>
      <c r="E81" s="120">
        <v>45922.0</v>
      </c>
      <c r="F81" s="120">
        <v>45923.0</v>
      </c>
      <c r="G81" s="120"/>
      <c r="H81" s="120"/>
      <c r="I81" s="121"/>
      <c r="J81" s="122"/>
      <c r="K81" s="123"/>
      <c r="L81" s="123"/>
      <c r="M81" s="124"/>
      <c r="N81" s="17"/>
      <c r="P81" s="116"/>
      <c r="Q81" s="79"/>
      <c r="R81" s="79"/>
    </row>
    <row r="82" ht="22.5" customHeight="1">
      <c r="A82" s="117">
        <v>7.0</v>
      </c>
      <c r="B82" s="90" t="s">
        <v>154</v>
      </c>
      <c r="C82" s="118"/>
      <c r="D82" s="119" t="s">
        <v>163</v>
      </c>
      <c r="E82" s="120">
        <v>45922.0</v>
      </c>
      <c r="F82" s="120">
        <v>45923.0</v>
      </c>
      <c r="G82" s="120"/>
      <c r="H82" s="120"/>
      <c r="I82" s="121"/>
      <c r="J82" s="122"/>
      <c r="K82" s="123"/>
      <c r="L82" s="123"/>
      <c r="M82" s="124"/>
      <c r="N82" s="17"/>
      <c r="P82" s="116"/>
      <c r="Q82" s="79"/>
      <c r="R82" s="79"/>
    </row>
    <row r="83" ht="22.5" customHeight="1">
      <c r="A83" s="117">
        <v>7.0</v>
      </c>
      <c r="B83" s="90" t="s">
        <v>154</v>
      </c>
      <c r="C83" s="118"/>
      <c r="D83" s="119" t="s">
        <v>164</v>
      </c>
      <c r="E83" s="120">
        <v>45922.0</v>
      </c>
      <c r="F83" s="120">
        <v>45923.0</v>
      </c>
      <c r="G83" s="120"/>
      <c r="H83" s="120"/>
      <c r="I83" s="121"/>
      <c r="J83" s="122"/>
      <c r="K83" s="123"/>
      <c r="L83" s="123"/>
      <c r="M83" s="124"/>
      <c r="N83" s="17"/>
      <c r="P83" s="116"/>
      <c r="Q83" s="79"/>
      <c r="R83" s="79"/>
    </row>
    <row r="84" ht="22.5" customHeight="1">
      <c r="A84" s="117">
        <v>7.0</v>
      </c>
      <c r="B84" s="90" t="s">
        <v>154</v>
      </c>
      <c r="C84" s="118"/>
      <c r="D84" s="119" t="s">
        <v>165</v>
      </c>
      <c r="E84" s="120">
        <v>45922.0</v>
      </c>
      <c r="F84" s="120">
        <v>45923.0</v>
      </c>
      <c r="G84" s="120"/>
      <c r="H84" s="120"/>
      <c r="I84" s="121"/>
      <c r="J84" s="122"/>
      <c r="K84" s="123"/>
      <c r="L84" s="123"/>
      <c r="M84" s="124"/>
      <c r="N84" s="17"/>
      <c r="P84" s="116"/>
      <c r="Q84" s="79"/>
      <c r="R84" s="79"/>
    </row>
    <row r="85" ht="22.5" customHeight="1">
      <c r="A85" s="117">
        <v>7.0</v>
      </c>
      <c r="B85" s="90" t="s">
        <v>154</v>
      </c>
      <c r="C85" s="118"/>
      <c r="D85" s="119" t="s">
        <v>166</v>
      </c>
      <c r="E85" s="120">
        <v>45922.0</v>
      </c>
      <c r="F85" s="120">
        <v>45923.0</v>
      </c>
      <c r="G85" s="120"/>
      <c r="H85" s="120"/>
      <c r="I85" s="121"/>
      <c r="J85" s="122"/>
      <c r="K85" s="123"/>
      <c r="L85" s="123"/>
      <c r="M85" s="124"/>
      <c r="N85" s="17"/>
      <c r="P85" s="116"/>
      <c r="Q85" s="79"/>
      <c r="R85" s="79"/>
    </row>
    <row r="86" ht="22.5" customHeight="1">
      <c r="A86" s="117">
        <v>7.0</v>
      </c>
      <c r="B86" s="90" t="s">
        <v>154</v>
      </c>
      <c r="C86" s="118"/>
      <c r="D86" s="119" t="s">
        <v>167</v>
      </c>
      <c r="E86" s="120">
        <v>45922.0</v>
      </c>
      <c r="F86" s="120">
        <v>45923.0</v>
      </c>
      <c r="G86" s="120"/>
      <c r="H86" s="120"/>
      <c r="I86" s="121"/>
      <c r="J86" s="122"/>
      <c r="K86" s="123"/>
      <c r="L86" s="123"/>
      <c r="M86" s="124"/>
      <c r="N86" s="17"/>
      <c r="P86" s="116"/>
      <c r="Q86" s="79"/>
      <c r="R86" s="79"/>
    </row>
    <row r="87" ht="22.5" customHeight="1">
      <c r="A87" s="117">
        <v>7.0</v>
      </c>
      <c r="B87" s="90" t="s">
        <v>154</v>
      </c>
      <c r="C87" s="118"/>
      <c r="D87" s="119" t="s">
        <v>168</v>
      </c>
      <c r="E87" s="120">
        <v>45922.0</v>
      </c>
      <c r="F87" s="120">
        <v>45923.0</v>
      </c>
      <c r="G87" s="120"/>
      <c r="H87" s="120"/>
      <c r="I87" s="121"/>
      <c r="J87" s="122"/>
      <c r="K87" s="123"/>
      <c r="L87" s="123"/>
      <c r="M87" s="124"/>
      <c r="N87" s="17"/>
      <c r="P87" s="116"/>
      <c r="Q87" s="79"/>
      <c r="R87" s="79"/>
    </row>
    <row r="88" ht="22.5" customHeight="1">
      <c r="A88" s="117">
        <v>7.0</v>
      </c>
      <c r="B88" s="90" t="s">
        <v>154</v>
      </c>
      <c r="C88" s="118"/>
      <c r="D88" s="119" t="s">
        <v>169</v>
      </c>
      <c r="E88" s="120">
        <v>45922.0</v>
      </c>
      <c r="F88" s="120">
        <v>45923.0</v>
      </c>
      <c r="G88" s="120"/>
      <c r="H88" s="120"/>
      <c r="I88" s="121"/>
      <c r="J88" s="122"/>
      <c r="K88" s="123"/>
      <c r="L88" s="123"/>
      <c r="M88" s="124"/>
      <c r="N88" s="17"/>
      <c r="P88" s="116"/>
      <c r="Q88" s="79"/>
      <c r="R88" s="79"/>
    </row>
    <row r="89" ht="22.5" customHeight="1">
      <c r="A89" s="117">
        <v>7.0</v>
      </c>
      <c r="B89" s="90" t="s">
        <v>154</v>
      </c>
      <c r="C89" s="118"/>
      <c r="D89" s="119" t="s">
        <v>170</v>
      </c>
      <c r="E89" s="120">
        <v>45922.0</v>
      </c>
      <c r="F89" s="120">
        <v>45923.0</v>
      </c>
      <c r="G89" s="120"/>
      <c r="H89" s="120"/>
      <c r="I89" s="121"/>
      <c r="J89" s="122"/>
      <c r="K89" s="123"/>
      <c r="L89" s="123"/>
      <c r="M89" s="124"/>
      <c r="N89" s="17"/>
      <c r="P89" s="116"/>
      <c r="Q89" s="79"/>
      <c r="R89" s="79"/>
    </row>
    <row r="90" ht="22.5" customHeight="1">
      <c r="A90" s="117">
        <v>7.0</v>
      </c>
      <c r="B90" s="90" t="s">
        <v>154</v>
      </c>
      <c r="C90" s="118"/>
      <c r="D90" s="119" t="s">
        <v>171</v>
      </c>
      <c r="E90" s="120">
        <v>45922.0</v>
      </c>
      <c r="F90" s="120">
        <v>45923.0</v>
      </c>
      <c r="G90" s="120"/>
      <c r="H90" s="120"/>
      <c r="I90" s="121"/>
      <c r="J90" s="122"/>
      <c r="K90" s="123"/>
      <c r="L90" s="123"/>
      <c r="M90" s="124"/>
      <c r="N90" s="17"/>
      <c r="P90" s="116"/>
      <c r="Q90" s="79"/>
      <c r="R90" s="79"/>
    </row>
    <row r="91" ht="22.5" customHeight="1">
      <c r="A91" s="117">
        <v>7.0</v>
      </c>
      <c r="B91" s="90" t="s">
        <v>154</v>
      </c>
      <c r="C91" s="118"/>
      <c r="D91" s="119" t="s">
        <v>172</v>
      </c>
      <c r="E91" s="120">
        <v>45922.0</v>
      </c>
      <c r="F91" s="120">
        <v>45923.0</v>
      </c>
      <c r="G91" s="120"/>
      <c r="H91" s="120"/>
      <c r="I91" s="121"/>
      <c r="J91" s="122"/>
      <c r="K91" s="123"/>
      <c r="L91" s="123"/>
      <c r="M91" s="124"/>
      <c r="N91" s="17"/>
      <c r="P91" s="116"/>
      <c r="Q91" s="79"/>
      <c r="R91" s="79"/>
    </row>
    <row r="92" ht="22.5" customHeight="1">
      <c r="A92" s="117">
        <v>7.0</v>
      </c>
      <c r="B92" s="90" t="s">
        <v>154</v>
      </c>
      <c r="C92" s="118"/>
      <c r="D92" s="119" t="s">
        <v>173</v>
      </c>
      <c r="E92" s="120">
        <v>45922.0</v>
      </c>
      <c r="F92" s="120">
        <v>45923.0</v>
      </c>
      <c r="G92" s="120"/>
      <c r="H92" s="120"/>
      <c r="I92" s="121"/>
      <c r="J92" s="122"/>
      <c r="K92" s="123"/>
      <c r="L92" s="123"/>
      <c r="M92" s="124"/>
      <c r="N92" s="17"/>
      <c r="P92" s="116"/>
      <c r="Q92" s="79"/>
      <c r="R92" s="79"/>
    </row>
    <row r="93" ht="22.5" customHeight="1">
      <c r="A93" s="117">
        <v>7.0</v>
      </c>
      <c r="B93" s="90" t="s">
        <v>154</v>
      </c>
      <c r="C93" s="118"/>
      <c r="D93" s="119" t="s">
        <v>174</v>
      </c>
      <c r="E93" s="120">
        <v>45922.0</v>
      </c>
      <c r="F93" s="120">
        <v>45923.0</v>
      </c>
      <c r="G93" s="120"/>
      <c r="H93" s="120"/>
      <c r="I93" s="121"/>
      <c r="J93" s="122"/>
      <c r="K93" s="123"/>
      <c r="L93" s="123"/>
      <c r="M93" s="124"/>
      <c r="N93" s="17"/>
      <c r="P93" s="116"/>
      <c r="Q93" s="79"/>
      <c r="R93" s="79"/>
    </row>
    <row r="94" ht="22.5" customHeight="1">
      <c r="A94" s="117">
        <v>7.0</v>
      </c>
      <c r="B94" s="90" t="s">
        <v>154</v>
      </c>
      <c r="C94" s="118"/>
      <c r="D94" s="119" t="s">
        <v>175</v>
      </c>
      <c r="E94" s="120">
        <v>45922.0</v>
      </c>
      <c r="F94" s="120">
        <v>45923.0</v>
      </c>
      <c r="G94" s="120"/>
      <c r="H94" s="120"/>
      <c r="I94" s="121"/>
      <c r="J94" s="122"/>
      <c r="K94" s="123"/>
      <c r="L94" s="123"/>
      <c r="M94" s="124"/>
      <c r="N94" s="17"/>
      <c r="P94" s="116"/>
      <c r="Q94" s="79"/>
      <c r="R94" s="79"/>
    </row>
    <row r="95" ht="22.5" customHeight="1">
      <c r="A95" s="117">
        <v>7.0</v>
      </c>
      <c r="B95" s="90" t="s">
        <v>154</v>
      </c>
      <c r="C95" s="118"/>
      <c r="D95" s="119" t="s">
        <v>176</v>
      </c>
      <c r="E95" s="120">
        <v>45922.0</v>
      </c>
      <c r="F95" s="120">
        <v>45923.0</v>
      </c>
      <c r="G95" s="120"/>
      <c r="H95" s="120"/>
      <c r="I95" s="121"/>
      <c r="J95" s="122"/>
      <c r="K95" s="123"/>
      <c r="L95" s="123"/>
      <c r="M95" s="124"/>
      <c r="N95" s="17"/>
      <c r="P95" s="116"/>
      <c r="Q95" s="79"/>
      <c r="R95" s="79"/>
    </row>
    <row r="96" ht="22.5" customHeight="1">
      <c r="A96" s="117">
        <v>7.0</v>
      </c>
      <c r="B96" s="90" t="s">
        <v>154</v>
      </c>
      <c r="C96" s="118"/>
      <c r="D96" s="119" t="s">
        <v>177</v>
      </c>
      <c r="E96" s="120">
        <v>45922.0</v>
      </c>
      <c r="F96" s="120">
        <v>45923.0</v>
      </c>
      <c r="G96" s="120"/>
      <c r="H96" s="120"/>
      <c r="I96" s="121"/>
      <c r="J96" s="122"/>
      <c r="K96" s="123"/>
      <c r="L96" s="123"/>
      <c r="M96" s="124"/>
      <c r="N96" s="17"/>
      <c r="P96" s="116"/>
      <c r="Q96" s="79"/>
      <c r="R96" s="79"/>
    </row>
    <row r="97" ht="22.5" customHeight="1">
      <c r="A97" s="117">
        <v>7.0</v>
      </c>
      <c r="B97" s="90" t="s">
        <v>154</v>
      </c>
      <c r="C97" s="118"/>
      <c r="D97" s="119" t="s">
        <v>178</v>
      </c>
      <c r="E97" s="120">
        <v>45922.0</v>
      </c>
      <c r="F97" s="120">
        <v>45923.0</v>
      </c>
      <c r="G97" s="120"/>
      <c r="H97" s="120"/>
      <c r="I97" s="121"/>
      <c r="J97" s="122"/>
      <c r="K97" s="123"/>
      <c r="L97" s="123"/>
      <c r="M97" s="124"/>
      <c r="N97" s="17"/>
      <c r="P97" s="116"/>
      <c r="Q97" s="79"/>
      <c r="R97" s="79"/>
    </row>
    <row r="98" ht="22.5" customHeight="1">
      <c r="A98" s="125">
        <v>10.0</v>
      </c>
      <c r="B98" s="71" t="s">
        <v>179</v>
      </c>
      <c r="C98" s="126"/>
      <c r="D98" s="127" t="s">
        <v>180</v>
      </c>
      <c r="E98" s="128">
        <v>45937.0</v>
      </c>
      <c r="F98" s="128">
        <v>45960.0</v>
      </c>
      <c r="G98" s="128"/>
      <c r="H98" s="128"/>
      <c r="I98" s="129"/>
      <c r="J98" s="130"/>
      <c r="K98" s="131"/>
      <c r="L98" s="131"/>
      <c r="M98" s="132"/>
      <c r="N98" s="17"/>
      <c r="P98" s="116"/>
      <c r="Q98" s="79"/>
      <c r="R98" s="79"/>
    </row>
    <row r="99" ht="22.5" customHeight="1">
      <c r="A99" s="125">
        <v>10.0</v>
      </c>
      <c r="B99" s="71" t="s">
        <v>179</v>
      </c>
      <c r="C99" s="126"/>
      <c r="D99" s="127" t="s">
        <v>181</v>
      </c>
      <c r="E99" s="128">
        <v>45937.0</v>
      </c>
      <c r="F99" s="128">
        <v>45960.0</v>
      </c>
      <c r="G99" s="128"/>
      <c r="H99" s="128"/>
      <c r="I99" s="129"/>
      <c r="J99" s="130"/>
      <c r="K99" s="131"/>
      <c r="L99" s="131"/>
      <c r="M99" s="132"/>
      <c r="N99" s="17"/>
      <c r="P99" s="116"/>
      <c r="Q99" s="79"/>
      <c r="R99" s="79"/>
    </row>
    <row r="100" ht="22.5" customHeight="1">
      <c r="A100" s="125">
        <v>10.0</v>
      </c>
      <c r="B100" s="71" t="s">
        <v>179</v>
      </c>
      <c r="C100" s="126"/>
      <c r="D100" s="127" t="s">
        <v>182</v>
      </c>
      <c r="E100" s="128">
        <v>45937.0</v>
      </c>
      <c r="F100" s="128">
        <v>45960.0</v>
      </c>
      <c r="G100" s="128"/>
      <c r="H100" s="128"/>
      <c r="I100" s="129"/>
      <c r="J100" s="130"/>
      <c r="K100" s="131"/>
      <c r="L100" s="131"/>
      <c r="M100" s="132"/>
      <c r="N100" s="17"/>
      <c r="P100" s="116"/>
      <c r="Q100" s="79"/>
      <c r="R100" s="79"/>
    </row>
    <row r="101" ht="22.5" customHeight="1">
      <c r="A101" s="125">
        <v>10.0</v>
      </c>
      <c r="B101" s="71" t="s">
        <v>179</v>
      </c>
      <c r="C101" s="126"/>
      <c r="D101" s="127" t="s">
        <v>183</v>
      </c>
      <c r="E101" s="128">
        <v>45937.0</v>
      </c>
      <c r="F101" s="128">
        <v>45960.0</v>
      </c>
      <c r="G101" s="128"/>
      <c r="H101" s="128"/>
      <c r="I101" s="129"/>
      <c r="J101" s="130"/>
      <c r="K101" s="131"/>
      <c r="L101" s="131"/>
      <c r="M101" s="132"/>
      <c r="N101" s="17"/>
      <c r="P101" s="116"/>
      <c r="Q101" s="79"/>
      <c r="R101" s="79"/>
    </row>
    <row r="102" ht="22.5" customHeight="1">
      <c r="A102" s="125">
        <v>10.0</v>
      </c>
      <c r="B102" s="71" t="s">
        <v>179</v>
      </c>
      <c r="C102" s="126"/>
      <c r="D102" s="127" t="s">
        <v>184</v>
      </c>
      <c r="E102" s="128">
        <v>45937.0</v>
      </c>
      <c r="F102" s="128">
        <v>45960.0</v>
      </c>
      <c r="G102" s="128"/>
      <c r="H102" s="128"/>
      <c r="I102" s="129"/>
      <c r="J102" s="130"/>
      <c r="K102" s="131"/>
      <c r="L102" s="131"/>
      <c r="M102" s="132"/>
      <c r="N102" s="17"/>
      <c r="P102" s="116"/>
      <c r="Q102" s="79"/>
      <c r="R102" s="79"/>
    </row>
    <row r="103" ht="22.5" customHeight="1">
      <c r="A103" s="125">
        <v>10.0</v>
      </c>
      <c r="B103" s="71" t="s">
        <v>179</v>
      </c>
      <c r="C103" s="126"/>
      <c r="D103" s="127" t="s">
        <v>185</v>
      </c>
      <c r="E103" s="128">
        <v>45937.0</v>
      </c>
      <c r="F103" s="128">
        <v>45960.0</v>
      </c>
      <c r="G103" s="128"/>
      <c r="H103" s="128"/>
      <c r="I103" s="129"/>
      <c r="J103" s="130"/>
      <c r="K103" s="131"/>
      <c r="L103" s="131"/>
      <c r="M103" s="132"/>
      <c r="N103" s="17"/>
      <c r="P103" s="116"/>
      <c r="Q103" s="79"/>
      <c r="R103" s="79"/>
    </row>
    <row r="104" ht="22.5" customHeight="1">
      <c r="A104" s="125">
        <v>10.0</v>
      </c>
      <c r="B104" s="71" t="s">
        <v>179</v>
      </c>
      <c r="C104" s="126"/>
      <c r="D104" s="127" t="s">
        <v>186</v>
      </c>
      <c r="E104" s="128">
        <v>45937.0</v>
      </c>
      <c r="F104" s="128">
        <v>45960.0</v>
      </c>
      <c r="G104" s="128"/>
      <c r="H104" s="128"/>
      <c r="I104" s="129"/>
      <c r="J104" s="130"/>
      <c r="K104" s="131"/>
      <c r="L104" s="131"/>
      <c r="M104" s="132"/>
      <c r="N104" s="17"/>
      <c r="P104" s="116"/>
      <c r="Q104" s="79"/>
      <c r="R104" s="79"/>
    </row>
    <row r="105" ht="22.5" customHeight="1">
      <c r="A105" s="125">
        <v>10.0</v>
      </c>
      <c r="B105" s="71" t="s">
        <v>179</v>
      </c>
      <c r="C105" s="126"/>
      <c r="D105" s="127" t="s">
        <v>187</v>
      </c>
      <c r="E105" s="128">
        <v>45937.0</v>
      </c>
      <c r="F105" s="128">
        <v>45960.0</v>
      </c>
      <c r="G105" s="128"/>
      <c r="H105" s="128"/>
      <c r="I105" s="129"/>
      <c r="J105" s="130"/>
      <c r="K105" s="131"/>
      <c r="L105" s="131"/>
      <c r="M105" s="132"/>
      <c r="N105" s="17"/>
      <c r="P105" s="116"/>
      <c r="Q105" s="79"/>
      <c r="R105" s="79"/>
    </row>
    <row r="106" ht="22.5" customHeight="1">
      <c r="A106" s="125">
        <v>10.0</v>
      </c>
      <c r="B106" s="71" t="s">
        <v>179</v>
      </c>
      <c r="C106" s="126"/>
      <c r="D106" s="127" t="s">
        <v>188</v>
      </c>
      <c r="E106" s="128">
        <v>45937.0</v>
      </c>
      <c r="F106" s="128">
        <v>45960.0</v>
      </c>
      <c r="G106" s="128"/>
      <c r="H106" s="128"/>
      <c r="I106" s="129"/>
      <c r="J106" s="130"/>
      <c r="K106" s="131"/>
      <c r="L106" s="131"/>
      <c r="M106" s="132"/>
      <c r="N106" s="17"/>
      <c r="P106" s="116"/>
      <c r="Q106" s="79"/>
      <c r="R106" s="79"/>
    </row>
    <row r="107" ht="22.5" customHeight="1">
      <c r="A107" s="125">
        <v>10.0</v>
      </c>
      <c r="B107" s="71" t="s">
        <v>179</v>
      </c>
      <c r="C107" s="126"/>
      <c r="D107" s="127" t="s">
        <v>189</v>
      </c>
      <c r="E107" s="128">
        <v>45937.0</v>
      </c>
      <c r="F107" s="128">
        <v>45960.0</v>
      </c>
      <c r="G107" s="128"/>
      <c r="H107" s="128"/>
      <c r="I107" s="129"/>
      <c r="J107" s="130"/>
      <c r="K107" s="131"/>
      <c r="L107" s="131"/>
      <c r="M107" s="132"/>
      <c r="N107" s="17"/>
      <c r="P107" s="116"/>
      <c r="Q107" s="79"/>
      <c r="R107" s="79"/>
    </row>
    <row r="108" ht="22.5" customHeight="1">
      <c r="A108" s="125">
        <v>10.0</v>
      </c>
      <c r="B108" s="71" t="s">
        <v>179</v>
      </c>
      <c r="C108" s="126"/>
      <c r="D108" s="127" t="s">
        <v>190</v>
      </c>
      <c r="E108" s="128">
        <v>45937.0</v>
      </c>
      <c r="F108" s="128">
        <v>45960.0</v>
      </c>
      <c r="G108" s="128"/>
      <c r="H108" s="128"/>
      <c r="I108" s="129"/>
      <c r="J108" s="130"/>
      <c r="K108" s="131"/>
      <c r="L108" s="131"/>
      <c r="M108" s="132"/>
      <c r="N108" s="17"/>
      <c r="P108" s="116"/>
      <c r="Q108" s="79"/>
      <c r="R108" s="79"/>
    </row>
    <row r="109" ht="22.5" customHeight="1">
      <c r="A109" s="125">
        <v>10.0</v>
      </c>
      <c r="B109" s="71" t="s">
        <v>179</v>
      </c>
      <c r="C109" s="126"/>
      <c r="D109" s="127" t="s">
        <v>191</v>
      </c>
      <c r="E109" s="128">
        <v>45937.0</v>
      </c>
      <c r="F109" s="128">
        <v>45960.0</v>
      </c>
      <c r="G109" s="128"/>
      <c r="H109" s="128"/>
      <c r="I109" s="129"/>
      <c r="J109" s="130"/>
      <c r="K109" s="131"/>
      <c r="L109" s="131"/>
      <c r="M109" s="132"/>
      <c r="N109" s="17"/>
      <c r="P109" s="116"/>
      <c r="Q109" s="79"/>
      <c r="R109" s="79"/>
    </row>
    <row r="110" ht="22.5" customHeight="1">
      <c r="A110" s="125">
        <v>10.0</v>
      </c>
      <c r="B110" s="71" t="s">
        <v>179</v>
      </c>
      <c r="C110" s="126"/>
      <c r="D110" s="127" t="s">
        <v>192</v>
      </c>
      <c r="E110" s="128">
        <v>45937.0</v>
      </c>
      <c r="F110" s="128">
        <v>45960.0</v>
      </c>
      <c r="G110" s="128"/>
      <c r="H110" s="128"/>
      <c r="I110" s="129"/>
      <c r="J110" s="130"/>
      <c r="K110" s="131"/>
      <c r="L110" s="131"/>
      <c r="M110" s="132"/>
      <c r="N110" s="17"/>
      <c r="P110" s="116"/>
      <c r="Q110" s="79"/>
      <c r="R110" s="79"/>
    </row>
    <row r="111" ht="22.5" customHeight="1">
      <c r="A111" s="125">
        <v>10.0</v>
      </c>
      <c r="B111" s="71" t="s">
        <v>179</v>
      </c>
      <c r="C111" s="126"/>
      <c r="D111" s="127" t="s">
        <v>193</v>
      </c>
      <c r="E111" s="128">
        <v>45937.0</v>
      </c>
      <c r="F111" s="128">
        <v>45960.0</v>
      </c>
      <c r="G111" s="128"/>
      <c r="H111" s="128"/>
      <c r="I111" s="129"/>
      <c r="J111" s="130"/>
      <c r="K111" s="131"/>
      <c r="L111" s="131"/>
      <c r="M111" s="132"/>
      <c r="N111" s="17"/>
      <c r="P111" s="116"/>
      <c r="Q111" s="79"/>
      <c r="R111" s="79"/>
    </row>
    <row r="112" ht="22.5" customHeight="1">
      <c r="A112" s="125">
        <v>12.0</v>
      </c>
      <c r="B112" s="71" t="s">
        <v>179</v>
      </c>
      <c r="C112" s="126"/>
      <c r="D112" s="127" t="s">
        <v>194</v>
      </c>
      <c r="E112" s="128">
        <v>45937.0</v>
      </c>
      <c r="F112" s="128">
        <v>45960.0</v>
      </c>
      <c r="G112" s="128"/>
      <c r="H112" s="128"/>
      <c r="I112" s="129"/>
      <c r="J112" s="130"/>
      <c r="K112" s="131"/>
      <c r="L112" s="131"/>
      <c r="M112" s="132"/>
      <c r="N112" s="17"/>
      <c r="P112" s="116"/>
      <c r="Q112" s="79"/>
      <c r="R112" s="79"/>
    </row>
    <row r="113" ht="22.5" customHeight="1">
      <c r="A113" s="125">
        <v>12.0</v>
      </c>
      <c r="B113" s="71" t="s">
        <v>179</v>
      </c>
      <c r="C113" s="126"/>
      <c r="D113" s="127" t="s">
        <v>195</v>
      </c>
      <c r="E113" s="128">
        <v>45937.0</v>
      </c>
      <c r="F113" s="128">
        <v>45960.0</v>
      </c>
      <c r="G113" s="128"/>
      <c r="H113" s="128"/>
      <c r="I113" s="129"/>
      <c r="J113" s="130"/>
      <c r="K113" s="131"/>
      <c r="L113" s="131"/>
      <c r="M113" s="132"/>
      <c r="N113" s="17"/>
      <c r="P113" s="116"/>
      <c r="Q113" s="79"/>
      <c r="R113" s="79"/>
    </row>
    <row r="114" ht="22.5" customHeight="1">
      <c r="A114" s="125">
        <v>12.0</v>
      </c>
      <c r="B114" s="71" t="s">
        <v>179</v>
      </c>
      <c r="C114" s="126"/>
      <c r="D114" s="127" t="s">
        <v>196</v>
      </c>
      <c r="E114" s="128">
        <v>45937.0</v>
      </c>
      <c r="F114" s="128">
        <v>45960.0</v>
      </c>
      <c r="G114" s="128"/>
      <c r="H114" s="128"/>
      <c r="I114" s="129"/>
      <c r="J114" s="130"/>
      <c r="K114" s="131"/>
      <c r="L114" s="131"/>
      <c r="M114" s="132"/>
      <c r="N114" s="17"/>
      <c r="P114" s="116"/>
      <c r="Q114" s="79"/>
      <c r="R114" s="79"/>
    </row>
    <row r="115" ht="22.5" customHeight="1">
      <c r="A115" s="125">
        <v>12.0</v>
      </c>
      <c r="B115" s="71" t="s">
        <v>179</v>
      </c>
      <c r="C115" s="126"/>
      <c r="D115" s="127" t="s">
        <v>197</v>
      </c>
      <c r="E115" s="128">
        <v>45937.0</v>
      </c>
      <c r="F115" s="128">
        <v>45960.0</v>
      </c>
      <c r="G115" s="128"/>
      <c r="H115" s="128"/>
      <c r="I115" s="129"/>
      <c r="J115" s="130"/>
      <c r="K115" s="131"/>
      <c r="L115" s="131"/>
      <c r="M115" s="132"/>
      <c r="N115" s="17"/>
      <c r="P115" s="116"/>
      <c r="Q115" s="79"/>
      <c r="R115" s="79"/>
    </row>
    <row r="116" ht="22.5" customHeight="1">
      <c r="A116" s="125">
        <v>12.0</v>
      </c>
      <c r="B116" s="71" t="s">
        <v>179</v>
      </c>
      <c r="C116" s="126"/>
      <c r="D116" s="127" t="s">
        <v>198</v>
      </c>
      <c r="E116" s="128">
        <v>45937.0</v>
      </c>
      <c r="F116" s="128">
        <v>45960.0</v>
      </c>
      <c r="G116" s="128"/>
      <c r="H116" s="128"/>
      <c r="I116" s="129"/>
      <c r="J116" s="130"/>
      <c r="K116" s="131"/>
      <c r="L116" s="131"/>
      <c r="M116" s="132"/>
      <c r="N116" s="17"/>
      <c r="P116" s="116"/>
      <c r="Q116" s="79"/>
      <c r="R116" s="79"/>
    </row>
    <row r="117" ht="22.5" customHeight="1">
      <c r="A117" s="125">
        <v>12.0</v>
      </c>
      <c r="B117" s="71" t="s">
        <v>179</v>
      </c>
      <c r="C117" s="126"/>
      <c r="D117" s="127" t="s">
        <v>199</v>
      </c>
      <c r="E117" s="128">
        <v>45937.0</v>
      </c>
      <c r="F117" s="128">
        <v>45960.0</v>
      </c>
      <c r="G117" s="128"/>
      <c r="H117" s="128"/>
      <c r="I117" s="129"/>
      <c r="J117" s="130"/>
      <c r="K117" s="131"/>
      <c r="L117" s="131"/>
      <c r="M117" s="132"/>
      <c r="N117" s="17"/>
      <c r="P117" s="116"/>
      <c r="Q117" s="79"/>
      <c r="R117" s="79"/>
    </row>
    <row r="118" ht="22.5" customHeight="1">
      <c r="A118" s="125">
        <v>12.0</v>
      </c>
      <c r="B118" s="71" t="s">
        <v>179</v>
      </c>
      <c r="C118" s="126"/>
      <c r="D118" s="127" t="s">
        <v>200</v>
      </c>
      <c r="E118" s="128">
        <v>45937.0</v>
      </c>
      <c r="F118" s="128">
        <v>45960.0</v>
      </c>
      <c r="G118" s="128"/>
      <c r="H118" s="128"/>
      <c r="I118" s="129"/>
      <c r="J118" s="130"/>
      <c r="K118" s="131"/>
      <c r="L118" s="131"/>
      <c r="M118" s="132"/>
      <c r="N118" s="17"/>
      <c r="P118" s="116"/>
      <c r="Q118" s="79"/>
      <c r="R118" s="79"/>
    </row>
    <row r="119" ht="22.5" customHeight="1">
      <c r="A119" s="125">
        <v>12.0</v>
      </c>
      <c r="B119" s="71" t="s">
        <v>179</v>
      </c>
      <c r="C119" s="126"/>
      <c r="D119" s="127" t="s">
        <v>201</v>
      </c>
      <c r="E119" s="128">
        <v>45937.0</v>
      </c>
      <c r="F119" s="128">
        <v>45960.0</v>
      </c>
      <c r="G119" s="128"/>
      <c r="H119" s="128"/>
      <c r="I119" s="129"/>
      <c r="J119" s="130"/>
      <c r="K119" s="131"/>
      <c r="L119" s="131"/>
      <c r="M119" s="132"/>
      <c r="N119" s="17"/>
      <c r="P119" s="116"/>
      <c r="Q119" s="79"/>
      <c r="R119" s="79"/>
    </row>
    <row r="120" ht="22.5" customHeight="1">
      <c r="A120" s="125">
        <v>12.0</v>
      </c>
      <c r="B120" s="71" t="s">
        <v>179</v>
      </c>
      <c r="C120" s="126"/>
      <c r="D120" s="127" t="s">
        <v>202</v>
      </c>
      <c r="E120" s="128">
        <v>45937.0</v>
      </c>
      <c r="F120" s="128">
        <v>45960.0</v>
      </c>
      <c r="G120" s="128"/>
      <c r="H120" s="128"/>
      <c r="I120" s="129"/>
      <c r="J120" s="130"/>
      <c r="K120" s="131"/>
      <c r="L120" s="131"/>
      <c r="M120" s="132"/>
      <c r="N120" s="17"/>
      <c r="P120" s="116"/>
      <c r="Q120" s="79"/>
      <c r="R120" s="79"/>
    </row>
    <row r="121" ht="22.5" customHeight="1">
      <c r="A121" s="125">
        <v>12.0</v>
      </c>
      <c r="B121" s="71" t="s">
        <v>179</v>
      </c>
      <c r="C121" s="126"/>
      <c r="D121" s="127" t="s">
        <v>203</v>
      </c>
      <c r="E121" s="128">
        <v>45937.0</v>
      </c>
      <c r="F121" s="128">
        <v>45960.0</v>
      </c>
      <c r="G121" s="128"/>
      <c r="H121" s="128"/>
      <c r="I121" s="129"/>
      <c r="J121" s="130"/>
      <c r="K121" s="131"/>
      <c r="L121" s="131"/>
      <c r="M121" s="132"/>
      <c r="N121" s="17"/>
      <c r="P121" s="116"/>
      <c r="Q121" s="79"/>
      <c r="R121" s="79"/>
    </row>
    <row r="122" ht="22.5" customHeight="1">
      <c r="A122" s="125">
        <v>12.0</v>
      </c>
      <c r="B122" s="71" t="s">
        <v>179</v>
      </c>
      <c r="C122" s="126"/>
      <c r="D122" s="127" t="s">
        <v>204</v>
      </c>
      <c r="E122" s="128">
        <v>45937.0</v>
      </c>
      <c r="F122" s="128">
        <v>45960.0</v>
      </c>
      <c r="G122" s="128"/>
      <c r="H122" s="128"/>
      <c r="I122" s="129"/>
      <c r="J122" s="130"/>
      <c r="K122" s="131"/>
      <c r="L122" s="131"/>
      <c r="M122" s="132"/>
      <c r="N122" s="17"/>
      <c r="P122" s="116"/>
      <c r="Q122" s="79"/>
      <c r="R122" s="79"/>
    </row>
    <row r="123" ht="22.5" customHeight="1">
      <c r="A123" s="125">
        <v>12.0</v>
      </c>
      <c r="B123" s="71" t="s">
        <v>179</v>
      </c>
      <c r="C123" s="126"/>
      <c r="D123" s="127" t="s">
        <v>205</v>
      </c>
      <c r="E123" s="128">
        <v>45937.0</v>
      </c>
      <c r="F123" s="128">
        <v>45960.0</v>
      </c>
      <c r="G123" s="128"/>
      <c r="H123" s="128"/>
      <c r="I123" s="129"/>
      <c r="J123" s="130"/>
      <c r="K123" s="131"/>
      <c r="L123" s="131"/>
      <c r="M123" s="132"/>
      <c r="N123" s="17"/>
      <c r="P123" s="116"/>
      <c r="Q123" s="79"/>
      <c r="R123" s="79"/>
    </row>
    <row r="124" ht="22.5" customHeight="1">
      <c r="A124" s="125">
        <v>12.0</v>
      </c>
      <c r="B124" s="71" t="s">
        <v>179</v>
      </c>
      <c r="C124" s="126"/>
      <c r="D124" s="127" t="s">
        <v>206</v>
      </c>
      <c r="E124" s="128">
        <v>45937.0</v>
      </c>
      <c r="F124" s="128">
        <v>45960.0</v>
      </c>
      <c r="G124" s="128"/>
      <c r="H124" s="128"/>
      <c r="I124" s="129"/>
      <c r="J124" s="130"/>
      <c r="K124" s="131"/>
      <c r="L124" s="131"/>
      <c r="M124" s="132"/>
      <c r="N124" s="17"/>
      <c r="P124" s="116"/>
      <c r="Q124" s="79"/>
      <c r="R124" s="79"/>
    </row>
    <row r="125" ht="22.5" customHeight="1">
      <c r="A125" s="125">
        <v>12.0</v>
      </c>
      <c r="B125" s="71" t="s">
        <v>179</v>
      </c>
      <c r="C125" s="126"/>
      <c r="D125" s="127" t="s">
        <v>207</v>
      </c>
      <c r="E125" s="128">
        <v>45937.0</v>
      </c>
      <c r="F125" s="128">
        <v>45960.0</v>
      </c>
      <c r="G125" s="128"/>
      <c r="H125" s="128"/>
      <c r="I125" s="129"/>
      <c r="J125" s="130"/>
      <c r="K125" s="131"/>
      <c r="L125" s="131"/>
      <c r="M125" s="132"/>
      <c r="N125" s="17"/>
      <c r="P125" s="116"/>
      <c r="Q125" s="79"/>
      <c r="R125" s="79"/>
    </row>
    <row r="126" ht="22.5" customHeight="1">
      <c r="A126" s="125">
        <v>12.0</v>
      </c>
      <c r="B126" s="71" t="s">
        <v>179</v>
      </c>
      <c r="C126" s="126"/>
      <c r="D126" s="127" t="s">
        <v>208</v>
      </c>
      <c r="E126" s="128">
        <v>45937.0</v>
      </c>
      <c r="F126" s="128">
        <v>45960.0</v>
      </c>
      <c r="G126" s="128"/>
      <c r="H126" s="128"/>
      <c r="I126" s="129"/>
      <c r="J126" s="130"/>
      <c r="K126" s="131"/>
      <c r="L126" s="131"/>
      <c r="M126" s="132"/>
      <c r="N126" s="17"/>
      <c r="P126" s="116"/>
      <c r="Q126" s="79"/>
      <c r="R126" s="79"/>
    </row>
    <row r="127" ht="22.5" customHeight="1">
      <c r="A127" s="125">
        <v>12.0</v>
      </c>
      <c r="B127" s="71" t="s">
        <v>179</v>
      </c>
      <c r="C127" s="126"/>
      <c r="D127" s="127" t="s">
        <v>209</v>
      </c>
      <c r="E127" s="128">
        <v>45937.0</v>
      </c>
      <c r="F127" s="128">
        <v>45960.0</v>
      </c>
      <c r="G127" s="128"/>
      <c r="H127" s="128"/>
      <c r="I127" s="129"/>
      <c r="J127" s="130"/>
      <c r="K127" s="131"/>
      <c r="L127" s="131"/>
      <c r="M127" s="132"/>
      <c r="N127" s="17"/>
      <c r="P127" s="116"/>
      <c r="Q127" s="79"/>
      <c r="R127" s="79"/>
    </row>
    <row r="128" ht="22.5" customHeight="1">
      <c r="A128" s="125">
        <v>12.0</v>
      </c>
      <c r="B128" s="71" t="s">
        <v>179</v>
      </c>
      <c r="C128" s="126"/>
      <c r="D128" s="127" t="s">
        <v>210</v>
      </c>
      <c r="E128" s="128">
        <v>45937.0</v>
      </c>
      <c r="F128" s="128">
        <v>45960.0</v>
      </c>
      <c r="G128" s="128"/>
      <c r="H128" s="128"/>
      <c r="I128" s="129"/>
      <c r="J128" s="130"/>
      <c r="K128" s="131"/>
      <c r="L128" s="131"/>
      <c r="M128" s="132"/>
      <c r="N128" s="17"/>
      <c r="P128" s="116"/>
      <c r="Q128" s="79"/>
      <c r="R128" s="79"/>
    </row>
    <row r="129" ht="22.5" customHeight="1">
      <c r="A129" s="125">
        <v>12.0</v>
      </c>
      <c r="B129" s="71" t="s">
        <v>179</v>
      </c>
      <c r="C129" s="126"/>
      <c r="D129" s="127" t="s">
        <v>211</v>
      </c>
      <c r="E129" s="128">
        <v>45937.0</v>
      </c>
      <c r="F129" s="128">
        <v>45960.0</v>
      </c>
      <c r="G129" s="128"/>
      <c r="H129" s="128"/>
      <c r="I129" s="129"/>
      <c r="J129" s="130"/>
      <c r="K129" s="131"/>
      <c r="L129" s="131"/>
      <c r="M129" s="132"/>
      <c r="N129" s="17"/>
      <c r="P129" s="116"/>
      <c r="Q129" s="79"/>
      <c r="R129" s="79"/>
    </row>
    <row r="130" ht="22.5" customHeight="1">
      <c r="A130" s="125">
        <v>12.0</v>
      </c>
      <c r="B130" s="71" t="s">
        <v>179</v>
      </c>
      <c r="C130" s="126"/>
      <c r="D130" s="127" t="s">
        <v>212</v>
      </c>
      <c r="E130" s="128">
        <v>45937.0</v>
      </c>
      <c r="F130" s="128">
        <v>45960.0</v>
      </c>
      <c r="G130" s="128"/>
      <c r="H130" s="128"/>
      <c r="I130" s="129"/>
      <c r="J130" s="130"/>
      <c r="K130" s="131"/>
      <c r="L130" s="131"/>
      <c r="M130" s="132"/>
      <c r="N130" s="17"/>
      <c r="P130" s="116"/>
      <c r="Q130" s="79"/>
      <c r="R130" s="79"/>
    </row>
    <row r="131" ht="22.5" customHeight="1">
      <c r="A131" s="125">
        <v>12.0</v>
      </c>
      <c r="B131" s="71" t="s">
        <v>179</v>
      </c>
      <c r="C131" s="126"/>
      <c r="D131" s="127" t="s">
        <v>213</v>
      </c>
      <c r="E131" s="128">
        <v>45937.0</v>
      </c>
      <c r="F131" s="128">
        <v>45960.0</v>
      </c>
      <c r="G131" s="128"/>
      <c r="H131" s="128"/>
      <c r="I131" s="129"/>
      <c r="J131" s="130"/>
      <c r="K131" s="131"/>
      <c r="L131" s="131"/>
      <c r="M131" s="132"/>
      <c r="N131" s="17"/>
      <c r="P131" s="116"/>
      <c r="Q131" s="79"/>
      <c r="R131" s="79"/>
    </row>
    <row r="132" ht="22.5" customHeight="1">
      <c r="A132" s="125">
        <v>12.0</v>
      </c>
      <c r="B132" s="71" t="s">
        <v>179</v>
      </c>
      <c r="C132" s="126"/>
      <c r="D132" s="127" t="s">
        <v>214</v>
      </c>
      <c r="E132" s="128">
        <v>45937.0</v>
      </c>
      <c r="F132" s="128">
        <v>45960.0</v>
      </c>
      <c r="G132" s="128"/>
      <c r="H132" s="128"/>
      <c r="I132" s="129"/>
      <c r="J132" s="130"/>
      <c r="K132" s="131"/>
      <c r="L132" s="131"/>
      <c r="M132" s="132"/>
      <c r="N132" s="17"/>
      <c r="P132" s="116"/>
      <c r="Q132" s="79"/>
      <c r="R132" s="79"/>
    </row>
    <row r="133" ht="22.5" customHeight="1">
      <c r="A133" s="125">
        <v>12.0</v>
      </c>
      <c r="B133" s="71" t="s">
        <v>179</v>
      </c>
      <c r="C133" s="126"/>
      <c r="D133" s="127" t="s">
        <v>215</v>
      </c>
      <c r="E133" s="128">
        <v>45937.0</v>
      </c>
      <c r="F133" s="128">
        <v>45960.0</v>
      </c>
      <c r="G133" s="128"/>
      <c r="H133" s="128"/>
      <c r="I133" s="129"/>
      <c r="J133" s="130"/>
      <c r="K133" s="131"/>
      <c r="L133" s="131"/>
      <c r="M133" s="132"/>
      <c r="N133" s="17"/>
      <c r="P133" s="116"/>
      <c r="Q133" s="79"/>
      <c r="R133" s="79"/>
    </row>
    <row r="134" ht="22.5" customHeight="1">
      <c r="A134" s="125">
        <v>12.0</v>
      </c>
      <c r="B134" s="71" t="s">
        <v>179</v>
      </c>
      <c r="C134" s="126"/>
      <c r="D134" s="127" t="s">
        <v>216</v>
      </c>
      <c r="E134" s="128">
        <v>45937.0</v>
      </c>
      <c r="F134" s="128">
        <v>45960.0</v>
      </c>
      <c r="G134" s="128"/>
      <c r="H134" s="128"/>
      <c r="I134" s="129"/>
      <c r="J134" s="130"/>
      <c r="K134" s="131"/>
      <c r="L134" s="131"/>
      <c r="M134" s="132"/>
      <c r="N134" s="17"/>
      <c r="P134" s="116"/>
      <c r="Q134" s="79"/>
      <c r="R134" s="79"/>
    </row>
    <row r="135" ht="22.5" customHeight="1">
      <c r="A135" s="125">
        <v>12.0</v>
      </c>
      <c r="B135" s="71" t="s">
        <v>179</v>
      </c>
      <c r="C135" s="126"/>
      <c r="D135" s="127" t="s">
        <v>217</v>
      </c>
      <c r="E135" s="128">
        <v>45937.0</v>
      </c>
      <c r="F135" s="128">
        <v>45960.0</v>
      </c>
      <c r="G135" s="128"/>
      <c r="H135" s="128"/>
      <c r="I135" s="129"/>
      <c r="J135" s="130"/>
      <c r="K135" s="131"/>
      <c r="L135" s="131"/>
      <c r="M135" s="132"/>
      <c r="N135" s="17"/>
      <c r="P135" s="116"/>
      <c r="Q135" s="79"/>
      <c r="R135" s="79"/>
    </row>
    <row r="136" ht="22.5" customHeight="1">
      <c r="A136" s="133">
        <v>11.0</v>
      </c>
      <c r="B136" s="108" t="s">
        <v>218</v>
      </c>
      <c r="C136" s="134"/>
      <c r="D136" s="135" t="s">
        <v>219</v>
      </c>
      <c r="E136" s="136">
        <v>45937.0</v>
      </c>
      <c r="F136" s="136">
        <v>45938.0</v>
      </c>
      <c r="G136" s="136"/>
      <c r="H136" s="136"/>
      <c r="I136" s="137"/>
      <c r="J136" s="138"/>
      <c r="K136" s="139"/>
      <c r="L136" s="139"/>
      <c r="M136" s="140"/>
      <c r="N136" s="17"/>
      <c r="P136" s="116"/>
      <c r="Q136" s="79"/>
      <c r="R136" s="79"/>
    </row>
    <row r="137" ht="22.5" customHeight="1">
      <c r="A137" s="133">
        <v>11.0</v>
      </c>
      <c r="B137" s="108" t="s">
        <v>218</v>
      </c>
      <c r="C137" s="134"/>
      <c r="D137" s="135" t="s">
        <v>220</v>
      </c>
      <c r="E137" s="136">
        <v>45937.0</v>
      </c>
      <c r="F137" s="136">
        <v>45938.0</v>
      </c>
      <c r="G137" s="136"/>
      <c r="H137" s="136"/>
      <c r="I137" s="137"/>
      <c r="J137" s="138"/>
      <c r="K137" s="139"/>
      <c r="L137" s="139"/>
      <c r="M137" s="140"/>
      <c r="N137" s="17"/>
      <c r="P137" s="116"/>
      <c r="Q137" s="79"/>
      <c r="R137" s="79"/>
    </row>
    <row r="138" ht="22.5" customHeight="1">
      <c r="A138" s="133">
        <v>11.0</v>
      </c>
      <c r="B138" s="108" t="s">
        <v>218</v>
      </c>
      <c r="C138" s="134"/>
      <c r="D138" s="135" t="s">
        <v>221</v>
      </c>
      <c r="E138" s="136">
        <v>45937.0</v>
      </c>
      <c r="F138" s="136">
        <v>45938.0</v>
      </c>
      <c r="G138" s="136"/>
      <c r="H138" s="136"/>
      <c r="I138" s="137"/>
      <c r="J138" s="138"/>
      <c r="K138" s="139"/>
      <c r="L138" s="139"/>
      <c r="M138" s="140"/>
      <c r="N138" s="17"/>
      <c r="P138" s="116"/>
      <c r="Q138" s="79"/>
      <c r="R138" s="79"/>
    </row>
    <row r="139" ht="22.5" customHeight="1">
      <c r="A139" s="133">
        <v>11.0</v>
      </c>
      <c r="B139" s="108" t="s">
        <v>218</v>
      </c>
      <c r="C139" s="134"/>
      <c r="D139" s="135" t="s">
        <v>222</v>
      </c>
      <c r="E139" s="136">
        <v>45937.0</v>
      </c>
      <c r="F139" s="136">
        <v>45938.0</v>
      </c>
      <c r="G139" s="136"/>
      <c r="H139" s="136"/>
      <c r="I139" s="137"/>
      <c r="J139" s="138"/>
      <c r="K139" s="139"/>
      <c r="L139" s="139"/>
      <c r="M139" s="140"/>
      <c r="N139" s="17"/>
      <c r="P139" s="116"/>
      <c r="Q139" s="79"/>
      <c r="R139" s="79"/>
    </row>
    <row r="140" ht="22.5" customHeight="1">
      <c r="A140" s="133">
        <v>11.0</v>
      </c>
      <c r="B140" s="108" t="s">
        <v>218</v>
      </c>
      <c r="C140" s="134"/>
      <c r="D140" s="135" t="s">
        <v>223</v>
      </c>
      <c r="E140" s="136">
        <v>45937.0</v>
      </c>
      <c r="F140" s="136">
        <v>45938.0</v>
      </c>
      <c r="G140" s="136"/>
      <c r="H140" s="136"/>
      <c r="I140" s="137"/>
      <c r="J140" s="138"/>
      <c r="K140" s="139"/>
      <c r="L140" s="139"/>
      <c r="M140" s="140"/>
      <c r="N140" s="17"/>
      <c r="P140" s="116"/>
      <c r="Q140" s="79"/>
      <c r="R140" s="79"/>
    </row>
    <row r="141" ht="22.5" customHeight="1">
      <c r="A141" s="133">
        <v>11.0</v>
      </c>
      <c r="B141" s="108" t="s">
        <v>218</v>
      </c>
      <c r="C141" s="134"/>
      <c r="D141" s="135" t="s">
        <v>224</v>
      </c>
      <c r="E141" s="136">
        <v>45937.0</v>
      </c>
      <c r="F141" s="136">
        <v>45938.0</v>
      </c>
      <c r="G141" s="136"/>
      <c r="H141" s="136"/>
      <c r="I141" s="137"/>
      <c r="J141" s="138"/>
      <c r="K141" s="139"/>
      <c r="L141" s="139"/>
      <c r="M141" s="140"/>
      <c r="N141" s="17"/>
      <c r="P141" s="116"/>
      <c r="Q141" s="79"/>
      <c r="R141" s="79"/>
    </row>
    <row r="142" ht="22.5" customHeight="1">
      <c r="A142" s="133">
        <v>11.0</v>
      </c>
      <c r="B142" s="108" t="s">
        <v>218</v>
      </c>
      <c r="C142" s="134"/>
      <c r="D142" s="135" t="s">
        <v>225</v>
      </c>
      <c r="E142" s="136">
        <v>45937.0</v>
      </c>
      <c r="F142" s="136">
        <v>45938.0</v>
      </c>
      <c r="G142" s="136"/>
      <c r="H142" s="136"/>
      <c r="I142" s="137"/>
      <c r="J142" s="138"/>
      <c r="K142" s="139"/>
      <c r="L142" s="139"/>
      <c r="M142" s="140"/>
      <c r="N142" s="17"/>
      <c r="P142" s="116"/>
      <c r="Q142" s="79"/>
      <c r="R142" s="79"/>
    </row>
    <row r="143" ht="22.5" customHeight="1">
      <c r="A143" s="133">
        <v>11.0</v>
      </c>
      <c r="B143" s="108" t="s">
        <v>218</v>
      </c>
      <c r="C143" s="134"/>
      <c r="D143" s="135" t="s">
        <v>226</v>
      </c>
      <c r="E143" s="136">
        <v>45937.0</v>
      </c>
      <c r="F143" s="136">
        <v>45938.0</v>
      </c>
      <c r="G143" s="136"/>
      <c r="H143" s="136"/>
      <c r="I143" s="137"/>
      <c r="J143" s="138"/>
      <c r="K143" s="139"/>
      <c r="L143" s="139"/>
      <c r="M143" s="140"/>
      <c r="N143" s="17"/>
      <c r="P143" s="116"/>
      <c r="Q143" s="79"/>
      <c r="R143" s="79"/>
    </row>
    <row r="144" ht="22.5" customHeight="1">
      <c r="A144" s="133">
        <v>11.0</v>
      </c>
      <c r="B144" s="108" t="s">
        <v>218</v>
      </c>
      <c r="C144" s="134"/>
      <c r="D144" s="135" t="s">
        <v>227</v>
      </c>
      <c r="E144" s="136">
        <v>45937.0</v>
      </c>
      <c r="F144" s="136">
        <v>45938.0</v>
      </c>
      <c r="G144" s="136"/>
      <c r="H144" s="136"/>
      <c r="I144" s="137"/>
      <c r="J144" s="138"/>
      <c r="K144" s="139"/>
      <c r="L144" s="139"/>
      <c r="M144" s="140"/>
      <c r="N144" s="17"/>
      <c r="P144" s="116"/>
      <c r="Q144" s="79"/>
      <c r="R144" s="79"/>
    </row>
    <row r="145" ht="22.5" customHeight="1">
      <c r="A145" s="133">
        <v>11.0</v>
      </c>
      <c r="B145" s="108" t="s">
        <v>218</v>
      </c>
      <c r="C145" s="134"/>
      <c r="D145" s="135" t="s">
        <v>228</v>
      </c>
      <c r="E145" s="136">
        <v>45937.0</v>
      </c>
      <c r="F145" s="136">
        <v>45938.0</v>
      </c>
      <c r="G145" s="136"/>
      <c r="H145" s="136"/>
      <c r="I145" s="137"/>
      <c r="J145" s="138"/>
      <c r="K145" s="139"/>
      <c r="L145" s="139"/>
      <c r="M145" s="140"/>
      <c r="N145" s="17"/>
      <c r="P145" s="116"/>
      <c r="Q145" s="79"/>
      <c r="R145" s="79"/>
    </row>
    <row r="146" ht="22.5" customHeight="1">
      <c r="A146" s="133">
        <v>11.0</v>
      </c>
      <c r="B146" s="108" t="s">
        <v>218</v>
      </c>
      <c r="C146" s="134"/>
      <c r="D146" s="135" t="s">
        <v>229</v>
      </c>
      <c r="E146" s="136">
        <v>45937.0</v>
      </c>
      <c r="F146" s="136">
        <v>45938.0</v>
      </c>
      <c r="G146" s="136"/>
      <c r="H146" s="136"/>
      <c r="I146" s="137"/>
      <c r="J146" s="138"/>
      <c r="K146" s="139"/>
      <c r="L146" s="139"/>
      <c r="M146" s="140"/>
      <c r="N146" s="17"/>
      <c r="P146" s="116"/>
      <c r="Q146" s="79"/>
      <c r="R146" s="79"/>
    </row>
    <row r="147" ht="22.5" customHeight="1">
      <c r="A147" s="133">
        <v>11.0</v>
      </c>
      <c r="B147" s="108" t="s">
        <v>218</v>
      </c>
      <c r="C147" s="134"/>
      <c r="D147" s="135" t="s">
        <v>230</v>
      </c>
      <c r="E147" s="136">
        <v>45937.0</v>
      </c>
      <c r="F147" s="136">
        <v>45938.0</v>
      </c>
      <c r="G147" s="136"/>
      <c r="H147" s="136"/>
      <c r="I147" s="137"/>
      <c r="J147" s="138"/>
      <c r="K147" s="139"/>
      <c r="L147" s="139"/>
      <c r="M147" s="140"/>
      <c r="N147" s="17"/>
      <c r="P147" s="116"/>
      <c r="Q147" s="79"/>
      <c r="R147" s="79"/>
    </row>
    <row r="148" ht="22.5" customHeight="1">
      <c r="A148" s="133">
        <v>11.0</v>
      </c>
      <c r="B148" s="108" t="s">
        <v>218</v>
      </c>
      <c r="C148" s="134"/>
      <c r="D148" s="135" t="s">
        <v>231</v>
      </c>
      <c r="E148" s="136">
        <v>45937.0</v>
      </c>
      <c r="F148" s="136">
        <v>45938.0</v>
      </c>
      <c r="G148" s="136"/>
      <c r="H148" s="136"/>
      <c r="I148" s="137"/>
      <c r="J148" s="138"/>
      <c r="K148" s="139"/>
      <c r="L148" s="139"/>
      <c r="M148" s="140"/>
      <c r="N148" s="17"/>
      <c r="P148" s="116"/>
      <c r="Q148" s="79"/>
      <c r="R148" s="79"/>
    </row>
    <row r="149" ht="22.5" customHeight="1">
      <c r="A149" s="133">
        <v>11.0</v>
      </c>
      <c r="B149" s="108" t="s">
        <v>218</v>
      </c>
      <c r="C149" s="134"/>
      <c r="D149" s="135" t="s">
        <v>232</v>
      </c>
      <c r="E149" s="136">
        <v>45937.0</v>
      </c>
      <c r="F149" s="136">
        <v>45938.0</v>
      </c>
      <c r="G149" s="136"/>
      <c r="H149" s="136"/>
      <c r="I149" s="137"/>
      <c r="J149" s="138"/>
      <c r="K149" s="139"/>
      <c r="L149" s="139"/>
      <c r="M149" s="140"/>
      <c r="N149" s="17"/>
      <c r="P149" s="116"/>
      <c r="Q149" s="79"/>
      <c r="R149" s="79"/>
    </row>
    <row r="150" ht="22.5" customHeight="1">
      <c r="A150" s="133">
        <v>11.0</v>
      </c>
      <c r="B150" s="108" t="s">
        <v>218</v>
      </c>
      <c r="C150" s="134"/>
      <c r="D150" s="135" t="s">
        <v>233</v>
      </c>
      <c r="E150" s="136">
        <v>45937.0</v>
      </c>
      <c r="F150" s="136">
        <v>45938.0</v>
      </c>
      <c r="G150" s="136"/>
      <c r="H150" s="136"/>
      <c r="I150" s="137"/>
      <c r="J150" s="138"/>
      <c r="K150" s="139"/>
      <c r="L150" s="139"/>
      <c r="M150" s="140"/>
      <c r="N150" s="17"/>
      <c r="P150" s="116"/>
      <c r="Q150" s="79"/>
      <c r="R150" s="79"/>
    </row>
    <row r="151" ht="22.5" customHeight="1">
      <c r="A151" s="133">
        <v>11.0</v>
      </c>
      <c r="B151" s="108" t="s">
        <v>218</v>
      </c>
      <c r="C151" s="134"/>
      <c r="D151" s="135" t="s">
        <v>234</v>
      </c>
      <c r="E151" s="136">
        <v>45937.0</v>
      </c>
      <c r="F151" s="136">
        <v>45938.0</v>
      </c>
      <c r="G151" s="136"/>
      <c r="H151" s="136"/>
      <c r="I151" s="137"/>
      <c r="J151" s="138"/>
      <c r="K151" s="139"/>
      <c r="L151" s="139"/>
      <c r="M151" s="140"/>
      <c r="N151" s="17"/>
      <c r="P151" s="116"/>
      <c r="Q151" s="79"/>
      <c r="R151" s="79"/>
    </row>
    <row r="152" ht="22.5" customHeight="1">
      <c r="A152" s="133">
        <v>11.0</v>
      </c>
      <c r="B152" s="108" t="s">
        <v>218</v>
      </c>
      <c r="C152" s="134"/>
      <c r="D152" s="135" t="s">
        <v>235</v>
      </c>
      <c r="E152" s="136">
        <v>45937.0</v>
      </c>
      <c r="F152" s="136">
        <v>45938.0</v>
      </c>
      <c r="G152" s="136"/>
      <c r="H152" s="136"/>
      <c r="I152" s="137"/>
      <c r="J152" s="138"/>
      <c r="K152" s="139"/>
      <c r="L152" s="139"/>
      <c r="M152" s="140"/>
      <c r="N152" s="17"/>
      <c r="P152" s="116"/>
      <c r="Q152" s="79"/>
      <c r="R152" s="79"/>
    </row>
    <row r="153" ht="22.5" customHeight="1">
      <c r="A153" s="133">
        <v>11.0</v>
      </c>
      <c r="B153" s="108" t="s">
        <v>218</v>
      </c>
      <c r="C153" s="134"/>
      <c r="D153" s="135" t="s">
        <v>236</v>
      </c>
      <c r="E153" s="136">
        <v>45937.0</v>
      </c>
      <c r="F153" s="136">
        <v>45938.0</v>
      </c>
      <c r="G153" s="136"/>
      <c r="H153" s="136"/>
      <c r="I153" s="137"/>
      <c r="J153" s="138"/>
      <c r="K153" s="139"/>
      <c r="L153" s="139"/>
      <c r="M153" s="140"/>
      <c r="N153" s="17"/>
      <c r="P153" s="116"/>
      <c r="Q153" s="79"/>
      <c r="R153" s="79"/>
    </row>
    <row r="154" ht="22.5" customHeight="1">
      <c r="A154" s="133">
        <v>11.0</v>
      </c>
      <c r="B154" s="108" t="s">
        <v>218</v>
      </c>
      <c r="C154" s="134"/>
      <c r="D154" s="135" t="s">
        <v>237</v>
      </c>
      <c r="E154" s="136">
        <v>45937.0</v>
      </c>
      <c r="F154" s="136">
        <v>45938.0</v>
      </c>
      <c r="G154" s="136"/>
      <c r="H154" s="136"/>
      <c r="I154" s="137"/>
      <c r="J154" s="138"/>
      <c r="K154" s="139"/>
      <c r="L154" s="139"/>
      <c r="M154" s="140"/>
      <c r="N154" s="17"/>
      <c r="P154" s="116"/>
      <c r="Q154" s="79"/>
      <c r="R154" s="79"/>
    </row>
    <row r="155" ht="22.5" customHeight="1">
      <c r="A155" s="133">
        <v>11.0</v>
      </c>
      <c r="B155" s="108" t="s">
        <v>218</v>
      </c>
      <c r="C155" s="134"/>
      <c r="D155" s="135" t="s">
        <v>238</v>
      </c>
      <c r="E155" s="136">
        <v>45937.0</v>
      </c>
      <c r="F155" s="136">
        <v>45938.0</v>
      </c>
      <c r="G155" s="136"/>
      <c r="H155" s="136"/>
      <c r="I155" s="137"/>
      <c r="J155" s="138"/>
      <c r="K155" s="139"/>
      <c r="L155" s="139"/>
      <c r="M155" s="140"/>
      <c r="N155" s="17"/>
      <c r="P155" s="116"/>
      <c r="Q155" s="79"/>
      <c r="R155" s="79"/>
    </row>
    <row r="156" ht="22.5" customHeight="1">
      <c r="A156" s="133">
        <v>11.0</v>
      </c>
      <c r="B156" s="108" t="s">
        <v>218</v>
      </c>
      <c r="C156" s="134"/>
      <c r="D156" s="135" t="s">
        <v>239</v>
      </c>
      <c r="E156" s="136">
        <v>45937.0</v>
      </c>
      <c r="F156" s="136">
        <v>45938.0</v>
      </c>
      <c r="G156" s="136"/>
      <c r="H156" s="136"/>
      <c r="I156" s="137"/>
      <c r="J156" s="138"/>
      <c r="K156" s="139"/>
      <c r="L156" s="139"/>
      <c r="M156" s="140"/>
      <c r="N156" s="17"/>
      <c r="P156" s="116"/>
      <c r="Q156" s="79"/>
      <c r="R156" s="79"/>
    </row>
    <row r="157" ht="22.5" customHeight="1">
      <c r="A157" s="133">
        <v>11.0</v>
      </c>
      <c r="B157" s="108" t="s">
        <v>218</v>
      </c>
      <c r="C157" s="134"/>
      <c r="D157" s="135" t="s">
        <v>240</v>
      </c>
      <c r="E157" s="136">
        <v>45937.0</v>
      </c>
      <c r="F157" s="136">
        <v>45938.0</v>
      </c>
      <c r="G157" s="136"/>
      <c r="H157" s="136"/>
      <c r="I157" s="137"/>
      <c r="J157" s="138"/>
      <c r="K157" s="139"/>
      <c r="L157" s="139"/>
      <c r="M157" s="140"/>
      <c r="N157" s="17"/>
      <c r="P157" s="116"/>
      <c r="Q157" s="79"/>
      <c r="R157" s="79"/>
    </row>
    <row r="158" ht="22.5" customHeight="1">
      <c r="A158" s="133">
        <v>11.0</v>
      </c>
      <c r="B158" s="108" t="s">
        <v>218</v>
      </c>
      <c r="C158" s="134"/>
      <c r="D158" s="135" t="s">
        <v>241</v>
      </c>
      <c r="E158" s="136">
        <v>45937.0</v>
      </c>
      <c r="F158" s="136">
        <v>45938.0</v>
      </c>
      <c r="G158" s="136"/>
      <c r="H158" s="136"/>
      <c r="I158" s="137"/>
      <c r="J158" s="138"/>
      <c r="K158" s="139"/>
      <c r="L158" s="139"/>
      <c r="M158" s="140"/>
      <c r="N158" s="17"/>
      <c r="P158" s="116"/>
      <c r="Q158" s="79"/>
      <c r="R158" s="79"/>
    </row>
    <row r="159" ht="22.5" customHeight="1">
      <c r="A159" s="133">
        <v>11.0</v>
      </c>
      <c r="B159" s="108" t="s">
        <v>218</v>
      </c>
      <c r="C159" s="134"/>
      <c r="D159" s="135" t="s">
        <v>242</v>
      </c>
      <c r="E159" s="136">
        <v>45937.0</v>
      </c>
      <c r="F159" s="136">
        <v>45938.0</v>
      </c>
      <c r="G159" s="136"/>
      <c r="H159" s="136"/>
      <c r="I159" s="137"/>
      <c r="J159" s="138"/>
      <c r="K159" s="139"/>
      <c r="L159" s="139"/>
      <c r="M159" s="140"/>
      <c r="N159" s="17"/>
      <c r="P159" s="116"/>
      <c r="Q159" s="79"/>
      <c r="R159" s="79"/>
    </row>
    <row r="160" ht="22.5" customHeight="1">
      <c r="A160" s="133">
        <v>11.0</v>
      </c>
      <c r="B160" s="108" t="s">
        <v>218</v>
      </c>
      <c r="C160" s="134"/>
      <c r="D160" s="135" t="s">
        <v>243</v>
      </c>
      <c r="E160" s="136">
        <v>45937.0</v>
      </c>
      <c r="F160" s="136">
        <v>45938.0</v>
      </c>
      <c r="G160" s="136"/>
      <c r="H160" s="136"/>
      <c r="I160" s="137"/>
      <c r="J160" s="138"/>
      <c r="K160" s="139"/>
      <c r="L160" s="139"/>
      <c r="M160" s="140"/>
      <c r="N160" s="17"/>
      <c r="P160" s="116"/>
      <c r="Q160" s="79"/>
      <c r="R160" s="79"/>
    </row>
    <row r="161" ht="22.5" customHeight="1">
      <c r="A161" s="133">
        <v>11.0</v>
      </c>
      <c r="B161" s="108" t="s">
        <v>218</v>
      </c>
      <c r="C161" s="134"/>
      <c r="D161" s="135" t="s">
        <v>244</v>
      </c>
      <c r="E161" s="136">
        <v>45937.0</v>
      </c>
      <c r="F161" s="136">
        <v>45938.0</v>
      </c>
      <c r="G161" s="136"/>
      <c r="H161" s="136"/>
      <c r="I161" s="137"/>
      <c r="J161" s="138"/>
      <c r="K161" s="139"/>
      <c r="L161" s="139"/>
      <c r="M161" s="140"/>
      <c r="N161" s="17"/>
      <c r="P161" s="116"/>
      <c r="Q161" s="79"/>
      <c r="R161" s="79"/>
    </row>
    <row r="162" ht="22.5" customHeight="1">
      <c r="A162" s="133">
        <v>11.0</v>
      </c>
      <c r="B162" s="108" t="s">
        <v>218</v>
      </c>
      <c r="C162" s="134"/>
      <c r="D162" s="135" t="s">
        <v>245</v>
      </c>
      <c r="E162" s="136">
        <v>45937.0</v>
      </c>
      <c r="F162" s="136">
        <v>45938.0</v>
      </c>
      <c r="G162" s="136"/>
      <c r="H162" s="136"/>
      <c r="I162" s="137"/>
      <c r="J162" s="138"/>
      <c r="K162" s="139"/>
      <c r="L162" s="139"/>
      <c r="M162" s="140"/>
      <c r="N162" s="17"/>
      <c r="P162" s="116"/>
      <c r="Q162" s="79"/>
      <c r="R162" s="79"/>
    </row>
    <row r="163" ht="22.5" customHeight="1">
      <c r="A163" s="133">
        <v>11.0</v>
      </c>
      <c r="B163" s="108" t="s">
        <v>218</v>
      </c>
      <c r="C163" s="134"/>
      <c r="D163" s="135" t="s">
        <v>246</v>
      </c>
      <c r="E163" s="136">
        <v>45937.0</v>
      </c>
      <c r="F163" s="136">
        <v>45938.0</v>
      </c>
      <c r="G163" s="136"/>
      <c r="H163" s="136"/>
      <c r="I163" s="137"/>
      <c r="J163" s="138"/>
      <c r="K163" s="139"/>
      <c r="L163" s="139"/>
      <c r="M163" s="140"/>
      <c r="N163" s="17"/>
      <c r="P163" s="116"/>
      <c r="Q163" s="79"/>
      <c r="R163" s="79"/>
    </row>
    <row r="164" ht="22.5" customHeight="1">
      <c r="A164" s="133">
        <v>11.0</v>
      </c>
      <c r="B164" s="108" t="s">
        <v>218</v>
      </c>
      <c r="C164" s="134"/>
      <c r="D164" s="135" t="s">
        <v>247</v>
      </c>
      <c r="E164" s="136">
        <v>45937.0</v>
      </c>
      <c r="F164" s="136">
        <v>45938.0</v>
      </c>
      <c r="G164" s="136"/>
      <c r="H164" s="136"/>
      <c r="I164" s="137"/>
      <c r="J164" s="138"/>
      <c r="K164" s="139"/>
      <c r="L164" s="139"/>
      <c r="M164" s="140"/>
      <c r="N164" s="17"/>
      <c r="P164" s="116"/>
      <c r="Q164" s="79"/>
      <c r="R164" s="79"/>
    </row>
    <row r="165" ht="22.5" customHeight="1">
      <c r="A165" s="133">
        <v>11.0</v>
      </c>
      <c r="B165" s="108" t="s">
        <v>218</v>
      </c>
      <c r="C165" s="134"/>
      <c r="D165" s="135" t="s">
        <v>248</v>
      </c>
      <c r="E165" s="136">
        <v>45937.0</v>
      </c>
      <c r="F165" s="136">
        <v>45938.0</v>
      </c>
      <c r="G165" s="136"/>
      <c r="H165" s="136"/>
      <c r="I165" s="137"/>
      <c r="J165" s="138"/>
      <c r="K165" s="139"/>
      <c r="L165" s="139"/>
      <c r="M165" s="140"/>
      <c r="N165" s="17"/>
      <c r="P165" s="116"/>
      <c r="Q165" s="79"/>
      <c r="R165" s="79"/>
    </row>
    <row r="166" ht="22.5" customHeight="1">
      <c r="A166" s="133">
        <v>11.0</v>
      </c>
      <c r="B166" s="108" t="s">
        <v>218</v>
      </c>
      <c r="C166" s="134"/>
      <c r="D166" s="135" t="s">
        <v>249</v>
      </c>
      <c r="E166" s="136">
        <v>45937.0</v>
      </c>
      <c r="F166" s="136">
        <v>45938.0</v>
      </c>
      <c r="G166" s="136"/>
      <c r="H166" s="136"/>
      <c r="I166" s="137"/>
      <c r="J166" s="138"/>
      <c r="K166" s="139"/>
      <c r="L166" s="139"/>
      <c r="M166" s="140"/>
      <c r="N166" s="17"/>
      <c r="P166" s="116"/>
      <c r="Q166" s="79"/>
      <c r="R166" s="79"/>
    </row>
    <row r="167" ht="22.5" customHeight="1">
      <c r="A167" s="133">
        <v>11.0</v>
      </c>
      <c r="B167" s="108" t="s">
        <v>218</v>
      </c>
      <c r="C167" s="134"/>
      <c r="D167" s="135" t="s">
        <v>250</v>
      </c>
      <c r="E167" s="136">
        <v>45937.0</v>
      </c>
      <c r="F167" s="136">
        <v>45938.0</v>
      </c>
      <c r="G167" s="136"/>
      <c r="H167" s="136"/>
      <c r="I167" s="137"/>
      <c r="J167" s="138"/>
      <c r="K167" s="139"/>
      <c r="L167" s="139"/>
      <c r="M167" s="140"/>
      <c r="N167" s="17"/>
      <c r="P167" s="116"/>
      <c r="Q167" s="79"/>
      <c r="R167" s="79"/>
    </row>
    <row r="168" ht="22.5" customHeight="1">
      <c r="A168" s="133">
        <v>11.0</v>
      </c>
      <c r="B168" s="108" t="s">
        <v>218</v>
      </c>
      <c r="C168" s="134"/>
      <c r="D168" s="135" t="s">
        <v>251</v>
      </c>
      <c r="E168" s="136">
        <v>45937.0</v>
      </c>
      <c r="F168" s="136">
        <v>45938.0</v>
      </c>
      <c r="G168" s="136"/>
      <c r="H168" s="136"/>
      <c r="I168" s="137"/>
      <c r="J168" s="138"/>
      <c r="K168" s="139"/>
      <c r="L168" s="139"/>
      <c r="M168" s="140"/>
      <c r="N168" s="17"/>
      <c r="P168" s="116"/>
      <c r="Q168" s="79"/>
      <c r="R168" s="79"/>
    </row>
    <row r="169" ht="22.5" customHeight="1">
      <c r="A169" s="133">
        <v>11.0</v>
      </c>
      <c r="B169" s="108" t="s">
        <v>218</v>
      </c>
      <c r="C169" s="134"/>
      <c r="D169" s="135" t="s">
        <v>252</v>
      </c>
      <c r="E169" s="136">
        <v>45937.0</v>
      </c>
      <c r="F169" s="136">
        <v>45938.0</v>
      </c>
      <c r="G169" s="136"/>
      <c r="H169" s="136"/>
      <c r="I169" s="137"/>
      <c r="J169" s="138"/>
      <c r="K169" s="139"/>
      <c r="L169" s="139"/>
      <c r="M169" s="140"/>
      <c r="N169" s="17"/>
      <c r="P169" s="116"/>
      <c r="Q169" s="79"/>
      <c r="R169" s="79"/>
    </row>
    <row r="170" ht="22.5" customHeight="1">
      <c r="A170" s="133">
        <v>11.0</v>
      </c>
      <c r="B170" s="108" t="s">
        <v>218</v>
      </c>
      <c r="C170" s="134"/>
      <c r="D170" s="135" t="s">
        <v>253</v>
      </c>
      <c r="E170" s="136">
        <v>45937.0</v>
      </c>
      <c r="F170" s="136">
        <v>45938.0</v>
      </c>
      <c r="G170" s="136"/>
      <c r="H170" s="136"/>
      <c r="I170" s="137"/>
      <c r="J170" s="138"/>
      <c r="K170" s="139"/>
      <c r="L170" s="139"/>
      <c r="M170" s="140"/>
      <c r="N170" s="17"/>
      <c r="P170" s="116"/>
      <c r="Q170" s="79"/>
      <c r="R170" s="79"/>
    </row>
    <row r="171" ht="22.5" customHeight="1">
      <c r="A171" s="133">
        <v>11.0</v>
      </c>
      <c r="B171" s="108" t="s">
        <v>218</v>
      </c>
      <c r="C171" s="134"/>
      <c r="D171" s="135" t="s">
        <v>254</v>
      </c>
      <c r="E171" s="136">
        <v>45937.0</v>
      </c>
      <c r="F171" s="136">
        <v>45938.0</v>
      </c>
      <c r="G171" s="136"/>
      <c r="H171" s="136"/>
      <c r="I171" s="137"/>
      <c r="J171" s="138"/>
      <c r="K171" s="139"/>
      <c r="L171" s="139"/>
      <c r="M171" s="140"/>
      <c r="N171" s="17"/>
      <c r="P171" s="116"/>
      <c r="Q171" s="79"/>
      <c r="R171" s="79"/>
    </row>
    <row r="172" ht="22.5" customHeight="1">
      <c r="A172" s="133">
        <v>11.0</v>
      </c>
      <c r="B172" s="108" t="s">
        <v>218</v>
      </c>
      <c r="C172" s="134"/>
      <c r="D172" s="135" t="s">
        <v>255</v>
      </c>
      <c r="E172" s="136">
        <v>45937.0</v>
      </c>
      <c r="F172" s="136">
        <v>45938.0</v>
      </c>
      <c r="G172" s="136"/>
      <c r="H172" s="136"/>
      <c r="I172" s="137"/>
      <c r="J172" s="138"/>
      <c r="K172" s="139"/>
      <c r="L172" s="139"/>
      <c r="M172" s="140"/>
      <c r="N172" s="17"/>
      <c r="P172" s="116"/>
      <c r="Q172" s="79"/>
      <c r="R172" s="79"/>
    </row>
    <row r="173" ht="22.5" customHeight="1">
      <c r="A173" s="133">
        <v>11.0</v>
      </c>
      <c r="B173" s="108" t="s">
        <v>218</v>
      </c>
      <c r="C173" s="134"/>
      <c r="D173" s="135" t="s">
        <v>256</v>
      </c>
      <c r="E173" s="136">
        <v>45937.0</v>
      </c>
      <c r="F173" s="136">
        <v>45938.0</v>
      </c>
      <c r="G173" s="136"/>
      <c r="H173" s="136"/>
      <c r="I173" s="137"/>
      <c r="J173" s="138"/>
      <c r="K173" s="139"/>
      <c r="L173" s="139"/>
      <c r="M173" s="140"/>
      <c r="N173" s="17"/>
      <c r="P173" s="116"/>
      <c r="Q173" s="79"/>
      <c r="R173" s="79"/>
    </row>
    <row r="174" ht="22.5" customHeight="1">
      <c r="A174" s="133">
        <v>11.0</v>
      </c>
      <c r="B174" s="108" t="s">
        <v>218</v>
      </c>
      <c r="C174" s="134"/>
      <c r="D174" s="135" t="s">
        <v>257</v>
      </c>
      <c r="E174" s="136">
        <v>45937.0</v>
      </c>
      <c r="F174" s="136">
        <v>45938.0</v>
      </c>
      <c r="G174" s="136"/>
      <c r="H174" s="136"/>
      <c r="I174" s="137"/>
      <c r="J174" s="138"/>
      <c r="K174" s="139"/>
      <c r="L174" s="139"/>
      <c r="M174" s="140"/>
      <c r="N174" s="17"/>
      <c r="P174" s="116"/>
      <c r="Q174" s="79"/>
      <c r="R174" s="79"/>
    </row>
    <row r="175" ht="22.5" customHeight="1">
      <c r="A175" s="133">
        <v>11.0</v>
      </c>
      <c r="B175" s="108" t="s">
        <v>218</v>
      </c>
      <c r="C175" s="134"/>
      <c r="D175" s="135" t="s">
        <v>258</v>
      </c>
      <c r="E175" s="136">
        <v>45937.0</v>
      </c>
      <c r="F175" s="136">
        <v>45938.0</v>
      </c>
      <c r="G175" s="136"/>
      <c r="H175" s="136"/>
      <c r="I175" s="137"/>
      <c r="J175" s="138"/>
      <c r="K175" s="139"/>
      <c r="L175" s="139"/>
      <c r="M175" s="140"/>
      <c r="N175" s="17"/>
      <c r="P175" s="116"/>
      <c r="Q175" s="79"/>
      <c r="R175" s="79"/>
    </row>
    <row r="176" ht="22.5" customHeight="1">
      <c r="A176" s="133">
        <v>11.0</v>
      </c>
      <c r="B176" s="108" t="s">
        <v>218</v>
      </c>
      <c r="C176" s="134"/>
      <c r="D176" s="135" t="s">
        <v>259</v>
      </c>
      <c r="E176" s="136">
        <v>45937.0</v>
      </c>
      <c r="F176" s="136">
        <v>45938.0</v>
      </c>
      <c r="G176" s="136"/>
      <c r="H176" s="136"/>
      <c r="I176" s="137"/>
      <c r="J176" s="138"/>
      <c r="K176" s="139"/>
      <c r="L176" s="139"/>
      <c r="M176" s="140"/>
      <c r="N176" s="17"/>
      <c r="P176" s="116"/>
      <c r="Q176" s="79"/>
      <c r="R176" s="79"/>
    </row>
    <row r="177" ht="22.5" customHeight="1">
      <c r="A177" s="141">
        <v>14.0</v>
      </c>
      <c r="B177" s="142" t="s">
        <v>260</v>
      </c>
      <c r="C177" s="143"/>
      <c r="D177" s="144" t="s">
        <v>261</v>
      </c>
      <c r="E177" s="145">
        <v>45944.0</v>
      </c>
      <c r="F177" s="145">
        <v>45945.0</v>
      </c>
      <c r="G177" s="145"/>
      <c r="H177" s="145"/>
      <c r="I177" s="146"/>
      <c r="J177" s="147"/>
      <c r="K177" s="148"/>
      <c r="L177" s="148"/>
      <c r="M177" s="149"/>
      <c r="N177" s="17"/>
      <c r="P177" s="116"/>
      <c r="Q177" s="79"/>
      <c r="R177" s="79"/>
    </row>
    <row r="178" ht="22.5" customHeight="1">
      <c r="A178" s="141">
        <v>14.0</v>
      </c>
      <c r="B178" s="142" t="s">
        <v>260</v>
      </c>
      <c r="C178" s="143"/>
      <c r="D178" s="144" t="s">
        <v>262</v>
      </c>
      <c r="E178" s="145">
        <v>45944.0</v>
      </c>
      <c r="F178" s="145">
        <v>45945.0</v>
      </c>
      <c r="G178" s="145"/>
      <c r="H178" s="145"/>
      <c r="I178" s="146"/>
      <c r="J178" s="147"/>
      <c r="K178" s="148"/>
      <c r="L178" s="148"/>
      <c r="M178" s="149"/>
      <c r="N178" s="17"/>
      <c r="P178" s="116"/>
      <c r="Q178" s="79"/>
      <c r="R178" s="79"/>
    </row>
    <row r="179" ht="22.5" customHeight="1">
      <c r="A179" s="141">
        <v>14.0</v>
      </c>
      <c r="B179" s="142" t="s">
        <v>260</v>
      </c>
      <c r="C179" s="143"/>
      <c r="D179" s="144" t="s">
        <v>263</v>
      </c>
      <c r="E179" s="145">
        <v>45944.0</v>
      </c>
      <c r="F179" s="145">
        <v>45945.0</v>
      </c>
      <c r="G179" s="145"/>
      <c r="H179" s="145"/>
      <c r="I179" s="146"/>
      <c r="J179" s="147"/>
      <c r="K179" s="148"/>
      <c r="L179" s="148"/>
      <c r="M179" s="149"/>
      <c r="N179" s="17"/>
      <c r="P179" s="116"/>
      <c r="Q179" s="79"/>
      <c r="R179" s="79"/>
    </row>
    <row r="180" ht="22.5" customHeight="1">
      <c r="A180" s="141">
        <v>14.0</v>
      </c>
      <c r="B180" s="142" t="s">
        <v>260</v>
      </c>
      <c r="C180" s="143"/>
      <c r="D180" s="144" t="s">
        <v>264</v>
      </c>
      <c r="E180" s="145">
        <v>45944.0</v>
      </c>
      <c r="F180" s="145">
        <v>45945.0</v>
      </c>
      <c r="G180" s="145"/>
      <c r="H180" s="145"/>
      <c r="I180" s="146"/>
      <c r="J180" s="147"/>
      <c r="K180" s="148"/>
      <c r="L180" s="148"/>
      <c r="M180" s="149"/>
      <c r="N180" s="17"/>
      <c r="P180" s="116"/>
      <c r="Q180" s="79"/>
      <c r="R180" s="79"/>
    </row>
    <row r="181" ht="22.5" customHeight="1">
      <c r="A181" s="141">
        <v>14.0</v>
      </c>
      <c r="B181" s="142" t="s">
        <v>260</v>
      </c>
      <c r="C181" s="143"/>
      <c r="D181" s="144" t="s">
        <v>265</v>
      </c>
      <c r="E181" s="145">
        <v>45944.0</v>
      </c>
      <c r="F181" s="145">
        <v>45945.0</v>
      </c>
      <c r="G181" s="145"/>
      <c r="H181" s="145"/>
      <c r="I181" s="146"/>
      <c r="J181" s="147"/>
      <c r="K181" s="148"/>
      <c r="L181" s="148"/>
      <c r="M181" s="149"/>
      <c r="N181" s="17"/>
      <c r="P181" s="116"/>
      <c r="Q181" s="79"/>
      <c r="R181" s="79"/>
    </row>
    <row r="182" ht="22.5" customHeight="1">
      <c r="A182" s="141">
        <v>14.0</v>
      </c>
      <c r="B182" s="142" t="s">
        <v>260</v>
      </c>
      <c r="C182" s="143"/>
      <c r="D182" s="144" t="s">
        <v>266</v>
      </c>
      <c r="E182" s="145">
        <v>45944.0</v>
      </c>
      <c r="F182" s="145">
        <v>45945.0</v>
      </c>
      <c r="G182" s="145"/>
      <c r="H182" s="145"/>
      <c r="I182" s="146"/>
      <c r="J182" s="147"/>
      <c r="K182" s="148"/>
      <c r="L182" s="148"/>
      <c r="M182" s="149"/>
      <c r="N182" s="17"/>
      <c r="P182" s="116"/>
      <c r="Q182" s="79"/>
      <c r="R182" s="79"/>
    </row>
    <row r="183" ht="22.5" customHeight="1">
      <c r="A183" s="141">
        <v>14.0</v>
      </c>
      <c r="B183" s="142" t="s">
        <v>260</v>
      </c>
      <c r="C183" s="143"/>
      <c r="D183" s="144" t="s">
        <v>267</v>
      </c>
      <c r="E183" s="145">
        <v>45944.0</v>
      </c>
      <c r="F183" s="145">
        <v>45945.0</v>
      </c>
      <c r="G183" s="145"/>
      <c r="H183" s="145"/>
      <c r="I183" s="146"/>
      <c r="J183" s="147"/>
      <c r="K183" s="148"/>
      <c r="L183" s="148"/>
      <c r="M183" s="149"/>
      <c r="N183" s="17"/>
      <c r="P183" s="116"/>
      <c r="Q183" s="79"/>
      <c r="R183" s="79"/>
    </row>
    <row r="184" ht="22.5" customHeight="1">
      <c r="A184" s="141">
        <v>14.0</v>
      </c>
      <c r="B184" s="142" t="s">
        <v>260</v>
      </c>
      <c r="C184" s="143"/>
      <c r="D184" s="144" t="s">
        <v>268</v>
      </c>
      <c r="E184" s="145">
        <v>45944.0</v>
      </c>
      <c r="F184" s="145">
        <v>45945.0</v>
      </c>
      <c r="G184" s="145"/>
      <c r="H184" s="145"/>
      <c r="I184" s="146"/>
      <c r="J184" s="147"/>
      <c r="K184" s="148"/>
      <c r="L184" s="148"/>
      <c r="M184" s="149"/>
      <c r="N184" s="17"/>
      <c r="P184" s="116"/>
      <c r="Q184" s="79"/>
      <c r="R184" s="79"/>
    </row>
    <row r="185" ht="22.5" customHeight="1">
      <c r="A185" s="141">
        <v>14.0</v>
      </c>
      <c r="B185" s="142" t="s">
        <v>260</v>
      </c>
      <c r="C185" s="143"/>
      <c r="D185" s="144" t="s">
        <v>269</v>
      </c>
      <c r="E185" s="145">
        <v>45944.0</v>
      </c>
      <c r="F185" s="145">
        <v>45945.0</v>
      </c>
      <c r="G185" s="145"/>
      <c r="H185" s="145"/>
      <c r="I185" s="146"/>
      <c r="J185" s="147"/>
      <c r="K185" s="148"/>
      <c r="L185" s="148"/>
      <c r="M185" s="149"/>
      <c r="N185" s="17"/>
      <c r="P185" s="116"/>
      <c r="Q185" s="79"/>
      <c r="R185" s="79"/>
    </row>
    <row r="186" ht="22.5" customHeight="1">
      <c r="A186" s="141">
        <v>14.0</v>
      </c>
      <c r="B186" s="142" t="s">
        <v>260</v>
      </c>
      <c r="C186" s="143"/>
      <c r="D186" s="144" t="s">
        <v>270</v>
      </c>
      <c r="E186" s="145">
        <v>45944.0</v>
      </c>
      <c r="F186" s="145">
        <v>45945.0</v>
      </c>
      <c r="G186" s="145"/>
      <c r="H186" s="145"/>
      <c r="I186" s="146"/>
      <c r="J186" s="147"/>
      <c r="K186" s="148"/>
      <c r="L186" s="148"/>
      <c r="M186" s="149"/>
      <c r="N186" s="17"/>
      <c r="P186" s="116"/>
      <c r="Q186" s="79"/>
      <c r="R186" s="79"/>
    </row>
    <row r="187" ht="22.5" customHeight="1">
      <c r="A187" s="141">
        <v>14.0</v>
      </c>
      <c r="B187" s="142" t="s">
        <v>260</v>
      </c>
      <c r="C187" s="143"/>
      <c r="D187" s="144" t="s">
        <v>271</v>
      </c>
      <c r="E187" s="145">
        <v>45944.0</v>
      </c>
      <c r="F187" s="145">
        <v>45945.0</v>
      </c>
      <c r="G187" s="145"/>
      <c r="H187" s="145"/>
      <c r="I187" s="146"/>
      <c r="J187" s="147"/>
      <c r="K187" s="148"/>
      <c r="L187" s="148"/>
      <c r="M187" s="149"/>
      <c r="N187" s="17"/>
      <c r="P187" s="116"/>
      <c r="Q187" s="79"/>
      <c r="R187" s="79"/>
    </row>
    <row r="188" ht="22.5" customHeight="1">
      <c r="A188" s="141">
        <v>14.0</v>
      </c>
      <c r="B188" s="142" t="s">
        <v>260</v>
      </c>
      <c r="C188" s="143"/>
      <c r="D188" s="144" t="s">
        <v>272</v>
      </c>
      <c r="E188" s="145">
        <v>45944.0</v>
      </c>
      <c r="F188" s="145">
        <v>45945.0</v>
      </c>
      <c r="G188" s="145"/>
      <c r="H188" s="145"/>
      <c r="I188" s="146"/>
      <c r="J188" s="147"/>
      <c r="K188" s="148"/>
      <c r="L188" s="148"/>
      <c r="M188" s="149"/>
      <c r="N188" s="17"/>
      <c r="P188" s="116"/>
      <c r="Q188" s="79"/>
      <c r="R188" s="79"/>
    </row>
    <row r="189" ht="22.5" customHeight="1">
      <c r="A189" s="141">
        <v>14.0</v>
      </c>
      <c r="B189" s="142" t="s">
        <v>260</v>
      </c>
      <c r="C189" s="143"/>
      <c r="D189" s="144" t="s">
        <v>273</v>
      </c>
      <c r="E189" s="145">
        <v>45944.0</v>
      </c>
      <c r="F189" s="145">
        <v>45945.0</v>
      </c>
      <c r="G189" s="145"/>
      <c r="H189" s="145"/>
      <c r="I189" s="146"/>
      <c r="J189" s="147"/>
      <c r="K189" s="148"/>
      <c r="L189" s="148"/>
      <c r="M189" s="149"/>
      <c r="N189" s="17"/>
      <c r="P189" s="116"/>
      <c r="Q189" s="79"/>
      <c r="R189" s="79"/>
    </row>
    <row r="190" ht="22.5" customHeight="1">
      <c r="A190" s="141">
        <v>14.0</v>
      </c>
      <c r="B190" s="142" t="s">
        <v>260</v>
      </c>
      <c r="C190" s="143"/>
      <c r="D190" s="144" t="s">
        <v>274</v>
      </c>
      <c r="E190" s="145">
        <v>45944.0</v>
      </c>
      <c r="F190" s="145">
        <v>45945.0</v>
      </c>
      <c r="G190" s="145"/>
      <c r="H190" s="145"/>
      <c r="I190" s="146"/>
      <c r="J190" s="147"/>
      <c r="K190" s="148"/>
      <c r="L190" s="148"/>
      <c r="M190" s="149"/>
      <c r="N190" s="17"/>
      <c r="P190" s="116"/>
      <c r="Q190" s="79"/>
      <c r="R190" s="79"/>
    </row>
    <row r="191" ht="22.5" customHeight="1">
      <c r="A191" s="141">
        <v>14.0</v>
      </c>
      <c r="B191" s="142" t="s">
        <v>260</v>
      </c>
      <c r="C191" s="143"/>
      <c r="D191" s="144" t="s">
        <v>275</v>
      </c>
      <c r="E191" s="145">
        <v>45944.0</v>
      </c>
      <c r="F191" s="145">
        <v>45945.0</v>
      </c>
      <c r="G191" s="145"/>
      <c r="H191" s="145"/>
      <c r="I191" s="146"/>
      <c r="J191" s="147"/>
      <c r="K191" s="148"/>
      <c r="L191" s="148"/>
      <c r="M191" s="149"/>
      <c r="N191" s="17"/>
      <c r="P191" s="116"/>
      <c r="Q191" s="79"/>
      <c r="R191" s="79"/>
    </row>
    <row r="192" ht="22.5" customHeight="1">
      <c r="A192" s="141">
        <v>14.0</v>
      </c>
      <c r="B192" s="142" t="s">
        <v>260</v>
      </c>
      <c r="C192" s="143"/>
      <c r="D192" s="144" t="s">
        <v>276</v>
      </c>
      <c r="E192" s="145">
        <v>45944.0</v>
      </c>
      <c r="F192" s="145">
        <v>45945.0</v>
      </c>
      <c r="G192" s="145"/>
      <c r="H192" s="145"/>
      <c r="I192" s="146"/>
      <c r="J192" s="147"/>
      <c r="K192" s="148"/>
      <c r="L192" s="148"/>
      <c r="M192" s="149"/>
      <c r="N192" s="17"/>
      <c r="P192" s="116"/>
      <c r="Q192" s="79"/>
      <c r="R192" s="79"/>
    </row>
    <row r="193" ht="22.5" customHeight="1">
      <c r="A193" s="141">
        <v>14.0</v>
      </c>
      <c r="B193" s="142" t="s">
        <v>260</v>
      </c>
      <c r="C193" s="143"/>
      <c r="D193" s="144" t="s">
        <v>277</v>
      </c>
      <c r="E193" s="145">
        <v>45944.0</v>
      </c>
      <c r="F193" s="145">
        <v>45945.0</v>
      </c>
      <c r="G193" s="145"/>
      <c r="H193" s="145"/>
      <c r="I193" s="146"/>
      <c r="J193" s="147"/>
      <c r="K193" s="148"/>
      <c r="L193" s="148"/>
      <c r="M193" s="149"/>
      <c r="N193" s="17"/>
      <c r="P193" s="116"/>
      <c r="Q193" s="79"/>
      <c r="R193" s="79"/>
    </row>
    <row r="194" ht="22.5" customHeight="1">
      <c r="A194" s="141">
        <v>14.0</v>
      </c>
      <c r="B194" s="142" t="s">
        <v>260</v>
      </c>
      <c r="C194" s="143"/>
      <c r="D194" s="144" t="s">
        <v>278</v>
      </c>
      <c r="E194" s="145">
        <v>45944.0</v>
      </c>
      <c r="F194" s="145">
        <v>45945.0</v>
      </c>
      <c r="G194" s="145"/>
      <c r="H194" s="145"/>
      <c r="I194" s="146"/>
      <c r="J194" s="147"/>
      <c r="K194" s="148"/>
      <c r="L194" s="148"/>
      <c r="M194" s="149"/>
      <c r="N194" s="17"/>
      <c r="P194" s="116"/>
      <c r="Q194" s="79"/>
      <c r="R194" s="79"/>
    </row>
    <row r="195" ht="22.5" customHeight="1">
      <c r="A195" s="141">
        <v>14.0</v>
      </c>
      <c r="B195" s="142" t="s">
        <v>260</v>
      </c>
      <c r="C195" s="143"/>
      <c r="D195" s="144" t="s">
        <v>279</v>
      </c>
      <c r="E195" s="145">
        <v>45944.0</v>
      </c>
      <c r="F195" s="145">
        <v>45945.0</v>
      </c>
      <c r="G195" s="145"/>
      <c r="H195" s="145"/>
      <c r="I195" s="146"/>
      <c r="J195" s="147"/>
      <c r="K195" s="148"/>
      <c r="L195" s="148"/>
      <c r="M195" s="149"/>
      <c r="N195" s="17"/>
      <c r="P195" s="116"/>
      <c r="Q195" s="79"/>
      <c r="R195" s="79"/>
    </row>
    <row r="196" ht="22.5" customHeight="1">
      <c r="A196" s="141">
        <v>14.0</v>
      </c>
      <c r="B196" s="142" t="s">
        <v>260</v>
      </c>
      <c r="C196" s="143"/>
      <c r="D196" s="144" t="s">
        <v>280</v>
      </c>
      <c r="E196" s="145">
        <v>45944.0</v>
      </c>
      <c r="F196" s="145">
        <v>45945.0</v>
      </c>
      <c r="G196" s="145"/>
      <c r="H196" s="145"/>
      <c r="I196" s="146"/>
      <c r="J196" s="147"/>
      <c r="K196" s="148"/>
      <c r="L196" s="148"/>
      <c r="M196" s="149"/>
      <c r="N196" s="17"/>
      <c r="P196" s="116"/>
      <c r="Q196" s="79"/>
      <c r="R196" s="79"/>
    </row>
    <row r="197" ht="22.5" customHeight="1">
      <c r="A197" s="141">
        <v>14.0</v>
      </c>
      <c r="B197" s="142" t="s">
        <v>260</v>
      </c>
      <c r="C197" s="143"/>
      <c r="D197" s="144" t="s">
        <v>281</v>
      </c>
      <c r="E197" s="145">
        <v>45944.0</v>
      </c>
      <c r="F197" s="145">
        <v>45945.0</v>
      </c>
      <c r="G197" s="145"/>
      <c r="H197" s="145"/>
      <c r="I197" s="146"/>
      <c r="J197" s="147"/>
      <c r="K197" s="148"/>
      <c r="L197" s="148"/>
      <c r="M197" s="149"/>
      <c r="N197" s="17"/>
      <c r="P197" s="116"/>
      <c r="Q197" s="79"/>
      <c r="R197" s="79"/>
    </row>
    <row r="198" ht="22.5" customHeight="1">
      <c r="A198" s="141">
        <v>14.0</v>
      </c>
      <c r="B198" s="142" t="s">
        <v>260</v>
      </c>
      <c r="C198" s="143"/>
      <c r="D198" s="144" t="s">
        <v>282</v>
      </c>
      <c r="E198" s="145">
        <v>45944.0</v>
      </c>
      <c r="F198" s="145">
        <v>45945.0</v>
      </c>
      <c r="G198" s="145"/>
      <c r="H198" s="145"/>
      <c r="I198" s="146"/>
      <c r="J198" s="147"/>
      <c r="K198" s="148"/>
      <c r="L198" s="148"/>
      <c r="M198" s="149"/>
      <c r="N198" s="17"/>
      <c r="P198" s="116"/>
      <c r="Q198" s="79"/>
      <c r="R198" s="79"/>
    </row>
    <row r="199" ht="22.5" customHeight="1">
      <c r="A199" s="141">
        <v>14.0</v>
      </c>
      <c r="B199" s="142" t="s">
        <v>260</v>
      </c>
      <c r="C199" s="143"/>
      <c r="D199" s="144" t="s">
        <v>283</v>
      </c>
      <c r="E199" s="145">
        <v>45944.0</v>
      </c>
      <c r="F199" s="145">
        <v>45945.0</v>
      </c>
      <c r="G199" s="145"/>
      <c r="H199" s="145"/>
      <c r="I199" s="146"/>
      <c r="J199" s="147"/>
      <c r="K199" s="148"/>
      <c r="L199" s="148"/>
      <c r="M199" s="149"/>
      <c r="N199" s="17"/>
      <c r="P199" s="116"/>
      <c r="Q199" s="79"/>
      <c r="R199" s="79"/>
    </row>
    <row r="200" ht="22.5" customHeight="1">
      <c r="A200" s="141">
        <v>14.0</v>
      </c>
      <c r="B200" s="142" t="s">
        <v>260</v>
      </c>
      <c r="C200" s="143"/>
      <c r="D200" s="144" t="s">
        <v>284</v>
      </c>
      <c r="E200" s="145">
        <v>45944.0</v>
      </c>
      <c r="F200" s="145">
        <v>45945.0</v>
      </c>
      <c r="G200" s="145"/>
      <c r="H200" s="145"/>
      <c r="I200" s="146"/>
      <c r="J200" s="147"/>
      <c r="K200" s="148"/>
      <c r="L200" s="148"/>
      <c r="M200" s="149"/>
      <c r="N200" s="17"/>
      <c r="P200" s="116"/>
      <c r="Q200" s="79"/>
      <c r="R200" s="79"/>
    </row>
    <row r="201" ht="22.5" customHeight="1">
      <c r="A201" s="141">
        <v>14.0</v>
      </c>
      <c r="B201" s="142" t="s">
        <v>260</v>
      </c>
      <c r="C201" s="143"/>
      <c r="D201" s="144" t="s">
        <v>285</v>
      </c>
      <c r="E201" s="145">
        <v>45944.0</v>
      </c>
      <c r="F201" s="145">
        <v>45945.0</v>
      </c>
      <c r="G201" s="145"/>
      <c r="H201" s="145"/>
      <c r="I201" s="146"/>
      <c r="J201" s="147"/>
      <c r="K201" s="148"/>
      <c r="L201" s="148"/>
      <c r="M201" s="149"/>
      <c r="N201" s="17"/>
      <c r="P201" s="116"/>
      <c r="Q201" s="79"/>
      <c r="R201" s="79"/>
    </row>
    <row r="202" ht="22.5" customHeight="1">
      <c r="A202" s="141">
        <v>14.0</v>
      </c>
      <c r="B202" s="142" t="s">
        <v>260</v>
      </c>
      <c r="C202" s="143"/>
      <c r="D202" s="144" t="s">
        <v>286</v>
      </c>
      <c r="E202" s="145">
        <v>45944.0</v>
      </c>
      <c r="F202" s="145">
        <v>45945.0</v>
      </c>
      <c r="G202" s="145"/>
      <c r="H202" s="145"/>
      <c r="I202" s="146"/>
      <c r="J202" s="147"/>
      <c r="K202" s="148"/>
      <c r="L202" s="148"/>
      <c r="M202" s="149"/>
      <c r="N202" s="17"/>
      <c r="P202" s="116"/>
      <c r="Q202" s="79"/>
      <c r="R202" s="79"/>
    </row>
    <row r="203" ht="22.5" customHeight="1">
      <c r="A203" s="125">
        <v>15.0</v>
      </c>
      <c r="B203" s="71" t="s">
        <v>179</v>
      </c>
      <c r="C203" s="126"/>
      <c r="D203" s="127" t="s">
        <v>287</v>
      </c>
      <c r="E203" s="128">
        <v>45947.0</v>
      </c>
      <c r="F203" s="128">
        <v>45960.0</v>
      </c>
      <c r="G203" s="128"/>
      <c r="H203" s="128"/>
      <c r="I203" s="129"/>
      <c r="J203" s="130"/>
      <c r="K203" s="131"/>
      <c r="L203" s="131"/>
      <c r="M203" s="132"/>
      <c r="N203" s="17"/>
      <c r="P203" s="116"/>
      <c r="Q203" s="79"/>
      <c r="R203" s="79"/>
    </row>
    <row r="204" ht="22.5" customHeight="1">
      <c r="A204" s="125">
        <v>15.0</v>
      </c>
      <c r="B204" s="71" t="s">
        <v>179</v>
      </c>
      <c r="C204" s="126"/>
      <c r="D204" s="127" t="s">
        <v>288</v>
      </c>
      <c r="E204" s="128">
        <v>45947.0</v>
      </c>
      <c r="F204" s="128">
        <v>45960.0</v>
      </c>
      <c r="G204" s="128"/>
      <c r="H204" s="128"/>
      <c r="I204" s="129"/>
      <c r="J204" s="130"/>
      <c r="K204" s="131"/>
      <c r="L204" s="131"/>
      <c r="M204" s="132"/>
      <c r="N204" s="17"/>
      <c r="P204" s="116"/>
      <c r="Q204" s="79"/>
      <c r="R204" s="79"/>
    </row>
    <row r="205" ht="22.5" customHeight="1">
      <c r="A205" s="125">
        <v>15.0</v>
      </c>
      <c r="B205" s="71" t="s">
        <v>179</v>
      </c>
      <c r="C205" s="126"/>
      <c r="D205" s="127" t="s">
        <v>289</v>
      </c>
      <c r="E205" s="128">
        <v>45947.0</v>
      </c>
      <c r="F205" s="128">
        <v>45960.0</v>
      </c>
      <c r="G205" s="128"/>
      <c r="H205" s="128"/>
      <c r="I205" s="129"/>
      <c r="J205" s="130"/>
      <c r="K205" s="131"/>
      <c r="L205" s="131"/>
      <c r="M205" s="132"/>
      <c r="N205" s="17"/>
      <c r="P205" s="116"/>
      <c r="Q205" s="79"/>
      <c r="R205" s="79"/>
    </row>
    <row r="206" ht="22.5" customHeight="1">
      <c r="A206" s="125">
        <v>15.0</v>
      </c>
      <c r="B206" s="71" t="s">
        <v>179</v>
      </c>
      <c r="C206" s="126"/>
      <c r="D206" s="127" t="s">
        <v>290</v>
      </c>
      <c r="E206" s="128">
        <v>45947.0</v>
      </c>
      <c r="F206" s="128">
        <v>45960.0</v>
      </c>
      <c r="G206" s="128"/>
      <c r="H206" s="128"/>
      <c r="I206" s="129"/>
      <c r="J206" s="130"/>
      <c r="K206" s="131"/>
      <c r="L206" s="131"/>
      <c r="M206" s="132"/>
      <c r="N206" s="17"/>
      <c r="P206" s="116"/>
      <c r="Q206" s="79"/>
      <c r="R206" s="79"/>
    </row>
    <row r="207" ht="22.5" customHeight="1">
      <c r="A207" s="125">
        <v>15.0</v>
      </c>
      <c r="B207" s="71" t="s">
        <v>179</v>
      </c>
      <c r="C207" s="126"/>
      <c r="D207" s="127" t="s">
        <v>291</v>
      </c>
      <c r="E207" s="128">
        <v>45947.0</v>
      </c>
      <c r="F207" s="128">
        <v>45960.0</v>
      </c>
      <c r="G207" s="128"/>
      <c r="H207" s="128"/>
      <c r="I207" s="129"/>
      <c r="J207" s="130"/>
      <c r="K207" s="131"/>
      <c r="L207" s="131"/>
      <c r="M207" s="132"/>
      <c r="N207" s="17"/>
      <c r="P207" s="116"/>
      <c r="Q207" s="79"/>
      <c r="R207" s="79"/>
    </row>
    <row r="208" ht="22.5" customHeight="1">
      <c r="A208" s="125">
        <v>15.0</v>
      </c>
      <c r="B208" s="71" t="s">
        <v>179</v>
      </c>
      <c r="C208" s="126"/>
      <c r="D208" s="127" t="s">
        <v>292</v>
      </c>
      <c r="E208" s="128">
        <v>45947.0</v>
      </c>
      <c r="F208" s="128">
        <v>45960.0</v>
      </c>
      <c r="G208" s="128"/>
      <c r="H208" s="128"/>
      <c r="I208" s="129"/>
      <c r="J208" s="130"/>
      <c r="K208" s="131"/>
      <c r="L208" s="131"/>
      <c r="M208" s="132"/>
      <c r="N208" s="17"/>
      <c r="P208" s="116"/>
      <c r="Q208" s="79"/>
      <c r="R208" s="79"/>
    </row>
    <row r="209" ht="22.5" customHeight="1">
      <c r="A209" s="125">
        <v>15.0</v>
      </c>
      <c r="B209" s="71" t="s">
        <v>179</v>
      </c>
      <c r="C209" s="126"/>
      <c r="D209" s="127" t="s">
        <v>293</v>
      </c>
      <c r="E209" s="128">
        <v>45947.0</v>
      </c>
      <c r="F209" s="128">
        <v>45960.0</v>
      </c>
      <c r="G209" s="128"/>
      <c r="H209" s="128"/>
      <c r="I209" s="129"/>
      <c r="J209" s="130"/>
      <c r="K209" s="131"/>
      <c r="L209" s="131"/>
      <c r="M209" s="132"/>
      <c r="N209" s="17"/>
      <c r="P209" s="116"/>
      <c r="Q209" s="79"/>
      <c r="R209" s="79"/>
    </row>
    <row r="210" ht="22.5" customHeight="1">
      <c r="A210" s="125">
        <v>15.0</v>
      </c>
      <c r="B210" s="71" t="s">
        <v>179</v>
      </c>
      <c r="C210" s="126"/>
      <c r="D210" s="127" t="s">
        <v>294</v>
      </c>
      <c r="E210" s="128">
        <v>45947.0</v>
      </c>
      <c r="F210" s="128">
        <v>45960.0</v>
      </c>
      <c r="G210" s="128"/>
      <c r="H210" s="128"/>
      <c r="I210" s="129"/>
      <c r="J210" s="130"/>
      <c r="K210" s="131"/>
      <c r="L210" s="131"/>
      <c r="M210" s="132"/>
      <c r="N210" s="17"/>
      <c r="P210" s="116"/>
      <c r="Q210" s="79"/>
      <c r="R210" s="79"/>
    </row>
    <row r="211" ht="22.5" customHeight="1">
      <c r="A211" s="125">
        <v>15.0</v>
      </c>
      <c r="B211" s="71" t="s">
        <v>179</v>
      </c>
      <c r="C211" s="126"/>
      <c r="D211" s="127" t="s">
        <v>295</v>
      </c>
      <c r="E211" s="128">
        <v>45947.0</v>
      </c>
      <c r="F211" s="128">
        <v>45960.0</v>
      </c>
      <c r="G211" s="128"/>
      <c r="H211" s="128"/>
      <c r="I211" s="129"/>
      <c r="J211" s="130"/>
      <c r="K211" s="131"/>
      <c r="L211" s="131"/>
      <c r="M211" s="132"/>
      <c r="N211" s="17"/>
      <c r="P211" s="116"/>
      <c r="Q211" s="79"/>
      <c r="R211" s="79"/>
    </row>
    <row r="212" ht="22.5" customHeight="1">
      <c r="A212" s="125">
        <v>15.0</v>
      </c>
      <c r="B212" s="71" t="s">
        <v>179</v>
      </c>
      <c r="C212" s="126"/>
      <c r="D212" s="127" t="s">
        <v>296</v>
      </c>
      <c r="E212" s="128">
        <v>45947.0</v>
      </c>
      <c r="F212" s="128">
        <v>45960.0</v>
      </c>
      <c r="G212" s="128"/>
      <c r="H212" s="128"/>
      <c r="I212" s="129"/>
      <c r="J212" s="130"/>
      <c r="K212" s="131"/>
      <c r="L212" s="131"/>
      <c r="M212" s="132"/>
      <c r="N212" s="17"/>
      <c r="P212" s="116"/>
      <c r="Q212" s="79"/>
      <c r="R212" s="79"/>
    </row>
    <row r="213" ht="22.5" customHeight="1">
      <c r="A213" s="125">
        <v>15.0</v>
      </c>
      <c r="B213" s="71" t="s">
        <v>179</v>
      </c>
      <c r="C213" s="126"/>
      <c r="D213" s="127" t="s">
        <v>297</v>
      </c>
      <c r="E213" s="128">
        <v>45947.0</v>
      </c>
      <c r="F213" s="128">
        <v>45960.0</v>
      </c>
      <c r="G213" s="128"/>
      <c r="H213" s="128"/>
      <c r="I213" s="129"/>
      <c r="J213" s="130"/>
      <c r="K213" s="131"/>
      <c r="L213" s="131"/>
      <c r="M213" s="132"/>
      <c r="N213" s="17"/>
      <c r="P213" s="116"/>
      <c r="Q213" s="79"/>
      <c r="R213" s="79"/>
    </row>
    <row r="214" ht="22.5" customHeight="1">
      <c r="A214" s="125">
        <v>15.0</v>
      </c>
      <c r="B214" s="71" t="s">
        <v>179</v>
      </c>
      <c r="C214" s="126"/>
      <c r="D214" s="127" t="s">
        <v>298</v>
      </c>
      <c r="E214" s="128">
        <v>45947.0</v>
      </c>
      <c r="F214" s="128">
        <v>45960.0</v>
      </c>
      <c r="G214" s="128"/>
      <c r="H214" s="128"/>
      <c r="I214" s="129"/>
      <c r="J214" s="130"/>
      <c r="K214" s="131"/>
      <c r="L214" s="131"/>
      <c r="M214" s="132"/>
      <c r="N214" s="17"/>
      <c r="P214" s="116"/>
      <c r="Q214" s="79"/>
      <c r="R214" s="79"/>
    </row>
    <row r="215" ht="22.5" customHeight="1">
      <c r="A215" s="125">
        <v>15.0</v>
      </c>
      <c r="B215" s="71" t="s">
        <v>179</v>
      </c>
      <c r="C215" s="126"/>
      <c r="D215" s="127" t="s">
        <v>299</v>
      </c>
      <c r="E215" s="128">
        <v>45947.0</v>
      </c>
      <c r="F215" s="128">
        <v>45960.0</v>
      </c>
      <c r="G215" s="128"/>
      <c r="H215" s="128"/>
      <c r="I215" s="129"/>
      <c r="J215" s="130"/>
      <c r="K215" s="131"/>
      <c r="L215" s="131"/>
      <c r="M215" s="132"/>
      <c r="N215" s="17"/>
      <c r="P215" s="116"/>
      <c r="Q215" s="79"/>
      <c r="R215" s="79"/>
    </row>
    <row r="216" ht="22.5" customHeight="1">
      <c r="A216" s="125">
        <v>15.0</v>
      </c>
      <c r="B216" s="71" t="s">
        <v>179</v>
      </c>
      <c r="C216" s="126"/>
      <c r="D216" s="127" t="s">
        <v>300</v>
      </c>
      <c r="E216" s="128">
        <v>45947.0</v>
      </c>
      <c r="F216" s="128">
        <v>45960.0</v>
      </c>
      <c r="G216" s="128"/>
      <c r="H216" s="128"/>
      <c r="I216" s="129"/>
      <c r="J216" s="130"/>
      <c r="K216" s="131"/>
      <c r="L216" s="131"/>
      <c r="M216" s="132"/>
      <c r="N216" s="17"/>
      <c r="P216" s="116"/>
      <c r="Q216" s="79"/>
      <c r="R216" s="79"/>
    </row>
    <row r="217" ht="22.5" customHeight="1">
      <c r="A217" s="125">
        <v>15.0</v>
      </c>
      <c r="B217" s="71" t="s">
        <v>179</v>
      </c>
      <c r="C217" s="126"/>
      <c r="D217" s="127" t="s">
        <v>301</v>
      </c>
      <c r="E217" s="128">
        <v>45947.0</v>
      </c>
      <c r="F217" s="128">
        <v>45960.0</v>
      </c>
      <c r="G217" s="128"/>
      <c r="H217" s="128"/>
      <c r="I217" s="129"/>
      <c r="J217" s="130"/>
      <c r="K217" s="131"/>
      <c r="L217" s="131"/>
      <c r="M217" s="132"/>
      <c r="N217" s="17"/>
      <c r="P217" s="116"/>
      <c r="Q217" s="79"/>
      <c r="R217" s="79"/>
    </row>
    <row r="218" ht="22.5" customHeight="1">
      <c r="A218" s="125">
        <v>15.0</v>
      </c>
      <c r="B218" s="71" t="s">
        <v>179</v>
      </c>
      <c r="C218" s="126"/>
      <c r="D218" s="127" t="s">
        <v>302</v>
      </c>
      <c r="E218" s="128">
        <v>45947.0</v>
      </c>
      <c r="F218" s="128">
        <v>45960.0</v>
      </c>
      <c r="G218" s="128"/>
      <c r="H218" s="128"/>
      <c r="I218" s="129"/>
      <c r="J218" s="130"/>
      <c r="K218" s="131"/>
      <c r="L218" s="131"/>
      <c r="M218" s="132"/>
      <c r="N218" s="17"/>
      <c r="P218" s="116"/>
      <c r="Q218" s="79"/>
      <c r="R218" s="79"/>
    </row>
    <row r="219" ht="22.5" customHeight="1">
      <c r="A219" s="125">
        <v>15.0</v>
      </c>
      <c r="B219" s="71" t="s">
        <v>179</v>
      </c>
      <c r="C219" s="126"/>
      <c r="D219" s="127" t="s">
        <v>303</v>
      </c>
      <c r="E219" s="128">
        <v>45947.0</v>
      </c>
      <c r="F219" s="128">
        <v>45960.0</v>
      </c>
      <c r="G219" s="128"/>
      <c r="H219" s="128"/>
      <c r="I219" s="129"/>
      <c r="J219" s="130"/>
      <c r="K219" s="131"/>
      <c r="L219" s="131"/>
      <c r="M219" s="132"/>
      <c r="N219" s="17"/>
      <c r="P219" s="116"/>
      <c r="Q219" s="79"/>
      <c r="R219" s="79"/>
    </row>
    <row r="220" ht="22.5" customHeight="1">
      <c r="A220" s="125">
        <v>15.0</v>
      </c>
      <c r="B220" s="71" t="s">
        <v>179</v>
      </c>
      <c r="C220" s="126"/>
      <c r="D220" s="127" t="s">
        <v>304</v>
      </c>
      <c r="E220" s="128">
        <v>45947.0</v>
      </c>
      <c r="F220" s="128">
        <v>45960.0</v>
      </c>
      <c r="G220" s="128"/>
      <c r="H220" s="128"/>
      <c r="I220" s="129"/>
      <c r="J220" s="130"/>
      <c r="K220" s="131"/>
      <c r="L220" s="131"/>
      <c r="M220" s="132"/>
      <c r="N220" s="17"/>
      <c r="P220" s="116"/>
      <c r="Q220" s="79"/>
      <c r="R220" s="79"/>
    </row>
    <row r="221" ht="22.5" customHeight="1">
      <c r="A221" s="125">
        <v>15.0</v>
      </c>
      <c r="B221" s="71" t="s">
        <v>179</v>
      </c>
      <c r="C221" s="126"/>
      <c r="D221" s="127" t="s">
        <v>305</v>
      </c>
      <c r="E221" s="128">
        <v>45947.0</v>
      </c>
      <c r="F221" s="128">
        <v>45960.0</v>
      </c>
      <c r="G221" s="128"/>
      <c r="H221" s="128"/>
      <c r="I221" s="129"/>
      <c r="J221" s="130"/>
      <c r="K221" s="131"/>
      <c r="L221" s="131"/>
      <c r="M221" s="132"/>
      <c r="N221" s="17"/>
      <c r="P221" s="116"/>
      <c r="Q221" s="79"/>
      <c r="R221" s="79"/>
    </row>
    <row r="222" ht="22.5" customHeight="1">
      <c r="A222" s="125">
        <v>15.0</v>
      </c>
      <c r="B222" s="71" t="s">
        <v>179</v>
      </c>
      <c r="C222" s="126"/>
      <c r="D222" s="127" t="s">
        <v>306</v>
      </c>
      <c r="E222" s="128">
        <v>45947.0</v>
      </c>
      <c r="F222" s="128">
        <v>45960.0</v>
      </c>
      <c r="G222" s="128"/>
      <c r="H222" s="128"/>
      <c r="I222" s="129"/>
      <c r="J222" s="130"/>
      <c r="K222" s="131"/>
      <c r="L222" s="131"/>
      <c r="M222" s="132"/>
      <c r="N222" s="17"/>
      <c r="P222" s="116"/>
      <c r="Q222" s="79"/>
      <c r="R222" s="79"/>
    </row>
    <row r="223" ht="22.5" customHeight="1">
      <c r="A223" s="125">
        <v>15.0</v>
      </c>
      <c r="B223" s="71" t="s">
        <v>179</v>
      </c>
      <c r="C223" s="126"/>
      <c r="D223" s="127" t="s">
        <v>307</v>
      </c>
      <c r="E223" s="128">
        <v>45947.0</v>
      </c>
      <c r="F223" s="128">
        <v>45960.0</v>
      </c>
      <c r="G223" s="128"/>
      <c r="H223" s="128"/>
      <c r="I223" s="129"/>
      <c r="J223" s="130"/>
      <c r="K223" s="131"/>
      <c r="L223" s="131"/>
      <c r="M223" s="132"/>
      <c r="N223" s="17"/>
      <c r="P223" s="116"/>
      <c r="Q223" s="79"/>
      <c r="R223" s="79"/>
    </row>
    <row r="224" ht="22.5" customHeight="1">
      <c r="A224" s="125">
        <v>15.0</v>
      </c>
      <c r="B224" s="71" t="s">
        <v>179</v>
      </c>
      <c r="C224" s="126"/>
      <c r="D224" s="127" t="s">
        <v>308</v>
      </c>
      <c r="E224" s="128">
        <v>45947.0</v>
      </c>
      <c r="F224" s="128">
        <v>45960.0</v>
      </c>
      <c r="G224" s="128"/>
      <c r="H224" s="128"/>
      <c r="I224" s="129"/>
      <c r="J224" s="130"/>
      <c r="K224" s="131"/>
      <c r="L224" s="131"/>
      <c r="M224" s="132"/>
      <c r="N224" s="17"/>
      <c r="P224" s="116"/>
      <c r="Q224" s="79"/>
      <c r="R224" s="79"/>
    </row>
    <row r="225" ht="22.5" customHeight="1">
      <c r="A225" s="125">
        <v>15.0</v>
      </c>
      <c r="B225" s="71" t="s">
        <v>179</v>
      </c>
      <c r="C225" s="126"/>
      <c r="D225" s="127" t="s">
        <v>309</v>
      </c>
      <c r="E225" s="128">
        <v>45947.0</v>
      </c>
      <c r="F225" s="128">
        <v>45960.0</v>
      </c>
      <c r="G225" s="128"/>
      <c r="H225" s="128"/>
      <c r="I225" s="129"/>
      <c r="J225" s="130"/>
      <c r="K225" s="131"/>
      <c r="L225" s="131"/>
      <c r="M225" s="132"/>
      <c r="N225" s="17"/>
      <c r="P225" s="116"/>
      <c r="Q225" s="79"/>
      <c r="R225" s="79"/>
    </row>
    <row r="226" ht="22.5" customHeight="1">
      <c r="A226" s="125">
        <v>15.0</v>
      </c>
      <c r="B226" s="71" t="s">
        <v>179</v>
      </c>
      <c r="C226" s="126"/>
      <c r="D226" s="127" t="s">
        <v>310</v>
      </c>
      <c r="E226" s="128">
        <v>45947.0</v>
      </c>
      <c r="F226" s="128">
        <v>45960.0</v>
      </c>
      <c r="G226" s="128"/>
      <c r="H226" s="128"/>
      <c r="I226" s="129"/>
      <c r="J226" s="130"/>
      <c r="K226" s="131"/>
      <c r="L226" s="131"/>
      <c r="M226" s="132"/>
      <c r="N226" s="17"/>
      <c r="P226" s="116"/>
      <c r="Q226" s="79"/>
      <c r="R226" s="79"/>
    </row>
    <row r="227" ht="22.5" customHeight="1">
      <c r="A227" s="125">
        <v>15.0</v>
      </c>
      <c r="B227" s="71" t="s">
        <v>179</v>
      </c>
      <c r="C227" s="126"/>
      <c r="D227" s="127" t="s">
        <v>311</v>
      </c>
      <c r="E227" s="128">
        <v>45947.0</v>
      </c>
      <c r="F227" s="128">
        <v>45960.0</v>
      </c>
      <c r="G227" s="128"/>
      <c r="H227" s="128"/>
      <c r="I227" s="129"/>
      <c r="J227" s="130"/>
      <c r="K227" s="131"/>
      <c r="L227" s="131"/>
      <c r="M227" s="132"/>
      <c r="N227" s="17"/>
      <c r="P227" s="116"/>
      <c r="Q227" s="79"/>
      <c r="R227" s="79"/>
    </row>
    <row r="228" ht="22.5" customHeight="1">
      <c r="A228" s="125">
        <v>15.0</v>
      </c>
      <c r="B228" s="71" t="s">
        <v>179</v>
      </c>
      <c r="C228" s="126"/>
      <c r="D228" s="127" t="s">
        <v>312</v>
      </c>
      <c r="E228" s="128">
        <v>45947.0</v>
      </c>
      <c r="F228" s="128">
        <v>45960.0</v>
      </c>
      <c r="G228" s="128"/>
      <c r="H228" s="128"/>
      <c r="I228" s="129"/>
      <c r="J228" s="130"/>
      <c r="K228" s="131"/>
      <c r="L228" s="131"/>
      <c r="M228" s="132"/>
      <c r="N228" s="17"/>
      <c r="P228" s="116"/>
      <c r="Q228" s="79"/>
      <c r="R228" s="79"/>
    </row>
    <row r="229" ht="22.5" customHeight="1">
      <c r="A229" s="125">
        <v>15.0</v>
      </c>
      <c r="B229" s="71" t="s">
        <v>179</v>
      </c>
      <c r="C229" s="126"/>
      <c r="D229" s="127" t="s">
        <v>313</v>
      </c>
      <c r="E229" s="128">
        <v>45947.0</v>
      </c>
      <c r="F229" s="128">
        <v>45960.0</v>
      </c>
      <c r="G229" s="128"/>
      <c r="H229" s="128"/>
      <c r="I229" s="129"/>
      <c r="J229" s="130"/>
      <c r="K229" s="131"/>
      <c r="L229" s="131"/>
      <c r="M229" s="132"/>
      <c r="N229" s="17"/>
      <c r="P229" s="116"/>
      <c r="Q229" s="79"/>
      <c r="R229" s="79"/>
    </row>
    <row r="230" ht="22.5" customHeight="1">
      <c r="A230" s="125">
        <v>15.0</v>
      </c>
      <c r="B230" s="71" t="s">
        <v>179</v>
      </c>
      <c r="C230" s="126"/>
      <c r="D230" s="127" t="s">
        <v>314</v>
      </c>
      <c r="E230" s="128">
        <v>45947.0</v>
      </c>
      <c r="F230" s="128">
        <v>45960.0</v>
      </c>
      <c r="G230" s="128"/>
      <c r="H230" s="128"/>
      <c r="I230" s="129"/>
      <c r="J230" s="130"/>
      <c r="K230" s="131"/>
      <c r="L230" s="131"/>
      <c r="M230" s="132"/>
      <c r="N230" s="17"/>
      <c r="P230" s="116"/>
      <c r="Q230" s="79"/>
      <c r="R230" s="79"/>
    </row>
    <row r="231" ht="22.5" customHeight="1">
      <c r="A231" s="125">
        <v>15.0</v>
      </c>
      <c r="B231" s="71" t="s">
        <v>179</v>
      </c>
      <c r="C231" s="126"/>
      <c r="D231" s="127" t="s">
        <v>315</v>
      </c>
      <c r="E231" s="128">
        <v>45947.0</v>
      </c>
      <c r="F231" s="128">
        <v>45960.0</v>
      </c>
      <c r="G231" s="128"/>
      <c r="H231" s="128"/>
      <c r="I231" s="129"/>
      <c r="J231" s="130"/>
      <c r="K231" s="131"/>
      <c r="L231" s="131"/>
      <c r="M231" s="132"/>
      <c r="N231" s="17"/>
      <c r="P231" s="116"/>
      <c r="Q231" s="79"/>
      <c r="R231" s="79"/>
    </row>
    <row r="232" ht="22.5" customHeight="1">
      <c r="A232" s="125">
        <v>15.0</v>
      </c>
      <c r="B232" s="71" t="s">
        <v>179</v>
      </c>
      <c r="C232" s="126"/>
      <c r="D232" s="127" t="s">
        <v>316</v>
      </c>
      <c r="E232" s="128">
        <v>45947.0</v>
      </c>
      <c r="F232" s="128">
        <v>45960.0</v>
      </c>
      <c r="G232" s="128"/>
      <c r="H232" s="128"/>
      <c r="I232" s="129"/>
      <c r="J232" s="130"/>
      <c r="K232" s="131"/>
      <c r="L232" s="131"/>
      <c r="M232" s="132"/>
      <c r="N232" s="17"/>
      <c r="P232" s="116"/>
      <c r="Q232" s="79"/>
      <c r="R232" s="79"/>
    </row>
    <row r="233" ht="22.5" customHeight="1">
      <c r="A233" s="125">
        <v>15.0</v>
      </c>
      <c r="B233" s="71" t="s">
        <v>179</v>
      </c>
      <c r="C233" s="126"/>
      <c r="D233" s="127" t="s">
        <v>317</v>
      </c>
      <c r="E233" s="128">
        <v>45947.0</v>
      </c>
      <c r="F233" s="128">
        <v>45960.0</v>
      </c>
      <c r="G233" s="128"/>
      <c r="H233" s="128"/>
      <c r="I233" s="129"/>
      <c r="J233" s="130"/>
      <c r="K233" s="131"/>
      <c r="L233" s="131"/>
      <c r="M233" s="132"/>
      <c r="N233" s="17"/>
      <c r="P233" s="116"/>
      <c r="Q233" s="79"/>
      <c r="R233" s="79"/>
    </row>
    <row r="234" ht="22.5" customHeight="1">
      <c r="A234" s="125">
        <v>15.0</v>
      </c>
      <c r="B234" s="71" t="s">
        <v>179</v>
      </c>
      <c r="C234" s="126"/>
      <c r="D234" s="127" t="s">
        <v>318</v>
      </c>
      <c r="E234" s="128">
        <v>45947.0</v>
      </c>
      <c r="F234" s="128">
        <v>45960.0</v>
      </c>
      <c r="G234" s="128"/>
      <c r="H234" s="128"/>
      <c r="I234" s="129"/>
      <c r="J234" s="130"/>
      <c r="K234" s="131"/>
      <c r="L234" s="131"/>
      <c r="M234" s="132"/>
      <c r="N234" s="17"/>
      <c r="P234" s="116"/>
      <c r="Q234" s="79"/>
      <c r="R234" s="79"/>
    </row>
    <row r="235" ht="22.5" customHeight="1">
      <c r="A235" s="125">
        <v>15.0</v>
      </c>
      <c r="B235" s="71" t="s">
        <v>179</v>
      </c>
      <c r="C235" s="126"/>
      <c r="D235" s="127" t="s">
        <v>319</v>
      </c>
      <c r="E235" s="128">
        <v>45947.0</v>
      </c>
      <c r="F235" s="128">
        <v>45960.0</v>
      </c>
      <c r="G235" s="128"/>
      <c r="H235" s="128"/>
      <c r="I235" s="129"/>
      <c r="J235" s="130"/>
      <c r="K235" s="131"/>
      <c r="L235" s="131"/>
      <c r="M235" s="132"/>
      <c r="N235" s="17"/>
      <c r="P235" s="116"/>
      <c r="Q235" s="79"/>
      <c r="R235" s="79"/>
    </row>
    <row r="236" ht="22.5" customHeight="1">
      <c r="A236" s="125">
        <v>15.0</v>
      </c>
      <c r="B236" s="71" t="s">
        <v>179</v>
      </c>
      <c r="C236" s="126"/>
      <c r="D236" s="127" t="s">
        <v>320</v>
      </c>
      <c r="E236" s="128">
        <v>45947.0</v>
      </c>
      <c r="F236" s="128">
        <v>45960.0</v>
      </c>
      <c r="G236" s="128"/>
      <c r="H236" s="128"/>
      <c r="I236" s="129"/>
      <c r="J236" s="130"/>
      <c r="K236" s="131"/>
      <c r="L236" s="131"/>
      <c r="M236" s="132"/>
      <c r="N236" s="17"/>
      <c r="P236" s="116"/>
      <c r="Q236" s="79"/>
      <c r="R236" s="79"/>
    </row>
    <row r="237" ht="22.5" customHeight="1">
      <c r="A237" s="125">
        <v>15.0</v>
      </c>
      <c r="B237" s="71" t="s">
        <v>179</v>
      </c>
      <c r="C237" s="126"/>
      <c r="D237" s="127" t="s">
        <v>321</v>
      </c>
      <c r="E237" s="128">
        <v>45947.0</v>
      </c>
      <c r="F237" s="128">
        <v>45960.0</v>
      </c>
      <c r="G237" s="128"/>
      <c r="H237" s="128"/>
      <c r="I237" s="129"/>
      <c r="J237" s="130"/>
      <c r="K237" s="131"/>
      <c r="L237" s="131"/>
      <c r="M237" s="132"/>
      <c r="N237" s="17"/>
      <c r="P237" s="116"/>
      <c r="Q237" s="79"/>
      <c r="R237" s="79"/>
    </row>
    <row r="238" ht="22.5" customHeight="1">
      <c r="A238" s="125">
        <v>15.0</v>
      </c>
      <c r="B238" s="71" t="s">
        <v>179</v>
      </c>
      <c r="C238" s="126"/>
      <c r="D238" s="127" t="s">
        <v>322</v>
      </c>
      <c r="E238" s="128">
        <v>45947.0</v>
      </c>
      <c r="F238" s="128">
        <v>45960.0</v>
      </c>
      <c r="G238" s="128"/>
      <c r="H238" s="128"/>
      <c r="I238" s="129"/>
      <c r="J238" s="130"/>
      <c r="K238" s="131"/>
      <c r="L238" s="131"/>
      <c r="M238" s="132"/>
      <c r="N238" s="17"/>
      <c r="P238" s="116"/>
      <c r="Q238" s="79"/>
      <c r="R238" s="79"/>
    </row>
    <row r="239" ht="22.5" customHeight="1">
      <c r="A239" s="125">
        <v>15.0</v>
      </c>
      <c r="B239" s="71" t="s">
        <v>179</v>
      </c>
      <c r="C239" s="126"/>
      <c r="D239" s="127" t="s">
        <v>323</v>
      </c>
      <c r="E239" s="128">
        <v>45947.0</v>
      </c>
      <c r="F239" s="128">
        <v>45960.0</v>
      </c>
      <c r="G239" s="128"/>
      <c r="H239" s="128"/>
      <c r="I239" s="129"/>
      <c r="J239" s="130"/>
      <c r="K239" s="131"/>
      <c r="L239" s="131"/>
      <c r="M239" s="132"/>
      <c r="N239" s="17"/>
      <c r="P239" s="116"/>
      <c r="Q239" s="79"/>
      <c r="R239" s="79"/>
    </row>
    <row r="240" ht="22.5" customHeight="1">
      <c r="A240" s="125">
        <v>15.0</v>
      </c>
      <c r="B240" s="71" t="s">
        <v>179</v>
      </c>
      <c r="C240" s="126"/>
      <c r="D240" s="127" t="s">
        <v>324</v>
      </c>
      <c r="E240" s="128">
        <v>45947.0</v>
      </c>
      <c r="F240" s="128">
        <v>45960.0</v>
      </c>
      <c r="G240" s="128"/>
      <c r="H240" s="128"/>
      <c r="I240" s="129"/>
      <c r="J240" s="130"/>
      <c r="K240" s="131"/>
      <c r="L240" s="131"/>
      <c r="M240" s="132"/>
      <c r="N240" s="17"/>
      <c r="P240" s="116"/>
      <c r="Q240" s="79"/>
      <c r="R240" s="79"/>
    </row>
    <row r="241" ht="22.5" customHeight="1">
      <c r="A241" s="125">
        <v>15.0</v>
      </c>
      <c r="B241" s="71" t="s">
        <v>179</v>
      </c>
      <c r="C241" s="126"/>
      <c r="D241" s="127" t="s">
        <v>325</v>
      </c>
      <c r="E241" s="128">
        <v>45947.0</v>
      </c>
      <c r="F241" s="128">
        <v>45960.0</v>
      </c>
      <c r="G241" s="128"/>
      <c r="H241" s="128"/>
      <c r="I241" s="129"/>
      <c r="J241" s="130"/>
      <c r="K241" s="131"/>
      <c r="L241" s="131"/>
      <c r="M241" s="132"/>
      <c r="N241" s="17"/>
      <c r="P241" s="116"/>
      <c r="Q241" s="79"/>
      <c r="R241" s="79"/>
    </row>
    <row r="242" ht="22.5" customHeight="1">
      <c r="A242" s="125">
        <v>15.0</v>
      </c>
      <c r="B242" s="71" t="s">
        <v>179</v>
      </c>
      <c r="C242" s="126"/>
      <c r="D242" s="127" t="s">
        <v>326</v>
      </c>
      <c r="E242" s="128">
        <v>45947.0</v>
      </c>
      <c r="F242" s="128">
        <v>45960.0</v>
      </c>
      <c r="G242" s="128"/>
      <c r="H242" s="128"/>
      <c r="I242" s="129"/>
      <c r="J242" s="130"/>
      <c r="K242" s="131"/>
      <c r="L242" s="131"/>
      <c r="M242" s="132"/>
      <c r="N242" s="17"/>
      <c r="P242" s="116"/>
      <c r="Q242" s="79"/>
      <c r="R242" s="79"/>
    </row>
    <row r="243" ht="22.5" customHeight="1">
      <c r="A243" s="125">
        <v>15.0</v>
      </c>
      <c r="B243" s="71" t="s">
        <v>179</v>
      </c>
      <c r="C243" s="126"/>
      <c r="D243" s="127" t="s">
        <v>327</v>
      </c>
      <c r="E243" s="128">
        <v>45947.0</v>
      </c>
      <c r="F243" s="128">
        <v>45960.0</v>
      </c>
      <c r="G243" s="128"/>
      <c r="H243" s="128"/>
      <c r="I243" s="129"/>
      <c r="J243" s="130"/>
      <c r="K243" s="131"/>
      <c r="L243" s="131"/>
      <c r="M243" s="132"/>
      <c r="N243" s="17"/>
      <c r="P243" s="116"/>
      <c r="Q243" s="79"/>
      <c r="R243" s="79"/>
    </row>
    <row r="244" ht="22.5" customHeight="1">
      <c r="A244" s="125">
        <v>15.0</v>
      </c>
      <c r="B244" s="71" t="s">
        <v>179</v>
      </c>
      <c r="C244" s="126"/>
      <c r="D244" s="127" t="s">
        <v>328</v>
      </c>
      <c r="E244" s="128">
        <v>45947.0</v>
      </c>
      <c r="F244" s="128">
        <v>45960.0</v>
      </c>
      <c r="G244" s="128"/>
      <c r="H244" s="128"/>
      <c r="I244" s="129"/>
      <c r="J244" s="130"/>
      <c r="K244" s="131"/>
      <c r="L244" s="131"/>
      <c r="M244" s="132"/>
      <c r="N244" s="17"/>
      <c r="P244" s="116"/>
      <c r="Q244" s="79"/>
      <c r="R244" s="79"/>
    </row>
    <row r="245" ht="22.5" customHeight="1">
      <c r="A245" s="133">
        <v>8.0</v>
      </c>
      <c r="B245" s="108" t="s">
        <v>218</v>
      </c>
      <c r="C245" s="134"/>
      <c r="D245" s="135" t="s">
        <v>329</v>
      </c>
      <c r="E245" s="136">
        <v>45952.0</v>
      </c>
      <c r="F245" s="136">
        <v>45938.0</v>
      </c>
      <c r="G245" s="136"/>
      <c r="H245" s="136"/>
      <c r="I245" s="137"/>
      <c r="J245" s="138"/>
      <c r="K245" s="139"/>
      <c r="L245" s="139"/>
      <c r="M245" s="140"/>
      <c r="N245" s="17"/>
      <c r="P245" s="116"/>
      <c r="Q245" s="79"/>
      <c r="R245" s="79"/>
    </row>
    <row r="246" ht="22.5" customHeight="1">
      <c r="A246" s="133">
        <v>8.0</v>
      </c>
      <c r="B246" s="108" t="s">
        <v>218</v>
      </c>
      <c r="C246" s="134"/>
      <c r="D246" s="135" t="s">
        <v>330</v>
      </c>
      <c r="E246" s="136">
        <v>45952.0</v>
      </c>
      <c r="F246" s="136">
        <v>45938.0</v>
      </c>
      <c r="G246" s="136"/>
      <c r="H246" s="136"/>
      <c r="I246" s="137"/>
      <c r="J246" s="138"/>
      <c r="K246" s="139"/>
      <c r="L246" s="139"/>
      <c r="M246" s="140"/>
      <c r="N246" s="17"/>
      <c r="P246" s="116"/>
      <c r="Q246" s="79"/>
      <c r="R246" s="79"/>
    </row>
    <row r="247" ht="22.5" customHeight="1">
      <c r="A247" s="133">
        <v>8.0</v>
      </c>
      <c r="B247" s="108" t="s">
        <v>218</v>
      </c>
      <c r="C247" s="134"/>
      <c r="D247" s="135" t="s">
        <v>331</v>
      </c>
      <c r="E247" s="136">
        <v>45952.0</v>
      </c>
      <c r="F247" s="136">
        <v>45938.0</v>
      </c>
      <c r="G247" s="136"/>
      <c r="H247" s="136"/>
      <c r="I247" s="137"/>
      <c r="J247" s="138"/>
      <c r="K247" s="139"/>
      <c r="L247" s="139"/>
      <c r="M247" s="140"/>
      <c r="N247" s="17"/>
      <c r="P247" s="116"/>
      <c r="Q247" s="79"/>
      <c r="R247" s="79"/>
    </row>
    <row r="248" ht="22.5" customHeight="1">
      <c r="A248" s="133">
        <v>8.0</v>
      </c>
      <c r="B248" s="108" t="s">
        <v>218</v>
      </c>
      <c r="C248" s="134"/>
      <c r="D248" s="135" t="s">
        <v>332</v>
      </c>
      <c r="E248" s="136">
        <v>45952.0</v>
      </c>
      <c r="F248" s="136">
        <v>45938.0</v>
      </c>
      <c r="G248" s="136"/>
      <c r="H248" s="136"/>
      <c r="I248" s="137"/>
      <c r="J248" s="138"/>
      <c r="K248" s="139"/>
      <c r="L248" s="139"/>
      <c r="M248" s="140"/>
      <c r="N248" s="17"/>
      <c r="P248" s="116"/>
      <c r="Q248" s="79"/>
      <c r="R248" s="79"/>
    </row>
    <row r="249" ht="22.5" customHeight="1">
      <c r="A249" s="133">
        <v>8.0</v>
      </c>
      <c r="B249" s="108" t="s">
        <v>218</v>
      </c>
      <c r="C249" s="134"/>
      <c r="D249" s="135" t="s">
        <v>333</v>
      </c>
      <c r="E249" s="136">
        <v>45952.0</v>
      </c>
      <c r="F249" s="136">
        <v>45938.0</v>
      </c>
      <c r="G249" s="136"/>
      <c r="H249" s="136"/>
      <c r="I249" s="137"/>
      <c r="J249" s="138"/>
      <c r="K249" s="139"/>
      <c r="L249" s="139"/>
      <c r="M249" s="140"/>
      <c r="N249" s="17"/>
      <c r="P249" s="116"/>
      <c r="Q249" s="79"/>
      <c r="R249" s="79"/>
    </row>
    <row r="250" ht="22.5" customHeight="1">
      <c r="A250" s="133">
        <v>8.0</v>
      </c>
      <c r="B250" s="108" t="s">
        <v>218</v>
      </c>
      <c r="C250" s="134"/>
      <c r="D250" s="135" t="s">
        <v>334</v>
      </c>
      <c r="E250" s="136">
        <v>45952.0</v>
      </c>
      <c r="F250" s="136">
        <v>45938.0</v>
      </c>
      <c r="G250" s="136"/>
      <c r="H250" s="136"/>
      <c r="I250" s="137"/>
      <c r="J250" s="138"/>
      <c r="K250" s="139"/>
      <c r="L250" s="139"/>
      <c r="M250" s="140"/>
      <c r="N250" s="17"/>
      <c r="P250" s="116"/>
      <c r="Q250" s="79"/>
      <c r="R250" s="79"/>
    </row>
    <row r="251" ht="22.5" customHeight="1">
      <c r="A251" s="133">
        <v>8.0</v>
      </c>
      <c r="B251" s="108" t="s">
        <v>218</v>
      </c>
      <c r="C251" s="134"/>
      <c r="D251" s="135" t="s">
        <v>335</v>
      </c>
      <c r="E251" s="136">
        <v>45952.0</v>
      </c>
      <c r="F251" s="136">
        <v>45938.0</v>
      </c>
      <c r="G251" s="136"/>
      <c r="H251" s="136"/>
      <c r="I251" s="137"/>
      <c r="J251" s="138"/>
      <c r="K251" s="139"/>
      <c r="L251" s="139"/>
      <c r="M251" s="140"/>
      <c r="N251" s="17"/>
      <c r="P251" s="116"/>
      <c r="Q251" s="79"/>
      <c r="R251" s="79"/>
    </row>
    <row r="252" ht="22.5" customHeight="1">
      <c r="A252" s="133">
        <v>8.0</v>
      </c>
      <c r="B252" s="108" t="s">
        <v>218</v>
      </c>
      <c r="C252" s="134"/>
      <c r="D252" s="135" t="s">
        <v>336</v>
      </c>
      <c r="E252" s="136">
        <v>45952.0</v>
      </c>
      <c r="F252" s="136">
        <v>45938.0</v>
      </c>
      <c r="G252" s="136"/>
      <c r="H252" s="136"/>
      <c r="I252" s="137"/>
      <c r="J252" s="138"/>
      <c r="K252" s="139"/>
      <c r="L252" s="139"/>
      <c r="M252" s="140"/>
      <c r="N252" s="17"/>
      <c r="P252" s="116"/>
      <c r="Q252" s="79"/>
      <c r="R252" s="79"/>
    </row>
    <row r="253" ht="22.5" customHeight="1">
      <c r="A253" s="133">
        <v>8.0</v>
      </c>
      <c r="B253" s="108" t="s">
        <v>218</v>
      </c>
      <c r="C253" s="134"/>
      <c r="D253" s="135" t="s">
        <v>337</v>
      </c>
      <c r="E253" s="136">
        <v>45952.0</v>
      </c>
      <c r="F253" s="136">
        <v>45938.0</v>
      </c>
      <c r="G253" s="136"/>
      <c r="H253" s="136"/>
      <c r="I253" s="137"/>
      <c r="J253" s="138"/>
      <c r="K253" s="139"/>
      <c r="L253" s="139"/>
      <c r="M253" s="140"/>
      <c r="N253" s="17"/>
      <c r="P253" s="116"/>
      <c r="Q253" s="79"/>
      <c r="R253" s="79"/>
    </row>
    <row r="254" ht="22.5" customHeight="1">
      <c r="A254" s="133">
        <v>8.0</v>
      </c>
      <c r="B254" s="108" t="s">
        <v>218</v>
      </c>
      <c r="C254" s="134"/>
      <c r="D254" s="135" t="s">
        <v>338</v>
      </c>
      <c r="E254" s="136">
        <v>45952.0</v>
      </c>
      <c r="F254" s="136">
        <v>45938.0</v>
      </c>
      <c r="G254" s="136"/>
      <c r="H254" s="136"/>
      <c r="I254" s="137"/>
      <c r="J254" s="138"/>
      <c r="K254" s="139"/>
      <c r="L254" s="139"/>
      <c r="M254" s="140"/>
      <c r="N254" s="17"/>
      <c r="P254" s="116"/>
      <c r="Q254" s="79"/>
      <c r="R254" s="79"/>
    </row>
    <row r="255" ht="22.5" customHeight="1">
      <c r="A255" s="133">
        <v>8.0</v>
      </c>
      <c r="B255" s="108" t="s">
        <v>218</v>
      </c>
      <c r="C255" s="134"/>
      <c r="D255" s="135" t="s">
        <v>339</v>
      </c>
      <c r="E255" s="136">
        <v>45952.0</v>
      </c>
      <c r="F255" s="136">
        <v>45938.0</v>
      </c>
      <c r="G255" s="136"/>
      <c r="H255" s="136"/>
      <c r="I255" s="137"/>
      <c r="J255" s="138"/>
      <c r="K255" s="139"/>
      <c r="L255" s="139"/>
      <c r="M255" s="140"/>
      <c r="N255" s="17"/>
      <c r="P255" s="116"/>
      <c r="Q255" s="79"/>
      <c r="R255" s="79"/>
    </row>
    <row r="256" ht="22.5" customHeight="1">
      <c r="A256" s="133">
        <v>8.0</v>
      </c>
      <c r="B256" s="108" t="s">
        <v>218</v>
      </c>
      <c r="C256" s="134"/>
      <c r="D256" s="135" t="s">
        <v>340</v>
      </c>
      <c r="E256" s="136">
        <v>45952.0</v>
      </c>
      <c r="F256" s="136">
        <v>45938.0</v>
      </c>
      <c r="G256" s="136"/>
      <c r="H256" s="136"/>
      <c r="I256" s="137"/>
      <c r="J256" s="138"/>
      <c r="K256" s="139"/>
      <c r="L256" s="139"/>
      <c r="M256" s="140"/>
      <c r="N256" s="17"/>
      <c r="P256" s="116"/>
      <c r="Q256" s="79"/>
      <c r="R256" s="79"/>
    </row>
    <row r="257" ht="22.5" customHeight="1">
      <c r="A257" s="133">
        <v>8.0</v>
      </c>
      <c r="B257" s="108" t="s">
        <v>218</v>
      </c>
      <c r="C257" s="134"/>
      <c r="D257" s="135" t="s">
        <v>341</v>
      </c>
      <c r="E257" s="136">
        <v>45952.0</v>
      </c>
      <c r="F257" s="136">
        <v>45938.0</v>
      </c>
      <c r="G257" s="136"/>
      <c r="H257" s="136"/>
      <c r="I257" s="137"/>
      <c r="J257" s="138"/>
      <c r="K257" s="139"/>
      <c r="L257" s="139"/>
      <c r="M257" s="140"/>
      <c r="N257" s="17"/>
      <c r="P257" s="116"/>
      <c r="Q257" s="79"/>
      <c r="R257" s="79"/>
    </row>
    <row r="258" ht="22.5" customHeight="1">
      <c r="A258" s="133">
        <v>8.0</v>
      </c>
      <c r="B258" s="108" t="s">
        <v>218</v>
      </c>
      <c r="C258" s="134"/>
      <c r="D258" s="135" t="s">
        <v>342</v>
      </c>
      <c r="E258" s="136">
        <v>45952.0</v>
      </c>
      <c r="F258" s="136">
        <v>45938.0</v>
      </c>
      <c r="G258" s="136"/>
      <c r="H258" s="136"/>
      <c r="I258" s="137"/>
      <c r="J258" s="138"/>
      <c r="K258" s="139"/>
      <c r="L258" s="139"/>
      <c r="M258" s="140"/>
      <c r="N258" s="17"/>
      <c r="P258" s="116"/>
      <c r="Q258" s="79"/>
      <c r="R258" s="79"/>
    </row>
    <row r="259" ht="22.5" customHeight="1">
      <c r="A259" s="133">
        <v>8.0</v>
      </c>
      <c r="B259" s="108" t="s">
        <v>218</v>
      </c>
      <c r="C259" s="134"/>
      <c r="D259" s="135" t="s">
        <v>343</v>
      </c>
      <c r="E259" s="136">
        <v>45952.0</v>
      </c>
      <c r="F259" s="136">
        <v>45938.0</v>
      </c>
      <c r="G259" s="136"/>
      <c r="H259" s="136"/>
      <c r="I259" s="137"/>
      <c r="J259" s="138"/>
      <c r="K259" s="139"/>
      <c r="L259" s="139"/>
      <c r="M259" s="140"/>
      <c r="N259" s="17"/>
      <c r="P259" s="116"/>
      <c r="Q259" s="79"/>
      <c r="R259" s="79"/>
    </row>
    <row r="260" ht="22.5" customHeight="1">
      <c r="A260" s="133">
        <v>8.0</v>
      </c>
      <c r="B260" s="108" t="s">
        <v>218</v>
      </c>
      <c r="C260" s="134"/>
      <c r="D260" s="135" t="s">
        <v>344</v>
      </c>
      <c r="E260" s="136">
        <v>45952.0</v>
      </c>
      <c r="F260" s="136">
        <v>45938.0</v>
      </c>
      <c r="G260" s="136"/>
      <c r="H260" s="136"/>
      <c r="I260" s="137"/>
      <c r="J260" s="138"/>
      <c r="K260" s="139"/>
      <c r="L260" s="139"/>
      <c r="M260" s="140"/>
      <c r="N260" s="17"/>
      <c r="P260" s="116"/>
      <c r="Q260" s="79"/>
      <c r="R260" s="79"/>
    </row>
    <row r="261" ht="22.5" customHeight="1">
      <c r="A261" s="133">
        <v>8.0</v>
      </c>
      <c r="B261" s="108" t="s">
        <v>218</v>
      </c>
      <c r="C261" s="134"/>
      <c r="D261" s="135" t="s">
        <v>345</v>
      </c>
      <c r="E261" s="136">
        <v>45952.0</v>
      </c>
      <c r="F261" s="136">
        <v>45938.0</v>
      </c>
      <c r="G261" s="136"/>
      <c r="H261" s="136"/>
      <c r="I261" s="137"/>
      <c r="J261" s="138"/>
      <c r="K261" s="139"/>
      <c r="L261" s="139"/>
      <c r="M261" s="140"/>
      <c r="N261" s="17"/>
      <c r="P261" s="116"/>
      <c r="Q261" s="79"/>
      <c r="R261" s="79"/>
    </row>
    <row r="262" ht="22.5" customHeight="1">
      <c r="A262" s="133">
        <v>8.0</v>
      </c>
      <c r="B262" s="108" t="s">
        <v>218</v>
      </c>
      <c r="C262" s="134"/>
      <c r="D262" s="135" t="s">
        <v>346</v>
      </c>
      <c r="E262" s="136">
        <v>45952.0</v>
      </c>
      <c r="F262" s="136">
        <v>45938.0</v>
      </c>
      <c r="G262" s="136"/>
      <c r="H262" s="136"/>
      <c r="I262" s="137"/>
      <c r="J262" s="138"/>
      <c r="K262" s="139"/>
      <c r="L262" s="139"/>
      <c r="M262" s="140"/>
      <c r="N262" s="17"/>
      <c r="P262" s="116"/>
      <c r="Q262" s="79"/>
      <c r="R262" s="79"/>
    </row>
    <row r="263" ht="22.5" customHeight="1">
      <c r="A263" s="133">
        <v>8.0</v>
      </c>
      <c r="B263" s="108" t="s">
        <v>218</v>
      </c>
      <c r="C263" s="134"/>
      <c r="D263" s="135" t="s">
        <v>347</v>
      </c>
      <c r="E263" s="136">
        <v>45952.0</v>
      </c>
      <c r="F263" s="136">
        <v>45938.0</v>
      </c>
      <c r="G263" s="136"/>
      <c r="H263" s="136"/>
      <c r="I263" s="137"/>
      <c r="J263" s="138"/>
      <c r="K263" s="139"/>
      <c r="L263" s="139"/>
      <c r="M263" s="140"/>
      <c r="N263" s="17"/>
      <c r="P263" s="116"/>
      <c r="Q263" s="79"/>
      <c r="R263" s="79"/>
    </row>
    <row r="264" ht="22.5" customHeight="1">
      <c r="A264" s="133">
        <v>8.0</v>
      </c>
      <c r="B264" s="108" t="s">
        <v>218</v>
      </c>
      <c r="C264" s="134"/>
      <c r="D264" s="135" t="s">
        <v>348</v>
      </c>
      <c r="E264" s="136">
        <v>45952.0</v>
      </c>
      <c r="F264" s="136">
        <v>45938.0</v>
      </c>
      <c r="G264" s="136"/>
      <c r="H264" s="136"/>
      <c r="I264" s="137"/>
      <c r="J264" s="138"/>
      <c r="K264" s="139"/>
      <c r="L264" s="139"/>
      <c r="M264" s="140"/>
      <c r="N264" s="17"/>
      <c r="P264" s="116"/>
      <c r="Q264" s="79"/>
      <c r="R264" s="79"/>
    </row>
    <row r="265" ht="22.5" customHeight="1">
      <c r="A265" s="150">
        <v>9.0</v>
      </c>
      <c r="B265" s="151" t="s">
        <v>349</v>
      </c>
      <c r="C265" s="152"/>
      <c r="D265" s="153" t="s">
        <v>350</v>
      </c>
      <c r="E265" s="154">
        <v>45952.0</v>
      </c>
      <c r="F265" s="154">
        <v>45953.0</v>
      </c>
      <c r="G265" s="154"/>
      <c r="H265" s="154"/>
      <c r="I265" s="155"/>
      <c r="J265" s="156"/>
      <c r="K265" s="157"/>
      <c r="L265" s="157"/>
      <c r="M265" s="158"/>
      <c r="N265" s="17"/>
      <c r="P265" s="116"/>
      <c r="Q265" s="79"/>
      <c r="R265" s="79"/>
    </row>
    <row r="266" ht="22.5" customHeight="1">
      <c r="A266" s="150">
        <v>9.0</v>
      </c>
      <c r="B266" s="151" t="s">
        <v>349</v>
      </c>
      <c r="C266" s="152"/>
      <c r="D266" s="153" t="s">
        <v>351</v>
      </c>
      <c r="E266" s="154">
        <v>45952.0</v>
      </c>
      <c r="F266" s="154">
        <v>45953.0</v>
      </c>
      <c r="G266" s="154"/>
      <c r="H266" s="154"/>
      <c r="I266" s="155"/>
      <c r="J266" s="156"/>
      <c r="K266" s="157"/>
      <c r="L266" s="157"/>
      <c r="M266" s="158"/>
      <c r="N266" s="17"/>
      <c r="P266" s="116"/>
      <c r="Q266" s="79"/>
      <c r="R266" s="79"/>
    </row>
    <row r="267" ht="22.5" customHeight="1">
      <c r="A267" s="150">
        <v>9.0</v>
      </c>
      <c r="B267" s="151" t="s">
        <v>349</v>
      </c>
      <c r="C267" s="152"/>
      <c r="D267" s="153" t="s">
        <v>352</v>
      </c>
      <c r="E267" s="154">
        <v>45952.0</v>
      </c>
      <c r="F267" s="154">
        <v>45953.0</v>
      </c>
      <c r="G267" s="154"/>
      <c r="H267" s="154"/>
      <c r="I267" s="155"/>
      <c r="J267" s="156"/>
      <c r="K267" s="157"/>
      <c r="L267" s="157"/>
      <c r="M267" s="158"/>
      <c r="N267" s="17"/>
      <c r="P267" s="116"/>
      <c r="Q267" s="79"/>
      <c r="R267" s="79"/>
    </row>
    <row r="268" ht="22.5" customHeight="1">
      <c r="A268" s="150">
        <v>9.0</v>
      </c>
      <c r="B268" s="151" t="s">
        <v>349</v>
      </c>
      <c r="C268" s="152"/>
      <c r="D268" s="153" t="s">
        <v>353</v>
      </c>
      <c r="E268" s="154">
        <v>45952.0</v>
      </c>
      <c r="F268" s="154">
        <v>45953.0</v>
      </c>
      <c r="G268" s="154"/>
      <c r="H268" s="154"/>
      <c r="I268" s="155"/>
      <c r="J268" s="156"/>
      <c r="K268" s="157"/>
      <c r="L268" s="157"/>
      <c r="M268" s="158"/>
      <c r="N268" s="17"/>
      <c r="P268" s="116"/>
      <c r="Q268" s="79"/>
      <c r="R268" s="79"/>
    </row>
    <row r="269" ht="22.5" customHeight="1">
      <c r="A269" s="150">
        <v>9.0</v>
      </c>
      <c r="B269" s="151" t="s">
        <v>349</v>
      </c>
      <c r="C269" s="152"/>
      <c r="D269" s="153" t="s">
        <v>354</v>
      </c>
      <c r="E269" s="154">
        <v>45952.0</v>
      </c>
      <c r="F269" s="154">
        <v>45953.0</v>
      </c>
      <c r="G269" s="154"/>
      <c r="H269" s="154"/>
      <c r="I269" s="155"/>
      <c r="J269" s="156"/>
      <c r="K269" s="157"/>
      <c r="L269" s="157"/>
      <c r="M269" s="158"/>
      <c r="N269" s="17"/>
      <c r="P269" s="116"/>
      <c r="Q269" s="79"/>
      <c r="R269" s="79"/>
    </row>
    <row r="270" ht="22.5" customHeight="1">
      <c r="A270" s="150">
        <v>9.0</v>
      </c>
      <c r="B270" s="151" t="s">
        <v>349</v>
      </c>
      <c r="C270" s="152"/>
      <c r="D270" s="153" t="s">
        <v>355</v>
      </c>
      <c r="E270" s="154">
        <v>45952.0</v>
      </c>
      <c r="F270" s="154">
        <v>45953.0</v>
      </c>
      <c r="G270" s="154"/>
      <c r="H270" s="154"/>
      <c r="I270" s="155"/>
      <c r="J270" s="156"/>
      <c r="K270" s="157"/>
      <c r="L270" s="157"/>
      <c r="M270" s="158"/>
      <c r="N270" s="17"/>
      <c r="P270" s="116"/>
      <c r="Q270" s="79"/>
      <c r="R270" s="79"/>
    </row>
    <row r="271" ht="22.5" customHeight="1">
      <c r="A271" s="150">
        <v>9.0</v>
      </c>
      <c r="B271" s="151" t="s">
        <v>349</v>
      </c>
      <c r="C271" s="152"/>
      <c r="D271" s="153" t="s">
        <v>356</v>
      </c>
      <c r="E271" s="154">
        <v>45952.0</v>
      </c>
      <c r="F271" s="154">
        <v>45953.0</v>
      </c>
      <c r="G271" s="154"/>
      <c r="H271" s="154"/>
      <c r="I271" s="155"/>
      <c r="J271" s="156"/>
      <c r="K271" s="157"/>
      <c r="L271" s="157"/>
      <c r="M271" s="158"/>
      <c r="N271" s="17"/>
      <c r="P271" s="116"/>
      <c r="Q271" s="79"/>
      <c r="R271" s="79"/>
    </row>
    <row r="272" ht="22.5" customHeight="1">
      <c r="A272" s="150">
        <v>9.0</v>
      </c>
      <c r="B272" s="151" t="s">
        <v>349</v>
      </c>
      <c r="C272" s="152"/>
      <c r="D272" s="153" t="s">
        <v>357</v>
      </c>
      <c r="E272" s="154">
        <v>45952.0</v>
      </c>
      <c r="F272" s="154">
        <v>45953.0</v>
      </c>
      <c r="G272" s="154"/>
      <c r="H272" s="154"/>
      <c r="I272" s="155"/>
      <c r="J272" s="156"/>
      <c r="K272" s="157"/>
      <c r="L272" s="157"/>
      <c r="M272" s="158"/>
      <c r="N272" s="17"/>
      <c r="P272" s="116"/>
      <c r="Q272" s="79"/>
      <c r="R272" s="79"/>
    </row>
    <row r="273" ht="22.5" customHeight="1">
      <c r="A273" s="150">
        <v>9.0</v>
      </c>
      <c r="B273" s="151" t="s">
        <v>349</v>
      </c>
      <c r="C273" s="152"/>
      <c r="D273" s="153" t="s">
        <v>358</v>
      </c>
      <c r="E273" s="154">
        <v>45952.0</v>
      </c>
      <c r="F273" s="154">
        <v>45953.0</v>
      </c>
      <c r="G273" s="154"/>
      <c r="H273" s="154"/>
      <c r="I273" s="155"/>
      <c r="J273" s="156"/>
      <c r="K273" s="157"/>
      <c r="L273" s="157"/>
      <c r="M273" s="158"/>
      <c r="N273" s="17"/>
      <c r="P273" s="116"/>
      <c r="Q273" s="79"/>
      <c r="R273" s="79"/>
    </row>
    <row r="274" ht="22.5" customHeight="1">
      <c r="A274" s="150">
        <v>9.0</v>
      </c>
      <c r="B274" s="151" t="s">
        <v>349</v>
      </c>
      <c r="C274" s="152"/>
      <c r="D274" s="153" t="s">
        <v>359</v>
      </c>
      <c r="E274" s="154">
        <v>45952.0</v>
      </c>
      <c r="F274" s="154">
        <v>45953.0</v>
      </c>
      <c r="G274" s="154"/>
      <c r="H274" s="154"/>
      <c r="I274" s="155"/>
      <c r="J274" s="156"/>
      <c r="K274" s="157"/>
      <c r="L274" s="157"/>
      <c r="M274" s="158"/>
      <c r="N274" s="17"/>
      <c r="P274" s="116"/>
      <c r="Q274" s="79"/>
      <c r="R274" s="79"/>
    </row>
    <row r="275" ht="22.5" customHeight="1">
      <c r="A275" s="125">
        <v>16.0</v>
      </c>
      <c r="B275" s="71" t="s">
        <v>179</v>
      </c>
      <c r="C275" s="126"/>
      <c r="D275" s="127" t="s">
        <v>360</v>
      </c>
      <c r="E275" s="128">
        <v>45959.0</v>
      </c>
      <c r="F275" s="128">
        <v>45960.0</v>
      </c>
      <c r="G275" s="128"/>
      <c r="H275" s="128"/>
      <c r="I275" s="129"/>
      <c r="J275" s="130"/>
      <c r="K275" s="131"/>
      <c r="L275" s="131"/>
      <c r="M275" s="132"/>
      <c r="N275" s="17"/>
      <c r="P275" s="116"/>
      <c r="Q275" s="79"/>
      <c r="R275" s="79"/>
    </row>
    <row r="276" ht="22.5" customHeight="1">
      <c r="A276" s="125">
        <v>16.0</v>
      </c>
      <c r="B276" s="71" t="s">
        <v>179</v>
      </c>
      <c r="C276" s="126"/>
      <c r="D276" s="127" t="s">
        <v>361</v>
      </c>
      <c r="E276" s="128">
        <v>45959.0</v>
      </c>
      <c r="F276" s="128">
        <v>45960.0</v>
      </c>
      <c r="G276" s="128"/>
      <c r="H276" s="128"/>
      <c r="I276" s="129"/>
      <c r="J276" s="130"/>
      <c r="K276" s="131"/>
      <c r="L276" s="131"/>
      <c r="M276" s="132"/>
      <c r="N276" s="17"/>
      <c r="P276" s="116"/>
      <c r="Q276" s="79"/>
      <c r="R276" s="79"/>
    </row>
    <row r="277" ht="22.5" customHeight="1">
      <c r="A277" s="125">
        <v>16.0</v>
      </c>
      <c r="B277" s="71" t="s">
        <v>179</v>
      </c>
      <c r="C277" s="126"/>
      <c r="D277" s="127" t="s">
        <v>362</v>
      </c>
      <c r="E277" s="128">
        <v>45959.0</v>
      </c>
      <c r="F277" s="128">
        <v>45960.0</v>
      </c>
      <c r="G277" s="128"/>
      <c r="H277" s="128"/>
      <c r="I277" s="129"/>
      <c r="J277" s="130"/>
      <c r="K277" s="131"/>
      <c r="L277" s="131"/>
      <c r="M277" s="132"/>
      <c r="N277" s="17"/>
      <c r="P277" s="116"/>
      <c r="Q277" s="79"/>
      <c r="R277" s="79"/>
    </row>
    <row r="278" ht="22.5" customHeight="1">
      <c r="A278" s="125">
        <v>16.0</v>
      </c>
      <c r="B278" s="71" t="s">
        <v>179</v>
      </c>
      <c r="C278" s="126"/>
      <c r="D278" s="127" t="s">
        <v>363</v>
      </c>
      <c r="E278" s="128">
        <v>45959.0</v>
      </c>
      <c r="F278" s="128">
        <v>45960.0</v>
      </c>
      <c r="G278" s="128"/>
      <c r="H278" s="128"/>
      <c r="I278" s="129"/>
      <c r="J278" s="130"/>
      <c r="K278" s="131"/>
      <c r="L278" s="131"/>
      <c r="M278" s="132"/>
      <c r="N278" s="17"/>
      <c r="P278" s="116"/>
      <c r="Q278" s="79"/>
      <c r="R278" s="79"/>
    </row>
    <row r="279" ht="22.5" customHeight="1">
      <c r="A279" s="125">
        <v>16.0</v>
      </c>
      <c r="B279" s="71" t="s">
        <v>179</v>
      </c>
      <c r="C279" s="126"/>
      <c r="D279" s="127" t="s">
        <v>364</v>
      </c>
      <c r="E279" s="128">
        <v>45959.0</v>
      </c>
      <c r="F279" s="128">
        <v>45960.0</v>
      </c>
      <c r="G279" s="128"/>
      <c r="H279" s="128"/>
      <c r="I279" s="129"/>
      <c r="J279" s="130"/>
      <c r="K279" s="131"/>
      <c r="L279" s="131"/>
      <c r="M279" s="132"/>
      <c r="N279" s="17"/>
      <c r="P279" s="116"/>
      <c r="Q279" s="79"/>
      <c r="R279" s="79"/>
    </row>
    <row r="280" ht="22.5" customHeight="1">
      <c r="A280" s="125">
        <v>16.0</v>
      </c>
      <c r="B280" s="71" t="s">
        <v>179</v>
      </c>
      <c r="C280" s="126"/>
      <c r="D280" s="127" t="s">
        <v>365</v>
      </c>
      <c r="E280" s="128">
        <v>45959.0</v>
      </c>
      <c r="F280" s="128">
        <v>45960.0</v>
      </c>
      <c r="G280" s="128"/>
      <c r="H280" s="128"/>
      <c r="I280" s="129"/>
      <c r="J280" s="130"/>
      <c r="K280" s="131"/>
      <c r="L280" s="131"/>
      <c r="M280" s="132"/>
      <c r="N280" s="17"/>
      <c r="P280" s="116"/>
      <c r="Q280" s="79"/>
      <c r="R280" s="79"/>
    </row>
    <row r="281" ht="22.5" customHeight="1">
      <c r="A281" s="125">
        <v>16.0</v>
      </c>
      <c r="B281" s="71" t="s">
        <v>179</v>
      </c>
      <c r="C281" s="126"/>
      <c r="D281" s="127" t="s">
        <v>366</v>
      </c>
      <c r="E281" s="128">
        <v>45959.0</v>
      </c>
      <c r="F281" s="128">
        <v>45960.0</v>
      </c>
      <c r="G281" s="128"/>
      <c r="H281" s="128"/>
      <c r="I281" s="129"/>
      <c r="J281" s="130"/>
      <c r="K281" s="131"/>
      <c r="L281" s="131"/>
      <c r="M281" s="132"/>
      <c r="N281" s="17"/>
      <c r="P281" s="116"/>
      <c r="Q281" s="79"/>
      <c r="R281" s="79"/>
    </row>
    <row r="282" ht="22.5" customHeight="1">
      <c r="A282" s="125">
        <v>16.0</v>
      </c>
      <c r="B282" s="71" t="s">
        <v>179</v>
      </c>
      <c r="C282" s="126"/>
      <c r="D282" s="127" t="s">
        <v>367</v>
      </c>
      <c r="E282" s="128">
        <v>45959.0</v>
      </c>
      <c r="F282" s="128">
        <v>45960.0</v>
      </c>
      <c r="G282" s="128"/>
      <c r="H282" s="128"/>
      <c r="I282" s="129"/>
      <c r="J282" s="130"/>
      <c r="K282" s="131"/>
      <c r="L282" s="131"/>
      <c r="M282" s="132"/>
      <c r="N282" s="17"/>
      <c r="P282" s="116"/>
      <c r="Q282" s="79"/>
      <c r="R282" s="79"/>
    </row>
    <row r="283" ht="22.5" customHeight="1">
      <c r="A283" s="125">
        <v>16.0</v>
      </c>
      <c r="B283" s="71" t="s">
        <v>179</v>
      </c>
      <c r="C283" s="126"/>
      <c r="D283" s="127" t="s">
        <v>368</v>
      </c>
      <c r="E283" s="128">
        <v>45959.0</v>
      </c>
      <c r="F283" s="128">
        <v>45960.0</v>
      </c>
      <c r="G283" s="128"/>
      <c r="H283" s="128"/>
      <c r="I283" s="129"/>
      <c r="J283" s="130"/>
      <c r="K283" s="131"/>
      <c r="L283" s="131"/>
      <c r="M283" s="132"/>
      <c r="N283" s="17"/>
      <c r="P283" s="116"/>
      <c r="Q283" s="79"/>
      <c r="R283" s="79"/>
    </row>
    <row r="284" ht="22.5" customHeight="1">
      <c r="A284" s="125">
        <v>16.0</v>
      </c>
      <c r="B284" s="71" t="s">
        <v>179</v>
      </c>
      <c r="C284" s="126"/>
      <c r="D284" s="127" t="s">
        <v>369</v>
      </c>
      <c r="E284" s="128">
        <v>45959.0</v>
      </c>
      <c r="F284" s="128">
        <v>45960.0</v>
      </c>
      <c r="G284" s="128"/>
      <c r="H284" s="128"/>
      <c r="I284" s="129"/>
      <c r="J284" s="130"/>
      <c r="K284" s="131"/>
      <c r="L284" s="131"/>
      <c r="M284" s="132"/>
      <c r="N284" s="17"/>
      <c r="P284" s="116"/>
      <c r="Q284" s="79"/>
      <c r="R284" s="79"/>
    </row>
    <row r="285" ht="22.5" customHeight="1">
      <c r="A285" s="125">
        <v>16.0</v>
      </c>
      <c r="B285" s="71" t="s">
        <v>179</v>
      </c>
      <c r="C285" s="126"/>
      <c r="D285" s="127" t="s">
        <v>370</v>
      </c>
      <c r="E285" s="128">
        <v>45959.0</v>
      </c>
      <c r="F285" s="128">
        <v>45960.0</v>
      </c>
      <c r="G285" s="128"/>
      <c r="H285" s="128"/>
      <c r="I285" s="129"/>
      <c r="J285" s="130"/>
      <c r="K285" s="131"/>
      <c r="L285" s="131"/>
      <c r="M285" s="132"/>
      <c r="N285" s="17"/>
      <c r="P285" s="116"/>
      <c r="Q285" s="79"/>
      <c r="R285" s="79"/>
    </row>
    <row r="286" ht="22.5" customHeight="1">
      <c r="A286" s="125">
        <v>16.0</v>
      </c>
      <c r="B286" s="71" t="s">
        <v>179</v>
      </c>
      <c r="C286" s="126"/>
      <c r="D286" s="127" t="s">
        <v>371</v>
      </c>
      <c r="E286" s="128">
        <v>45959.0</v>
      </c>
      <c r="F286" s="128">
        <v>45960.0</v>
      </c>
      <c r="G286" s="128"/>
      <c r="H286" s="128"/>
      <c r="I286" s="129"/>
      <c r="J286" s="130"/>
      <c r="K286" s="131"/>
      <c r="L286" s="131"/>
      <c r="M286" s="132"/>
      <c r="N286" s="17"/>
      <c r="P286" s="116"/>
      <c r="Q286" s="79"/>
      <c r="R286" s="79"/>
    </row>
    <row r="287" ht="22.5" customHeight="1">
      <c r="A287" s="125">
        <v>16.0</v>
      </c>
      <c r="B287" s="71" t="s">
        <v>179</v>
      </c>
      <c r="C287" s="126"/>
      <c r="D287" s="127" t="s">
        <v>372</v>
      </c>
      <c r="E287" s="128">
        <v>45959.0</v>
      </c>
      <c r="F287" s="128">
        <v>45960.0</v>
      </c>
      <c r="G287" s="128"/>
      <c r="H287" s="128"/>
      <c r="I287" s="129"/>
      <c r="J287" s="130"/>
      <c r="K287" s="131"/>
      <c r="L287" s="131"/>
      <c r="M287" s="132"/>
      <c r="N287" s="17"/>
      <c r="P287" s="116"/>
      <c r="Q287" s="79"/>
      <c r="R287" s="79"/>
    </row>
    <row r="288" ht="22.5" customHeight="1">
      <c r="A288" s="125">
        <v>16.0</v>
      </c>
      <c r="B288" s="71" t="s">
        <v>179</v>
      </c>
      <c r="C288" s="126"/>
      <c r="D288" s="127" t="s">
        <v>373</v>
      </c>
      <c r="E288" s="128">
        <v>45959.0</v>
      </c>
      <c r="F288" s="128">
        <v>45960.0</v>
      </c>
      <c r="G288" s="128"/>
      <c r="H288" s="128"/>
      <c r="I288" s="129"/>
      <c r="J288" s="130"/>
      <c r="K288" s="131"/>
      <c r="L288" s="131"/>
      <c r="M288" s="132"/>
      <c r="N288" s="17"/>
      <c r="P288" s="116"/>
      <c r="Q288" s="79"/>
      <c r="R288" s="79"/>
    </row>
    <row r="289" ht="22.5" customHeight="1">
      <c r="A289" s="125">
        <v>16.0</v>
      </c>
      <c r="B289" s="71" t="s">
        <v>179</v>
      </c>
      <c r="C289" s="126"/>
      <c r="D289" s="127" t="s">
        <v>374</v>
      </c>
      <c r="E289" s="128">
        <v>45959.0</v>
      </c>
      <c r="F289" s="128">
        <v>45960.0</v>
      </c>
      <c r="G289" s="128"/>
      <c r="H289" s="128"/>
      <c r="I289" s="129"/>
      <c r="J289" s="130"/>
      <c r="K289" s="131"/>
      <c r="L289" s="131"/>
      <c r="M289" s="132"/>
      <c r="N289" s="17"/>
      <c r="P289" s="116"/>
      <c r="Q289" s="79"/>
      <c r="R289" s="79"/>
    </row>
    <row r="290" ht="22.5" customHeight="1">
      <c r="A290" s="125">
        <v>16.0</v>
      </c>
      <c r="B290" s="71" t="s">
        <v>179</v>
      </c>
      <c r="C290" s="126"/>
      <c r="D290" s="127" t="s">
        <v>375</v>
      </c>
      <c r="E290" s="128">
        <v>45959.0</v>
      </c>
      <c r="F290" s="128">
        <v>45960.0</v>
      </c>
      <c r="G290" s="128"/>
      <c r="H290" s="128"/>
      <c r="I290" s="129"/>
      <c r="J290" s="130"/>
      <c r="K290" s="131"/>
      <c r="L290" s="131"/>
      <c r="M290" s="132"/>
      <c r="N290" s="17"/>
      <c r="P290" s="116"/>
      <c r="Q290" s="79"/>
      <c r="R290" s="79"/>
    </row>
    <row r="291" ht="22.5" customHeight="1">
      <c r="A291" s="125">
        <v>16.0</v>
      </c>
      <c r="B291" s="71" t="s">
        <v>179</v>
      </c>
      <c r="C291" s="126"/>
      <c r="D291" s="127" t="s">
        <v>376</v>
      </c>
      <c r="E291" s="128">
        <v>45959.0</v>
      </c>
      <c r="F291" s="128">
        <v>45960.0</v>
      </c>
      <c r="G291" s="128"/>
      <c r="H291" s="128"/>
      <c r="I291" s="129"/>
      <c r="J291" s="130"/>
      <c r="K291" s="131"/>
      <c r="L291" s="131"/>
      <c r="M291" s="132"/>
      <c r="N291" s="17"/>
      <c r="P291" s="116"/>
      <c r="Q291" s="79"/>
      <c r="R291" s="79"/>
    </row>
    <row r="292" ht="22.5" customHeight="1">
      <c r="A292" s="125">
        <v>16.0</v>
      </c>
      <c r="B292" s="71" t="s">
        <v>179</v>
      </c>
      <c r="C292" s="126"/>
      <c r="D292" s="127" t="s">
        <v>377</v>
      </c>
      <c r="E292" s="128">
        <v>45959.0</v>
      </c>
      <c r="F292" s="128">
        <v>45960.0</v>
      </c>
      <c r="G292" s="128"/>
      <c r="H292" s="128"/>
      <c r="I292" s="129"/>
      <c r="J292" s="130"/>
      <c r="K292" s="131"/>
      <c r="L292" s="131"/>
      <c r="M292" s="132"/>
      <c r="N292" s="17"/>
      <c r="P292" s="116"/>
      <c r="Q292" s="79"/>
      <c r="R292" s="79"/>
    </row>
    <row r="293" ht="22.5" customHeight="1">
      <c r="A293" s="125">
        <v>16.0</v>
      </c>
      <c r="B293" s="71" t="s">
        <v>179</v>
      </c>
      <c r="C293" s="126"/>
      <c r="D293" s="127" t="s">
        <v>378</v>
      </c>
      <c r="E293" s="128">
        <v>45959.0</v>
      </c>
      <c r="F293" s="128">
        <v>45960.0</v>
      </c>
      <c r="G293" s="128"/>
      <c r="H293" s="128"/>
      <c r="I293" s="129"/>
      <c r="J293" s="130"/>
      <c r="K293" s="131"/>
      <c r="L293" s="131"/>
      <c r="M293" s="132"/>
      <c r="N293" s="17"/>
      <c r="P293" s="116"/>
      <c r="Q293" s="79"/>
      <c r="R293" s="79"/>
    </row>
    <row r="294" ht="22.5" customHeight="1">
      <c r="A294" s="125">
        <v>16.0</v>
      </c>
      <c r="B294" s="71" t="s">
        <v>179</v>
      </c>
      <c r="C294" s="126"/>
      <c r="D294" s="127" t="s">
        <v>379</v>
      </c>
      <c r="E294" s="128">
        <v>45959.0</v>
      </c>
      <c r="F294" s="128">
        <v>45960.0</v>
      </c>
      <c r="G294" s="128"/>
      <c r="H294" s="128"/>
      <c r="I294" s="129"/>
      <c r="J294" s="130"/>
      <c r="K294" s="131"/>
      <c r="L294" s="131"/>
      <c r="M294" s="132"/>
      <c r="N294" s="17"/>
      <c r="P294" s="116"/>
      <c r="Q294" s="79"/>
      <c r="R294" s="79"/>
    </row>
    <row r="295" ht="22.5" customHeight="1">
      <c r="A295" s="125">
        <v>16.0</v>
      </c>
      <c r="B295" s="71" t="s">
        <v>179</v>
      </c>
      <c r="C295" s="126"/>
      <c r="D295" s="127" t="s">
        <v>380</v>
      </c>
      <c r="E295" s="128">
        <v>45959.0</v>
      </c>
      <c r="F295" s="128">
        <v>45960.0</v>
      </c>
      <c r="G295" s="128"/>
      <c r="H295" s="128"/>
      <c r="I295" s="129"/>
      <c r="J295" s="130"/>
      <c r="K295" s="131"/>
      <c r="L295" s="131"/>
      <c r="M295" s="132"/>
      <c r="N295" s="17"/>
      <c r="P295" s="116"/>
      <c r="Q295" s="79"/>
      <c r="R295" s="79"/>
    </row>
    <row r="296" ht="22.5" customHeight="1">
      <c r="A296" s="125">
        <v>16.0</v>
      </c>
      <c r="B296" s="71" t="s">
        <v>179</v>
      </c>
      <c r="C296" s="126"/>
      <c r="D296" s="127" t="s">
        <v>381</v>
      </c>
      <c r="E296" s="128">
        <v>45959.0</v>
      </c>
      <c r="F296" s="128">
        <v>45960.0</v>
      </c>
      <c r="G296" s="128"/>
      <c r="H296" s="128"/>
      <c r="I296" s="129"/>
      <c r="J296" s="130"/>
      <c r="K296" s="131"/>
      <c r="L296" s="131"/>
      <c r="M296" s="132"/>
      <c r="N296" s="17"/>
      <c r="P296" s="116"/>
      <c r="Q296" s="79"/>
      <c r="R296" s="79"/>
    </row>
    <row r="297" ht="22.5" customHeight="1">
      <c r="A297" s="125">
        <v>16.0</v>
      </c>
      <c r="B297" s="71" t="s">
        <v>179</v>
      </c>
      <c r="C297" s="126"/>
      <c r="D297" s="127" t="s">
        <v>382</v>
      </c>
      <c r="E297" s="128">
        <v>45959.0</v>
      </c>
      <c r="F297" s="128">
        <v>45960.0</v>
      </c>
      <c r="G297" s="128"/>
      <c r="H297" s="128"/>
      <c r="I297" s="129"/>
      <c r="J297" s="130"/>
      <c r="K297" s="131"/>
      <c r="L297" s="131"/>
      <c r="M297" s="132"/>
      <c r="N297" s="17"/>
      <c r="P297" s="116"/>
      <c r="Q297" s="79"/>
      <c r="R297" s="79"/>
    </row>
    <row r="298" ht="22.5" customHeight="1">
      <c r="A298" s="125">
        <v>16.0</v>
      </c>
      <c r="B298" s="71" t="s">
        <v>179</v>
      </c>
      <c r="C298" s="126"/>
      <c r="D298" s="127" t="s">
        <v>383</v>
      </c>
      <c r="E298" s="128">
        <v>45959.0</v>
      </c>
      <c r="F298" s="128">
        <v>45960.0</v>
      </c>
      <c r="G298" s="128"/>
      <c r="H298" s="128"/>
      <c r="I298" s="129"/>
      <c r="J298" s="130"/>
      <c r="K298" s="131"/>
      <c r="L298" s="131"/>
      <c r="M298" s="132"/>
      <c r="N298" s="17"/>
      <c r="P298" s="116"/>
      <c r="Q298" s="79"/>
      <c r="R298" s="79"/>
    </row>
    <row r="299" ht="22.5" customHeight="1">
      <c r="A299" s="125">
        <v>16.0</v>
      </c>
      <c r="B299" s="71" t="s">
        <v>179</v>
      </c>
      <c r="C299" s="126"/>
      <c r="D299" s="127" t="s">
        <v>384</v>
      </c>
      <c r="E299" s="128">
        <v>45959.0</v>
      </c>
      <c r="F299" s="128">
        <v>45960.0</v>
      </c>
      <c r="G299" s="128"/>
      <c r="H299" s="128"/>
      <c r="I299" s="129"/>
      <c r="J299" s="130"/>
      <c r="K299" s="131"/>
      <c r="L299" s="131"/>
      <c r="M299" s="132"/>
      <c r="N299" s="17"/>
      <c r="P299" s="116"/>
      <c r="Q299" s="79"/>
      <c r="R299" s="79"/>
    </row>
    <row r="300" ht="22.5" customHeight="1">
      <c r="A300" s="125">
        <v>16.0</v>
      </c>
      <c r="B300" s="71" t="s">
        <v>179</v>
      </c>
      <c r="C300" s="126"/>
      <c r="D300" s="127" t="s">
        <v>385</v>
      </c>
      <c r="E300" s="128">
        <v>45959.0</v>
      </c>
      <c r="F300" s="128">
        <v>45960.0</v>
      </c>
      <c r="G300" s="128"/>
      <c r="H300" s="128"/>
      <c r="I300" s="129"/>
      <c r="J300" s="130"/>
      <c r="K300" s="131"/>
      <c r="L300" s="131"/>
      <c r="M300" s="132"/>
      <c r="N300" s="17"/>
      <c r="P300" s="116"/>
      <c r="Q300" s="79"/>
      <c r="R300" s="79"/>
    </row>
    <row r="301" ht="22.5" customHeight="1">
      <c r="A301" s="125">
        <v>16.0</v>
      </c>
      <c r="B301" s="71" t="s">
        <v>179</v>
      </c>
      <c r="C301" s="126"/>
      <c r="D301" s="127" t="s">
        <v>386</v>
      </c>
      <c r="E301" s="128">
        <v>45959.0</v>
      </c>
      <c r="F301" s="128">
        <v>45960.0</v>
      </c>
      <c r="G301" s="128"/>
      <c r="H301" s="128"/>
      <c r="I301" s="129"/>
      <c r="J301" s="130"/>
      <c r="K301" s="131"/>
      <c r="L301" s="131"/>
      <c r="M301" s="132"/>
      <c r="N301" s="17"/>
      <c r="P301" s="116"/>
      <c r="Q301" s="79"/>
      <c r="R301" s="79"/>
    </row>
    <row r="302" ht="22.5" customHeight="1">
      <c r="A302" s="125">
        <v>16.0</v>
      </c>
      <c r="B302" s="71" t="s">
        <v>179</v>
      </c>
      <c r="C302" s="126"/>
      <c r="D302" s="127" t="s">
        <v>387</v>
      </c>
      <c r="E302" s="128">
        <v>45959.0</v>
      </c>
      <c r="F302" s="128">
        <v>45960.0</v>
      </c>
      <c r="G302" s="128"/>
      <c r="H302" s="128"/>
      <c r="I302" s="129"/>
      <c r="J302" s="130"/>
      <c r="K302" s="131"/>
      <c r="L302" s="131"/>
      <c r="M302" s="132"/>
      <c r="N302" s="17"/>
      <c r="P302" s="116"/>
      <c r="Q302" s="79"/>
      <c r="R302" s="79"/>
    </row>
    <row r="303" ht="22.5" customHeight="1">
      <c r="A303" s="125">
        <v>16.0</v>
      </c>
      <c r="B303" s="71" t="s">
        <v>179</v>
      </c>
      <c r="C303" s="126"/>
      <c r="D303" s="127" t="s">
        <v>388</v>
      </c>
      <c r="E303" s="128">
        <v>45959.0</v>
      </c>
      <c r="F303" s="128">
        <v>45960.0</v>
      </c>
      <c r="G303" s="128"/>
      <c r="H303" s="128"/>
      <c r="I303" s="129"/>
      <c r="J303" s="130"/>
      <c r="K303" s="131"/>
      <c r="L303" s="131"/>
      <c r="M303" s="132"/>
      <c r="N303" s="17"/>
      <c r="P303" s="116"/>
      <c r="Q303" s="79"/>
      <c r="R303" s="79"/>
    </row>
    <row r="304" ht="22.5" customHeight="1">
      <c r="A304" s="125">
        <v>16.0</v>
      </c>
      <c r="B304" s="71" t="s">
        <v>179</v>
      </c>
      <c r="C304" s="126"/>
      <c r="D304" s="127" t="s">
        <v>389</v>
      </c>
      <c r="E304" s="128">
        <v>45959.0</v>
      </c>
      <c r="F304" s="128">
        <v>45960.0</v>
      </c>
      <c r="G304" s="128"/>
      <c r="H304" s="128"/>
      <c r="I304" s="129"/>
      <c r="J304" s="130"/>
      <c r="K304" s="131"/>
      <c r="L304" s="131"/>
      <c r="M304" s="132"/>
      <c r="N304" s="17"/>
      <c r="P304" s="116"/>
      <c r="Q304" s="79"/>
      <c r="R304" s="79"/>
    </row>
    <row r="305" ht="22.5" customHeight="1">
      <c r="A305" s="125">
        <v>16.0</v>
      </c>
      <c r="B305" s="71" t="s">
        <v>179</v>
      </c>
      <c r="C305" s="126"/>
      <c r="D305" s="127" t="s">
        <v>390</v>
      </c>
      <c r="E305" s="128">
        <v>45959.0</v>
      </c>
      <c r="F305" s="128">
        <v>45960.0</v>
      </c>
      <c r="G305" s="128"/>
      <c r="H305" s="128"/>
      <c r="I305" s="129"/>
      <c r="J305" s="130"/>
      <c r="K305" s="131"/>
      <c r="L305" s="131"/>
      <c r="M305" s="132"/>
      <c r="N305" s="17"/>
      <c r="P305" s="116"/>
      <c r="Q305" s="79"/>
      <c r="R305" s="79"/>
    </row>
    <row r="306" ht="22.5" customHeight="1">
      <c r="A306" s="125">
        <v>16.0</v>
      </c>
      <c r="B306" s="71" t="s">
        <v>179</v>
      </c>
      <c r="C306" s="126"/>
      <c r="D306" s="127" t="s">
        <v>391</v>
      </c>
      <c r="E306" s="128">
        <v>45959.0</v>
      </c>
      <c r="F306" s="128">
        <v>45960.0</v>
      </c>
      <c r="G306" s="128"/>
      <c r="H306" s="128"/>
      <c r="I306" s="129"/>
      <c r="J306" s="130"/>
      <c r="K306" s="131"/>
      <c r="L306" s="131"/>
      <c r="M306" s="132"/>
      <c r="N306" s="17"/>
      <c r="P306" s="116"/>
      <c r="Q306" s="79"/>
      <c r="R306" s="79"/>
    </row>
    <row r="307" ht="22.5" customHeight="1">
      <c r="A307" s="125">
        <v>16.0</v>
      </c>
      <c r="B307" s="71" t="s">
        <v>179</v>
      </c>
      <c r="C307" s="126"/>
      <c r="D307" s="127" t="s">
        <v>392</v>
      </c>
      <c r="E307" s="128">
        <v>45959.0</v>
      </c>
      <c r="F307" s="128">
        <v>45960.0</v>
      </c>
      <c r="G307" s="128"/>
      <c r="H307" s="128"/>
      <c r="I307" s="129"/>
      <c r="J307" s="130"/>
      <c r="K307" s="131"/>
      <c r="L307" s="131"/>
      <c r="M307" s="132"/>
      <c r="N307" s="17"/>
      <c r="P307" s="116"/>
      <c r="Q307" s="79"/>
      <c r="R307" s="79"/>
    </row>
    <row r="308" ht="22.5" customHeight="1">
      <c r="A308" s="125">
        <v>16.0</v>
      </c>
      <c r="B308" s="71" t="s">
        <v>179</v>
      </c>
      <c r="C308" s="126"/>
      <c r="D308" s="127" t="s">
        <v>393</v>
      </c>
      <c r="E308" s="128">
        <v>45959.0</v>
      </c>
      <c r="F308" s="128">
        <v>45960.0</v>
      </c>
      <c r="G308" s="128"/>
      <c r="H308" s="128"/>
      <c r="I308" s="129"/>
      <c r="J308" s="130"/>
      <c r="K308" s="131"/>
      <c r="L308" s="131"/>
      <c r="M308" s="132"/>
      <c r="N308" s="17"/>
      <c r="P308" s="116"/>
      <c r="Q308" s="79"/>
      <c r="R308" s="79"/>
    </row>
    <row r="309" ht="22.5" customHeight="1">
      <c r="A309" s="125">
        <v>16.0</v>
      </c>
      <c r="B309" s="71" t="s">
        <v>179</v>
      </c>
      <c r="C309" s="126"/>
      <c r="D309" s="127" t="s">
        <v>394</v>
      </c>
      <c r="E309" s="128">
        <v>45959.0</v>
      </c>
      <c r="F309" s="128">
        <v>45960.0</v>
      </c>
      <c r="G309" s="128"/>
      <c r="H309" s="128"/>
      <c r="I309" s="129"/>
      <c r="J309" s="130"/>
      <c r="K309" s="131"/>
      <c r="L309" s="131"/>
      <c r="M309" s="132"/>
      <c r="N309" s="17"/>
      <c r="P309" s="116"/>
      <c r="Q309" s="79"/>
      <c r="R309" s="79"/>
    </row>
    <row r="310" ht="22.5" customHeight="1">
      <c r="A310" s="125">
        <v>16.0</v>
      </c>
      <c r="B310" s="71" t="s">
        <v>179</v>
      </c>
      <c r="C310" s="126"/>
      <c r="D310" s="127" t="s">
        <v>395</v>
      </c>
      <c r="E310" s="128">
        <v>45959.0</v>
      </c>
      <c r="F310" s="128">
        <v>45960.0</v>
      </c>
      <c r="G310" s="128"/>
      <c r="H310" s="128"/>
      <c r="I310" s="129"/>
      <c r="J310" s="130"/>
      <c r="K310" s="131"/>
      <c r="L310" s="131"/>
      <c r="M310" s="132"/>
      <c r="N310" s="17"/>
      <c r="P310" s="116"/>
      <c r="Q310" s="79"/>
      <c r="R310" s="79"/>
    </row>
    <row r="311" ht="22.5" customHeight="1">
      <c r="A311" s="125">
        <v>16.0</v>
      </c>
      <c r="B311" s="71" t="s">
        <v>179</v>
      </c>
      <c r="C311" s="126"/>
      <c r="D311" s="127" t="s">
        <v>396</v>
      </c>
      <c r="E311" s="128">
        <v>45959.0</v>
      </c>
      <c r="F311" s="128">
        <v>45960.0</v>
      </c>
      <c r="G311" s="128"/>
      <c r="H311" s="128"/>
      <c r="I311" s="129"/>
      <c r="J311" s="130"/>
      <c r="K311" s="131"/>
      <c r="L311" s="131"/>
      <c r="M311" s="132"/>
      <c r="N311" s="17"/>
      <c r="P311" s="116"/>
      <c r="Q311" s="79"/>
      <c r="R311" s="79"/>
    </row>
    <row r="312" ht="22.5" customHeight="1">
      <c r="A312" s="125">
        <v>16.0</v>
      </c>
      <c r="B312" s="71" t="s">
        <v>179</v>
      </c>
      <c r="C312" s="126"/>
      <c r="D312" s="127" t="s">
        <v>397</v>
      </c>
      <c r="E312" s="128">
        <v>45959.0</v>
      </c>
      <c r="F312" s="128">
        <v>45960.0</v>
      </c>
      <c r="G312" s="128"/>
      <c r="H312" s="128"/>
      <c r="I312" s="129"/>
      <c r="J312" s="130"/>
      <c r="K312" s="131"/>
      <c r="L312" s="131"/>
      <c r="M312" s="132"/>
      <c r="N312" s="17"/>
      <c r="P312" s="116"/>
      <c r="Q312" s="79"/>
      <c r="R312" s="79"/>
    </row>
    <row r="313" ht="22.5" customHeight="1">
      <c r="A313" s="125">
        <v>16.0</v>
      </c>
      <c r="B313" s="71" t="s">
        <v>179</v>
      </c>
      <c r="C313" s="126"/>
      <c r="D313" s="127" t="s">
        <v>398</v>
      </c>
      <c r="E313" s="128">
        <v>45959.0</v>
      </c>
      <c r="F313" s="128">
        <v>45960.0</v>
      </c>
      <c r="G313" s="128"/>
      <c r="H313" s="128"/>
      <c r="I313" s="129"/>
      <c r="J313" s="130"/>
      <c r="K313" s="131"/>
      <c r="L313" s="131"/>
      <c r="M313" s="132"/>
      <c r="N313" s="17"/>
      <c r="P313" s="116"/>
      <c r="Q313" s="79"/>
      <c r="R313" s="79"/>
    </row>
    <row r="314" ht="22.5" customHeight="1">
      <c r="A314" s="125">
        <v>16.0</v>
      </c>
      <c r="B314" s="71" t="s">
        <v>179</v>
      </c>
      <c r="C314" s="126"/>
      <c r="D314" s="127" t="s">
        <v>399</v>
      </c>
      <c r="E314" s="128">
        <v>45959.0</v>
      </c>
      <c r="F314" s="128">
        <v>45960.0</v>
      </c>
      <c r="G314" s="128"/>
      <c r="H314" s="128"/>
      <c r="I314" s="129"/>
      <c r="J314" s="130"/>
      <c r="K314" s="131"/>
      <c r="L314" s="131"/>
      <c r="M314" s="132"/>
      <c r="N314" s="17"/>
      <c r="P314" s="116"/>
      <c r="Q314" s="79"/>
      <c r="R314" s="79"/>
    </row>
    <row r="315" ht="22.5" customHeight="1">
      <c r="A315" s="125">
        <v>16.0</v>
      </c>
      <c r="B315" s="71" t="s">
        <v>179</v>
      </c>
      <c r="C315" s="126"/>
      <c r="D315" s="127" t="s">
        <v>400</v>
      </c>
      <c r="E315" s="128">
        <v>45959.0</v>
      </c>
      <c r="F315" s="128">
        <v>45960.0</v>
      </c>
      <c r="G315" s="128"/>
      <c r="H315" s="128"/>
      <c r="I315" s="129"/>
      <c r="J315" s="130"/>
      <c r="K315" s="131"/>
      <c r="L315" s="131"/>
      <c r="M315" s="132"/>
      <c r="N315" s="17"/>
      <c r="P315" s="116"/>
      <c r="Q315" s="79"/>
      <c r="R315" s="79"/>
    </row>
    <row r="316" ht="22.5" customHeight="1">
      <c r="A316" s="125">
        <v>16.0</v>
      </c>
      <c r="B316" s="71" t="s">
        <v>179</v>
      </c>
      <c r="C316" s="126"/>
      <c r="D316" s="127" t="s">
        <v>401</v>
      </c>
      <c r="E316" s="128">
        <v>45959.0</v>
      </c>
      <c r="F316" s="128">
        <v>45960.0</v>
      </c>
      <c r="G316" s="128"/>
      <c r="H316" s="128"/>
      <c r="I316" s="129"/>
      <c r="J316" s="130"/>
      <c r="K316" s="131"/>
      <c r="L316" s="131"/>
      <c r="M316" s="132"/>
      <c r="N316" s="17"/>
      <c r="P316" s="116"/>
      <c r="Q316" s="79"/>
      <c r="R316" s="79"/>
    </row>
    <row r="317" ht="22.5" customHeight="1">
      <c r="A317" s="125">
        <v>16.0</v>
      </c>
      <c r="B317" s="71" t="s">
        <v>179</v>
      </c>
      <c r="C317" s="126"/>
      <c r="D317" s="127" t="s">
        <v>402</v>
      </c>
      <c r="E317" s="128">
        <v>45959.0</v>
      </c>
      <c r="F317" s="128">
        <v>45960.0</v>
      </c>
      <c r="G317" s="128"/>
      <c r="H317" s="128"/>
      <c r="I317" s="129"/>
      <c r="J317" s="130"/>
      <c r="K317" s="131"/>
      <c r="L317" s="131"/>
      <c r="M317" s="132"/>
      <c r="N317" s="17"/>
      <c r="P317" s="116"/>
      <c r="Q317" s="79"/>
      <c r="R317" s="79"/>
    </row>
    <row r="318" ht="22.5" customHeight="1">
      <c r="A318" s="125">
        <v>16.0</v>
      </c>
      <c r="B318" s="71" t="s">
        <v>179</v>
      </c>
      <c r="C318" s="126"/>
      <c r="D318" s="127" t="s">
        <v>403</v>
      </c>
      <c r="E318" s="128">
        <v>45959.0</v>
      </c>
      <c r="F318" s="128">
        <v>45960.0</v>
      </c>
      <c r="G318" s="128"/>
      <c r="H318" s="128"/>
      <c r="I318" s="129"/>
      <c r="J318" s="130"/>
      <c r="K318" s="131"/>
      <c r="L318" s="131"/>
      <c r="M318" s="132"/>
      <c r="N318" s="17"/>
      <c r="P318" s="116"/>
      <c r="Q318" s="79"/>
      <c r="R318" s="79"/>
    </row>
    <row r="319" ht="22.5" customHeight="1">
      <c r="A319" s="125">
        <v>16.0</v>
      </c>
      <c r="B319" s="71" t="s">
        <v>179</v>
      </c>
      <c r="C319" s="126"/>
      <c r="D319" s="127" t="s">
        <v>404</v>
      </c>
      <c r="E319" s="128">
        <v>45959.0</v>
      </c>
      <c r="F319" s="128">
        <v>45960.0</v>
      </c>
      <c r="G319" s="128"/>
      <c r="H319" s="128"/>
      <c r="I319" s="129"/>
      <c r="J319" s="130"/>
      <c r="K319" s="131"/>
      <c r="L319" s="131"/>
      <c r="M319" s="132"/>
      <c r="N319" s="17"/>
      <c r="P319" s="116"/>
      <c r="Q319" s="79"/>
      <c r="R319" s="79"/>
    </row>
    <row r="320" ht="22.5" customHeight="1">
      <c r="A320" s="125">
        <v>16.0</v>
      </c>
      <c r="B320" s="71" t="s">
        <v>179</v>
      </c>
      <c r="C320" s="126"/>
      <c r="D320" s="127" t="s">
        <v>405</v>
      </c>
      <c r="E320" s="128">
        <v>45959.0</v>
      </c>
      <c r="F320" s="128">
        <v>45960.0</v>
      </c>
      <c r="G320" s="128"/>
      <c r="H320" s="128"/>
      <c r="I320" s="129"/>
      <c r="J320" s="130"/>
      <c r="K320" s="131"/>
      <c r="L320" s="131"/>
      <c r="M320" s="132"/>
      <c r="N320" s="17"/>
      <c r="P320" s="116"/>
      <c r="Q320" s="79"/>
      <c r="R320" s="79"/>
    </row>
    <row r="321" ht="22.5" customHeight="1">
      <c r="A321" s="125">
        <v>16.0</v>
      </c>
      <c r="B321" s="71" t="s">
        <v>179</v>
      </c>
      <c r="C321" s="126"/>
      <c r="D321" s="127" t="s">
        <v>406</v>
      </c>
      <c r="E321" s="128">
        <v>45959.0</v>
      </c>
      <c r="F321" s="128">
        <v>45960.0</v>
      </c>
      <c r="G321" s="128"/>
      <c r="H321" s="128"/>
      <c r="I321" s="129"/>
      <c r="J321" s="130"/>
      <c r="K321" s="131"/>
      <c r="L321" s="131"/>
      <c r="M321" s="132"/>
      <c r="N321" s="17"/>
      <c r="P321" s="116"/>
      <c r="Q321" s="79"/>
      <c r="R321" s="79"/>
    </row>
    <row r="322" ht="22.5" customHeight="1">
      <c r="A322" s="125">
        <v>16.0</v>
      </c>
      <c r="B322" s="71" t="s">
        <v>179</v>
      </c>
      <c r="C322" s="126"/>
      <c r="D322" s="127" t="s">
        <v>407</v>
      </c>
      <c r="E322" s="128">
        <v>45959.0</v>
      </c>
      <c r="F322" s="128">
        <v>45960.0</v>
      </c>
      <c r="G322" s="128"/>
      <c r="H322" s="128"/>
      <c r="I322" s="129"/>
      <c r="J322" s="130"/>
      <c r="K322" s="131"/>
      <c r="L322" s="131"/>
      <c r="M322" s="132"/>
      <c r="N322" s="17"/>
      <c r="P322" s="116"/>
      <c r="Q322" s="79"/>
      <c r="R322" s="79"/>
    </row>
    <row r="323" ht="22.5" customHeight="1">
      <c r="A323" s="125">
        <v>16.0</v>
      </c>
      <c r="B323" s="71" t="s">
        <v>179</v>
      </c>
      <c r="C323" s="126"/>
      <c r="D323" s="127" t="s">
        <v>408</v>
      </c>
      <c r="E323" s="128">
        <v>45959.0</v>
      </c>
      <c r="F323" s="128">
        <v>45960.0</v>
      </c>
      <c r="G323" s="128"/>
      <c r="H323" s="128"/>
      <c r="I323" s="129"/>
      <c r="J323" s="130"/>
      <c r="K323" s="131"/>
      <c r="L323" s="131"/>
      <c r="M323" s="132"/>
      <c r="N323" s="17"/>
      <c r="P323" s="116"/>
      <c r="Q323" s="79"/>
      <c r="R323" s="79"/>
    </row>
    <row r="324" ht="22.5" customHeight="1">
      <c r="A324" s="125">
        <v>16.0</v>
      </c>
      <c r="B324" s="71" t="s">
        <v>179</v>
      </c>
      <c r="C324" s="126"/>
      <c r="D324" s="127" t="s">
        <v>409</v>
      </c>
      <c r="E324" s="128">
        <v>45959.0</v>
      </c>
      <c r="F324" s="128">
        <v>45960.0</v>
      </c>
      <c r="G324" s="128"/>
      <c r="H324" s="128"/>
      <c r="I324" s="129"/>
      <c r="J324" s="130"/>
      <c r="K324" s="131"/>
      <c r="L324" s="131"/>
      <c r="M324" s="132"/>
      <c r="N324" s="17"/>
      <c r="P324" s="116"/>
      <c r="Q324" s="79"/>
      <c r="R324" s="79"/>
    </row>
    <row r="325" ht="22.5" customHeight="1">
      <c r="A325" s="125">
        <v>16.0</v>
      </c>
      <c r="B325" s="71" t="s">
        <v>179</v>
      </c>
      <c r="C325" s="126"/>
      <c r="D325" s="127" t="s">
        <v>410</v>
      </c>
      <c r="E325" s="128">
        <v>45959.0</v>
      </c>
      <c r="F325" s="128">
        <v>45960.0</v>
      </c>
      <c r="G325" s="128"/>
      <c r="H325" s="128"/>
      <c r="I325" s="129"/>
      <c r="J325" s="130"/>
      <c r="K325" s="131"/>
      <c r="L325" s="131"/>
      <c r="M325" s="132"/>
      <c r="N325" s="17"/>
      <c r="P325" s="116"/>
      <c r="Q325" s="79"/>
      <c r="R325" s="79"/>
    </row>
    <row r="326" ht="22.5" customHeight="1">
      <c r="A326" s="125">
        <v>16.0</v>
      </c>
      <c r="B326" s="71" t="s">
        <v>179</v>
      </c>
      <c r="C326" s="126"/>
      <c r="D326" s="127" t="s">
        <v>411</v>
      </c>
      <c r="E326" s="128">
        <v>45959.0</v>
      </c>
      <c r="F326" s="128">
        <v>45960.0</v>
      </c>
      <c r="G326" s="128"/>
      <c r="H326" s="128"/>
      <c r="I326" s="129"/>
      <c r="J326" s="130"/>
      <c r="K326" s="131"/>
      <c r="L326" s="131"/>
      <c r="M326" s="132"/>
      <c r="N326" s="17"/>
      <c r="P326" s="116"/>
      <c r="Q326" s="79"/>
      <c r="R326" s="79"/>
    </row>
    <row r="327" ht="22.5" customHeight="1">
      <c r="A327" s="125">
        <v>16.0</v>
      </c>
      <c r="B327" s="71" t="s">
        <v>179</v>
      </c>
      <c r="C327" s="126"/>
      <c r="D327" s="127" t="s">
        <v>412</v>
      </c>
      <c r="E327" s="128">
        <v>45959.0</v>
      </c>
      <c r="F327" s="128">
        <v>45960.0</v>
      </c>
      <c r="G327" s="128"/>
      <c r="H327" s="128"/>
      <c r="I327" s="129"/>
      <c r="J327" s="130"/>
      <c r="K327" s="131"/>
      <c r="L327" s="131"/>
      <c r="M327" s="132"/>
      <c r="N327" s="17"/>
      <c r="P327" s="116"/>
      <c r="Q327" s="79"/>
      <c r="R327" s="79"/>
    </row>
    <row r="328" ht="22.5" customHeight="1">
      <c r="A328" s="125">
        <v>16.0</v>
      </c>
      <c r="B328" s="71" t="s">
        <v>179</v>
      </c>
      <c r="C328" s="126"/>
      <c r="D328" s="127" t="s">
        <v>413</v>
      </c>
      <c r="E328" s="128">
        <v>45959.0</v>
      </c>
      <c r="F328" s="128">
        <v>45960.0</v>
      </c>
      <c r="G328" s="128"/>
      <c r="H328" s="128"/>
      <c r="I328" s="129"/>
      <c r="J328" s="130"/>
      <c r="K328" s="131"/>
      <c r="L328" s="131"/>
      <c r="M328" s="132"/>
      <c r="N328" s="17"/>
      <c r="P328" s="116"/>
      <c r="Q328" s="79"/>
      <c r="R328" s="79"/>
    </row>
    <row r="329" ht="22.5" customHeight="1">
      <c r="A329" s="125">
        <v>16.0</v>
      </c>
      <c r="B329" s="71" t="s">
        <v>179</v>
      </c>
      <c r="C329" s="126"/>
      <c r="D329" s="127" t="s">
        <v>414</v>
      </c>
      <c r="E329" s="128">
        <v>45959.0</v>
      </c>
      <c r="F329" s="128">
        <v>45960.0</v>
      </c>
      <c r="G329" s="128"/>
      <c r="H329" s="128"/>
      <c r="I329" s="129"/>
      <c r="J329" s="130"/>
      <c r="K329" s="131"/>
      <c r="L329" s="131"/>
      <c r="M329" s="132"/>
      <c r="N329" s="17"/>
      <c r="P329" s="116"/>
      <c r="Q329" s="79"/>
      <c r="R329" s="79"/>
    </row>
    <row r="330" ht="22.5" customHeight="1">
      <c r="A330" s="125">
        <v>16.0</v>
      </c>
      <c r="B330" s="71" t="s">
        <v>179</v>
      </c>
      <c r="C330" s="126"/>
      <c r="D330" s="127" t="s">
        <v>415</v>
      </c>
      <c r="E330" s="128">
        <v>45959.0</v>
      </c>
      <c r="F330" s="128">
        <v>45960.0</v>
      </c>
      <c r="G330" s="128"/>
      <c r="H330" s="128"/>
      <c r="I330" s="129"/>
      <c r="J330" s="130"/>
      <c r="K330" s="131"/>
      <c r="L330" s="131"/>
      <c r="M330" s="132"/>
      <c r="N330" s="17"/>
      <c r="P330" s="116"/>
      <c r="Q330" s="79"/>
      <c r="R330" s="79"/>
    </row>
    <row r="331" ht="22.5" customHeight="1">
      <c r="A331" s="125">
        <v>16.0</v>
      </c>
      <c r="B331" s="71" t="s">
        <v>179</v>
      </c>
      <c r="C331" s="126"/>
      <c r="D331" s="127" t="s">
        <v>416</v>
      </c>
      <c r="E331" s="128">
        <v>45959.0</v>
      </c>
      <c r="F331" s="128">
        <v>45960.0</v>
      </c>
      <c r="G331" s="128"/>
      <c r="H331" s="128"/>
      <c r="I331" s="129"/>
      <c r="J331" s="130"/>
      <c r="K331" s="131"/>
      <c r="L331" s="131"/>
      <c r="M331" s="132"/>
      <c r="N331" s="17"/>
      <c r="P331" s="116"/>
      <c r="Q331" s="79"/>
      <c r="R331" s="79"/>
    </row>
    <row r="332" ht="22.5" customHeight="1">
      <c r="A332" s="125">
        <v>16.0</v>
      </c>
      <c r="B332" s="71" t="s">
        <v>179</v>
      </c>
      <c r="C332" s="126"/>
      <c r="D332" s="127" t="s">
        <v>417</v>
      </c>
      <c r="E332" s="128">
        <v>45959.0</v>
      </c>
      <c r="F332" s="128">
        <v>45960.0</v>
      </c>
      <c r="G332" s="128"/>
      <c r="H332" s="128"/>
      <c r="I332" s="129"/>
      <c r="J332" s="130"/>
      <c r="K332" s="131"/>
      <c r="L332" s="131"/>
      <c r="M332" s="132"/>
      <c r="N332" s="17"/>
      <c r="P332" s="116"/>
      <c r="Q332" s="79"/>
      <c r="R332" s="79"/>
    </row>
    <row r="333" ht="22.5" customHeight="1">
      <c r="A333" s="125">
        <v>16.0</v>
      </c>
      <c r="B333" s="71" t="s">
        <v>179</v>
      </c>
      <c r="C333" s="126"/>
      <c r="D333" s="127" t="s">
        <v>418</v>
      </c>
      <c r="E333" s="128">
        <v>45959.0</v>
      </c>
      <c r="F333" s="128">
        <v>45960.0</v>
      </c>
      <c r="G333" s="128"/>
      <c r="H333" s="128"/>
      <c r="I333" s="129"/>
      <c r="J333" s="130"/>
      <c r="K333" s="131"/>
      <c r="L333" s="131"/>
      <c r="M333" s="132"/>
      <c r="N333" s="17"/>
      <c r="P333" s="116"/>
      <c r="Q333" s="79"/>
      <c r="R333" s="79"/>
    </row>
    <row r="334" ht="22.5" customHeight="1">
      <c r="A334" s="125">
        <v>16.0</v>
      </c>
      <c r="B334" s="71" t="s">
        <v>179</v>
      </c>
      <c r="C334" s="126"/>
      <c r="D334" s="127" t="s">
        <v>419</v>
      </c>
      <c r="E334" s="128">
        <v>45959.0</v>
      </c>
      <c r="F334" s="128">
        <v>45960.0</v>
      </c>
      <c r="G334" s="128"/>
      <c r="H334" s="128"/>
      <c r="I334" s="129"/>
      <c r="J334" s="130"/>
      <c r="K334" s="131"/>
      <c r="L334" s="131"/>
      <c r="M334" s="132"/>
      <c r="N334" s="17"/>
      <c r="P334" s="116"/>
      <c r="Q334" s="79"/>
      <c r="R334" s="79"/>
    </row>
    <row r="335" ht="22.5" customHeight="1">
      <c r="A335" s="125">
        <v>16.0</v>
      </c>
      <c r="B335" s="71" t="s">
        <v>179</v>
      </c>
      <c r="C335" s="126"/>
      <c r="D335" s="127" t="s">
        <v>420</v>
      </c>
      <c r="E335" s="128">
        <v>45959.0</v>
      </c>
      <c r="F335" s="128">
        <v>45960.0</v>
      </c>
      <c r="G335" s="128"/>
      <c r="H335" s="128"/>
      <c r="I335" s="129"/>
      <c r="J335" s="130"/>
      <c r="K335" s="131"/>
      <c r="L335" s="131"/>
      <c r="M335" s="132"/>
      <c r="N335" s="17"/>
      <c r="P335" s="116"/>
      <c r="Q335" s="79"/>
      <c r="R335" s="79"/>
    </row>
    <row r="336" ht="22.5" customHeight="1">
      <c r="A336" s="125">
        <v>16.0</v>
      </c>
      <c r="B336" s="71" t="s">
        <v>179</v>
      </c>
      <c r="C336" s="126"/>
      <c r="D336" s="127" t="s">
        <v>421</v>
      </c>
      <c r="E336" s="128">
        <v>45959.0</v>
      </c>
      <c r="F336" s="128">
        <v>45960.0</v>
      </c>
      <c r="G336" s="128"/>
      <c r="H336" s="128"/>
      <c r="I336" s="129"/>
      <c r="J336" s="130"/>
      <c r="K336" s="131"/>
      <c r="L336" s="131"/>
      <c r="M336" s="132"/>
      <c r="N336" s="17"/>
      <c r="P336" s="116"/>
      <c r="Q336" s="79"/>
      <c r="R336" s="79"/>
    </row>
    <row r="337" ht="22.5" customHeight="1">
      <c r="A337" s="125">
        <v>16.0</v>
      </c>
      <c r="B337" s="71" t="s">
        <v>179</v>
      </c>
      <c r="C337" s="126"/>
      <c r="D337" s="127" t="s">
        <v>422</v>
      </c>
      <c r="E337" s="128">
        <v>45959.0</v>
      </c>
      <c r="F337" s="128">
        <v>45960.0</v>
      </c>
      <c r="G337" s="128"/>
      <c r="H337" s="128"/>
      <c r="I337" s="129"/>
      <c r="J337" s="130"/>
      <c r="K337" s="131"/>
      <c r="L337" s="131"/>
      <c r="M337" s="132"/>
      <c r="N337" s="17"/>
      <c r="P337" s="116"/>
      <c r="Q337" s="79"/>
      <c r="R337" s="79"/>
    </row>
    <row r="338" ht="22.5" customHeight="1">
      <c r="A338" s="125">
        <v>16.0</v>
      </c>
      <c r="B338" s="71" t="s">
        <v>179</v>
      </c>
      <c r="C338" s="126"/>
      <c r="D338" s="127" t="s">
        <v>423</v>
      </c>
      <c r="E338" s="128">
        <v>45959.0</v>
      </c>
      <c r="F338" s="128">
        <v>45960.0</v>
      </c>
      <c r="G338" s="128"/>
      <c r="H338" s="128"/>
      <c r="I338" s="129"/>
      <c r="J338" s="130"/>
      <c r="K338" s="131"/>
      <c r="L338" s="131"/>
      <c r="M338" s="132"/>
      <c r="N338" s="17"/>
      <c r="P338" s="116"/>
      <c r="Q338" s="79"/>
      <c r="R338" s="79"/>
    </row>
    <row r="339" ht="22.5" customHeight="1">
      <c r="A339" s="125">
        <v>16.0</v>
      </c>
      <c r="B339" s="71" t="s">
        <v>179</v>
      </c>
      <c r="C339" s="126"/>
      <c r="D339" s="127" t="s">
        <v>424</v>
      </c>
      <c r="E339" s="128">
        <v>45959.0</v>
      </c>
      <c r="F339" s="128">
        <v>45960.0</v>
      </c>
      <c r="G339" s="128"/>
      <c r="H339" s="128"/>
      <c r="I339" s="129"/>
      <c r="J339" s="130"/>
      <c r="K339" s="131"/>
      <c r="L339" s="131"/>
      <c r="M339" s="132"/>
      <c r="N339" s="17"/>
      <c r="P339" s="116"/>
      <c r="Q339" s="79"/>
      <c r="R339" s="79"/>
    </row>
    <row r="340" ht="22.5" customHeight="1">
      <c r="A340" s="125">
        <v>16.0</v>
      </c>
      <c r="B340" s="71" t="s">
        <v>179</v>
      </c>
      <c r="C340" s="126"/>
      <c r="D340" s="127" t="s">
        <v>425</v>
      </c>
      <c r="E340" s="128">
        <v>45959.0</v>
      </c>
      <c r="F340" s="128">
        <v>45960.0</v>
      </c>
      <c r="G340" s="128"/>
      <c r="H340" s="128"/>
      <c r="I340" s="129"/>
      <c r="J340" s="130"/>
      <c r="K340" s="131"/>
      <c r="L340" s="131"/>
      <c r="M340" s="132"/>
      <c r="N340" s="17"/>
      <c r="P340" s="116"/>
      <c r="Q340" s="79"/>
      <c r="R340" s="79"/>
    </row>
    <row r="341" ht="22.5" customHeight="1">
      <c r="A341" s="125">
        <v>16.0</v>
      </c>
      <c r="B341" s="71" t="s">
        <v>179</v>
      </c>
      <c r="C341" s="126"/>
      <c r="D341" s="127" t="s">
        <v>426</v>
      </c>
      <c r="E341" s="128">
        <v>45959.0</v>
      </c>
      <c r="F341" s="128">
        <v>45960.0</v>
      </c>
      <c r="G341" s="128"/>
      <c r="H341" s="128"/>
      <c r="I341" s="129"/>
      <c r="J341" s="130"/>
      <c r="K341" s="131"/>
      <c r="L341" s="131"/>
      <c r="M341" s="132"/>
      <c r="N341" s="17"/>
      <c r="P341" s="116"/>
      <c r="Q341" s="79"/>
      <c r="R341" s="79"/>
    </row>
    <row r="342" ht="22.5" customHeight="1">
      <c r="A342" s="125">
        <v>16.0</v>
      </c>
      <c r="B342" s="71" t="s">
        <v>179</v>
      </c>
      <c r="C342" s="126"/>
      <c r="D342" s="127" t="s">
        <v>427</v>
      </c>
      <c r="E342" s="128">
        <v>45959.0</v>
      </c>
      <c r="F342" s="128">
        <v>45960.0</v>
      </c>
      <c r="G342" s="128"/>
      <c r="H342" s="128"/>
      <c r="I342" s="129"/>
      <c r="J342" s="130"/>
      <c r="K342" s="131"/>
      <c r="L342" s="131"/>
      <c r="M342" s="132"/>
      <c r="N342" s="17"/>
      <c r="P342" s="116"/>
      <c r="Q342" s="79"/>
      <c r="R342" s="79"/>
    </row>
    <row r="343" ht="22.5" customHeight="1">
      <c r="A343" s="125">
        <v>16.0</v>
      </c>
      <c r="B343" s="71" t="s">
        <v>179</v>
      </c>
      <c r="C343" s="126"/>
      <c r="D343" s="127" t="s">
        <v>428</v>
      </c>
      <c r="E343" s="128">
        <v>45959.0</v>
      </c>
      <c r="F343" s="128">
        <v>45960.0</v>
      </c>
      <c r="G343" s="128"/>
      <c r="H343" s="128"/>
      <c r="I343" s="129"/>
      <c r="J343" s="130"/>
      <c r="K343" s="131"/>
      <c r="L343" s="131"/>
      <c r="M343" s="132"/>
      <c r="N343" s="17"/>
      <c r="P343" s="116"/>
      <c r="Q343" s="79"/>
      <c r="R343" s="79"/>
    </row>
    <row r="344" ht="22.5" customHeight="1">
      <c r="A344" s="125">
        <v>16.0</v>
      </c>
      <c r="B344" s="71" t="s">
        <v>179</v>
      </c>
      <c r="C344" s="126"/>
      <c r="D344" s="127" t="s">
        <v>429</v>
      </c>
      <c r="E344" s="128">
        <v>45959.0</v>
      </c>
      <c r="F344" s="128">
        <v>45960.0</v>
      </c>
      <c r="G344" s="128"/>
      <c r="H344" s="128"/>
      <c r="I344" s="129"/>
      <c r="J344" s="130"/>
      <c r="K344" s="131"/>
      <c r="L344" s="131"/>
      <c r="M344" s="132"/>
      <c r="N344" s="17"/>
      <c r="P344" s="116"/>
      <c r="Q344" s="79"/>
      <c r="R344" s="79"/>
    </row>
    <row r="345" ht="22.5" customHeight="1">
      <c r="A345" s="125">
        <v>16.0</v>
      </c>
      <c r="B345" s="71" t="s">
        <v>179</v>
      </c>
      <c r="C345" s="126"/>
      <c r="D345" s="127" t="s">
        <v>430</v>
      </c>
      <c r="E345" s="128">
        <v>45959.0</v>
      </c>
      <c r="F345" s="128">
        <v>45960.0</v>
      </c>
      <c r="G345" s="128"/>
      <c r="H345" s="128"/>
      <c r="I345" s="129"/>
      <c r="J345" s="130"/>
      <c r="K345" s="131"/>
      <c r="L345" s="131"/>
      <c r="M345" s="132"/>
      <c r="N345" s="17"/>
      <c r="P345" s="116"/>
      <c r="Q345" s="79"/>
      <c r="R345" s="79"/>
    </row>
    <row r="346" ht="22.5" customHeight="1">
      <c r="A346" s="125">
        <v>16.0</v>
      </c>
      <c r="B346" s="71" t="s">
        <v>179</v>
      </c>
      <c r="C346" s="126"/>
      <c r="D346" s="127" t="s">
        <v>431</v>
      </c>
      <c r="E346" s="128">
        <v>45959.0</v>
      </c>
      <c r="F346" s="128">
        <v>45960.0</v>
      </c>
      <c r="G346" s="128"/>
      <c r="H346" s="128"/>
      <c r="I346" s="129"/>
      <c r="J346" s="130"/>
      <c r="K346" s="131"/>
      <c r="L346" s="131"/>
      <c r="M346" s="132"/>
      <c r="N346" s="17"/>
      <c r="P346" s="116"/>
      <c r="Q346" s="79"/>
      <c r="R346" s="79"/>
    </row>
    <row r="347" ht="22.5" customHeight="1">
      <c r="A347" s="125">
        <v>16.0</v>
      </c>
      <c r="B347" s="71" t="s">
        <v>179</v>
      </c>
      <c r="C347" s="126"/>
      <c r="D347" s="127" t="s">
        <v>432</v>
      </c>
      <c r="E347" s="128">
        <v>45959.0</v>
      </c>
      <c r="F347" s="128">
        <v>45960.0</v>
      </c>
      <c r="G347" s="128"/>
      <c r="H347" s="128"/>
      <c r="I347" s="129"/>
      <c r="J347" s="130"/>
      <c r="K347" s="131"/>
      <c r="L347" s="131"/>
      <c r="M347" s="132"/>
      <c r="N347" s="17"/>
      <c r="P347" s="116"/>
      <c r="Q347" s="79"/>
      <c r="R347" s="79"/>
    </row>
    <row r="348" ht="22.5" customHeight="1">
      <c r="A348" s="125">
        <v>16.0</v>
      </c>
      <c r="B348" s="71" t="s">
        <v>179</v>
      </c>
      <c r="C348" s="126"/>
      <c r="D348" s="127" t="s">
        <v>433</v>
      </c>
      <c r="E348" s="128">
        <v>45959.0</v>
      </c>
      <c r="F348" s="128">
        <v>45960.0</v>
      </c>
      <c r="G348" s="128"/>
      <c r="H348" s="128"/>
      <c r="I348" s="129"/>
      <c r="J348" s="130"/>
      <c r="K348" s="131"/>
      <c r="L348" s="131"/>
      <c r="M348" s="132"/>
      <c r="N348" s="17"/>
      <c r="P348" s="116"/>
      <c r="Q348" s="79"/>
      <c r="R348" s="79"/>
    </row>
    <row r="349" ht="22.5" customHeight="1">
      <c r="A349" s="125">
        <v>16.0</v>
      </c>
      <c r="B349" s="71" t="s">
        <v>179</v>
      </c>
      <c r="C349" s="126"/>
      <c r="D349" s="127" t="s">
        <v>434</v>
      </c>
      <c r="E349" s="128">
        <v>45959.0</v>
      </c>
      <c r="F349" s="128">
        <v>45960.0</v>
      </c>
      <c r="G349" s="128"/>
      <c r="H349" s="128"/>
      <c r="I349" s="129"/>
      <c r="J349" s="130"/>
      <c r="K349" s="131"/>
      <c r="L349" s="131"/>
      <c r="M349" s="132"/>
      <c r="N349" s="17"/>
      <c r="P349" s="116"/>
      <c r="Q349" s="79"/>
      <c r="R349" s="79"/>
    </row>
    <row r="350" ht="22.5" customHeight="1">
      <c r="A350" s="125">
        <v>16.0</v>
      </c>
      <c r="B350" s="71" t="s">
        <v>179</v>
      </c>
      <c r="C350" s="126"/>
      <c r="D350" s="127" t="s">
        <v>435</v>
      </c>
      <c r="E350" s="128">
        <v>45959.0</v>
      </c>
      <c r="F350" s="128">
        <v>45960.0</v>
      </c>
      <c r="G350" s="128"/>
      <c r="H350" s="128"/>
      <c r="I350" s="129"/>
      <c r="J350" s="130"/>
      <c r="K350" s="131"/>
      <c r="L350" s="131"/>
      <c r="M350" s="132"/>
      <c r="N350" s="17"/>
      <c r="P350" s="116"/>
      <c r="Q350" s="79"/>
      <c r="R350" s="79"/>
    </row>
    <row r="351" ht="22.5" customHeight="1">
      <c r="A351" s="125">
        <v>16.0</v>
      </c>
      <c r="B351" s="71" t="s">
        <v>179</v>
      </c>
      <c r="C351" s="126"/>
      <c r="D351" s="127" t="s">
        <v>436</v>
      </c>
      <c r="E351" s="128">
        <v>45959.0</v>
      </c>
      <c r="F351" s="128">
        <v>45960.0</v>
      </c>
      <c r="G351" s="128"/>
      <c r="H351" s="128"/>
      <c r="I351" s="129"/>
      <c r="J351" s="130"/>
      <c r="K351" s="131"/>
      <c r="L351" s="131"/>
      <c r="M351" s="132"/>
      <c r="N351" s="17"/>
      <c r="P351" s="116"/>
      <c r="Q351" s="79"/>
      <c r="R351" s="79"/>
    </row>
    <row r="352" ht="22.5" customHeight="1">
      <c r="A352" s="125">
        <v>16.0</v>
      </c>
      <c r="B352" s="71" t="s">
        <v>179</v>
      </c>
      <c r="C352" s="126"/>
      <c r="D352" s="127" t="s">
        <v>437</v>
      </c>
      <c r="E352" s="128">
        <v>45959.0</v>
      </c>
      <c r="F352" s="128">
        <v>45960.0</v>
      </c>
      <c r="G352" s="128"/>
      <c r="H352" s="128"/>
      <c r="I352" s="129"/>
      <c r="J352" s="130"/>
      <c r="K352" s="131"/>
      <c r="L352" s="131"/>
      <c r="M352" s="132"/>
      <c r="N352" s="17"/>
      <c r="P352" s="116"/>
      <c r="Q352" s="79"/>
      <c r="R352" s="79"/>
    </row>
    <row r="353" ht="22.5" customHeight="1">
      <c r="A353" s="125">
        <v>16.0</v>
      </c>
      <c r="B353" s="71" t="s">
        <v>179</v>
      </c>
      <c r="C353" s="126"/>
      <c r="D353" s="127" t="s">
        <v>438</v>
      </c>
      <c r="E353" s="128">
        <v>45959.0</v>
      </c>
      <c r="F353" s="128">
        <v>45960.0</v>
      </c>
      <c r="G353" s="128"/>
      <c r="H353" s="128"/>
      <c r="I353" s="129"/>
      <c r="J353" s="130"/>
      <c r="K353" s="131"/>
      <c r="L353" s="131"/>
      <c r="M353" s="132"/>
      <c r="N353" s="17"/>
      <c r="P353" s="116"/>
      <c r="Q353" s="79"/>
      <c r="R353" s="79"/>
    </row>
    <row r="354" ht="22.5" customHeight="1">
      <c r="A354" s="125">
        <v>16.0</v>
      </c>
      <c r="B354" s="71" t="s">
        <v>179</v>
      </c>
      <c r="C354" s="126"/>
      <c r="D354" s="127" t="s">
        <v>439</v>
      </c>
      <c r="E354" s="128">
        <v>45959.0</v>
      </c>
      <c r="F354" s="128">
        <v>45960.0</v>
      </c>
      <c r="G354" s="128"/>
      <c r="H354" s="128"/>
      <c r="I354" s="129"/>
      <c r="J354" s="130"/>
      <c r="K354" s="131"/>
      <c r="L354" s="131"/>
      <c r="M354" s="132"/>
      <c r="N354" s="17"/>
      <c r="P354" s="116"/>
      <c r="Q354" s="79"/>
      <c r="R354" s="79"/>
    </row>
    <row r="355" ht="22.5" customHeight="1">
      <c r="A355" s="125">
        <v>16.0</v>
      </c>
      <c r="B355" s="71" t="s">
        <v>179</v>
      </c>
      <c r="C355" s="126"/>
      <c r="D355" s="127" t="s">
        <v>440</v>
      </c>
      <c r="E355" s="128">
        <v>45959.0</v>
      </c>
      <c r="F355" s="128">
        <v>45960.0</v>
      </c>
      <c r="G355" s="128"/>
      <c r="H355" s="128"/>
      <c r="I355" s="129"/>
      <c r="J355" s="130"/>
      <c r="K355" s="131"/>
      <c r="L355" s="131"/>
      <c r="M355" s="132"/>
      <c r="N355" s="17"/>
      <c r="P355" s="116"/>
      <c r="Q355" s="79"/>
      <c r="R355" s="79"/>
    </row>
    <row r="356" ht="22.5" customHeight="1">
      <c r="A356" s="125">
        <v>16.0</v>
      </c>
      <c r="B356" s="71" t="s">
        <v>179</v>
      </c>
      <c r="C356" s="126"/>
      <c r="D356" s="127" t="s">
        <v>441</v>
      </c>
      <c r="E356" s="128">
        <v>45959.0</v>
      </c>
      <c r="F356" s="128">
        <v>45960.0</v>
      </c>
      <c r="G356" s="128"/>
      <c r="H356" s="128"/>
      <c r="I356" s="129"/>
      <c r="J356" s="130"/>
      <c r="K356" s="131"/>
      <c r="L356" s="131"/>
      <c r="M356" s="132"/>
      <c r="N356" s="17"/>
      <c r="P356" s="116"/>
      <c r="Q356" s="79"/>
      <c r="R356" s="79"/>
    </row>
    <row r="357" ht="22.5" customHeight="1">
      <c r="A357" s="125">
        <v>16.0</v>
      </c>
      <c r="B357" s="71" t="s">
        <v>179</v>
      </c>
      <c r="C357" s="126"/>
      <c r="D357" s="127" t="s">
        <v>442</v>
      </c>
      <c r="E357" s="128">
        <v>45959.0</v>
      </c>
      <c r="F357" s="128">
        <v>45960.0</v>
      </c>
      <c r="G357" s="128"/>
      <c r="H357" s="128"/>
      <c r="I357" s="129"/>
      <c r="J357" s="130"/>
      <c r="K357" s="131"/>
      <c r="L357" s="131"/>
      <c r="M357" s="132"/>
      <c r="N357" s="17"/>
      <c r="P357" s="116"/>
      <c r="Q357" s="79"/>
      <c r="R357" s="79"/>
    </row>
    <row r="358" ht="22.5" customHeight="1">
      <c r="A358" s="125">
        <v>16.0</v>
      </c>
      <c r="B358" s="71" t="s">
        <v>179</v>
      </c>
      <c r="C358" s="126"/>
      <c r="D358" s="127" t="s">
        <v>443</v>
      </c>
      <c r="E358" s="128">
        <v>45959.0</v>
      </c>
      <c r="F358" s="128">
        <v>45960.0</v>
      </c>
      <c r="G358" s="128"/>
      <c r="H358" s="128"/>
      <c r="I358" s="129"/>
      <c r="J358" s="130"/>
      <c r="K358" s="131"/>
      <c r="L358" s="131"/>
      <c r="M358" s="132"/>
      <c r="N358" s="17"/>
      <c r="P358" s="116"/>
      <c r="Q358" s="79"/>
      <c r="R358" s="79"/>
    </row>
    <row r="359" ht="22.5" customHeight="1">
      <c r="A359" s="125">
        <v>16.0</v>
      </c>
      <c r="B359" s="71" t="s">
        <v>179</v>
      </c>
      <c r="C359" s="126"/>
      <c r="D359" s="127" t="s">
        <v>444</v>
      </c>
      <c r="E359" s="128">
        <v>45959.0</v>
      </c>
      <c r="F359" s="128">
        <v>45960.0</v>
      </c>
      <c r="G359" s="128"/>
      <c r="H359" s="128"/>
      <c r="I359" s="129"/>
      <c r="J359" s="130"/>
      <c r="K359" s="131"/>
      <c r="L359" s="131"/>
      <c r="M359" s="132"/>
      <c r="N359" s="17"/>
      <c r="P359" s="116"/>
      <c r="Q359" s="79"/>
      <c r="R359" s="79"/>
    </row>
    <row r="360" ht="22.5" customHeight="1">
      <c r="A360" s="125">
        <v>16.0</v>
      </c>
      <c r="B360" s="71" t="s">
        <v>179</v>
      </c>
      <c r="C360" s="126"/>
      <c r="D360" s="127" t="s">
        <v>445</v>
      </c>
      <c r="E360" s="128">
        <v>45959.0</v>
      </c>
      <c r="F360" s="128">
        <v>45960.0</v>
      </c>
      <c r="G360" s="128"/>
      <c r="H360" s="128"/>
      <c r="I360" s="129"/>
      <c r="J360" s="130"/>
      <c r="K360" s="131"/>
      <c r="L360" s="131"/>
      <c r="M360" s="132"/>
      <c r="N360" s="17"/>
      <c r="P360" s="116"/>
      <c r="Q360" s="79"/>
      <c r="R360" s="79"/>
    </row>
    <row r="361" ht="22.5" customHeight="1">
      <c r="A361" s="125">
        <v>16.0</v>
      </c>
      <c r="B361" s="71" t="s">
        <v>179</v>
      </c>
      <c r="C361" s="126"/>
      <c r="D361" s="127" t="s">
        <v>446</v>
      </c>
      <c r="E361" s="128">
        <v>45959.0</v>
      </c>
      <c r="F361" s="128">
        <v>45960.0</v>
      </c>
      <c r="G361" s="128"/>
      <c r="H361" s="128"/>
      <c r="I361" s="129"/>
      <c r="J361" s="130"/>
      <c r="K361" s="131"/>
      <c r="L361" s="131"/>
      <c r="M361" s="132"/>
      <c r="N361" s="17"/>
      <c r="P361" s="116"/>
      <c r="Q361" s="79"/>
      <c r="R361" s="79"/>
    </row>
    <row r="362" ht="22.5" customHeight="1">
      <c r="A362" s="125">
        <v>16.0</v>
      </c>
      <c r="B362" s="71" t="s">
        <v>179</v>
      </c>
      <c r="C362" s="126"/>
      <c r="D362" s="127" t="s">
        <v>447</v>
      </c>
      <c r="E362" s="128">
        <v>45959.0</v>
      </c>
      <c r="F362" s="128">
        <v>45960.0</v>
      </c>
      <c r="G362" s="128"/>
      <c r="H362" s="128"/>
      <c r="I362" s="129"/>
      <c r="J362" s="130"/>
      <c r="K362" s="131"/>
      <c r="L362" s="131"/>
      <c r="M362" s="132"/>
      <c r="N362" s="17"/>
      <c r="P362" s="116"/>
      <c r="Q362" s="79"/>
      <c r="R362" s="79"/>
    </row>
    <row r="363" ht="22.5" customHeight="1">
      <c r="A363" s="125">
        <v>16.0</v>
      </c>
      <c r="B363" s="71" t="s">
        <v>179</v>
      </c>
      <c r="C363" s="126"/>
      <c r="D363" s="127" t="s">
        <v>448</v>
      </c>
      <c r="E363" s="128">
        <v>45959.0</v>
      </c>
      <c r="F363" s="128">
        <v>45960.0</v>
      </c>
      <c r="G363" s="128"/>
      <c r="H363" s="128"/>
      <c r="I363" s="129"/>
      <c r="J363" s="130"/>
      <c r="K363" s="131"/>
      <c r="L363" s="131"/>
      <c r="M363" s="132"/>
      <c r="N363" s="17"/>
      <c r="P363" s="116"/>
      <c r="Q363" s="79"/>
      <c r="R363" s="79"/>
    </row>
    <row r="364" ht="22.5" customHeight="1">
      <c r="A364" s="125">
        <v>16.0</v>
      </c>
      <c r="B364" s="71" t="s">
        <v>179</v>
      </c>
      <c r="C364" s="126"/>
      <c r="D364" s="127" t="s">
        <v>449</v>
      </c>
      <c r="E364" s="128">
        <v>45959.0</v>
      </c>
      <c r="F364" s="128">
        <v>45960.0</v>
      </c>
      <c r="G364" s="128"/>
      <c r="H364" s="128"/>
      <c r="I364" s="129"/>
      <c r="J364" s="130"/>
      <c r="K364" s="131"/>
      <c r="L364" s="131"/>
      <c r="M364" s="132"/>
      <c r="N364" s="17"/>
      <c r="P364" s="116"/>
      <c r="Q364" s="79"/>
      <c r="R364" s="79"/>
    </row>
    <row r="365" ht="22.5" customHeight="1">
      <c r="A365" s="125">
        <v>16.0</v>
      </c>
      <c r="B365" s="71" t="s">
        <v>179</v>
      </c>
      <c r="C365" s="126"/>
      <c r="D365" s="127" t="s">
        <v>450</v>
      </c>
      <c r="E365" s="128">
        <v>45959.0</v>
      </c>
      <c r="F365" s="128">
        <v>45960.0</v>
      </c>
      <c r="G365" s="128"/>
      <c r="H365" s="128"/>
      <c r="I365" s="129"/>
      <c r="J365" s="130"/>
      <c r="K365" s="131"/>
      <c r="L365" s="131"/>
      <c r="M365" s="132"/>
      <c r="N365" s="17"/>
      <c r="P365" s="116"/>
      <c r="Q365" s="79"/>
      <c r="R365" s="79"/>
    </row>
    <row r="366" ht="22.5" customHeight="1">
      <c r="A366" s="125">
        <v>16.0</v>
      </c>
      <c r="B366" s="71" t="s">
        <v>179</v>
      </c>
      <c r="C366" s="126"/>
      <c r="D366" s="127" t="s">
        <v>451</v>
      </c>
      <c r="E366" s="128">
        <v>45959.0</v>
      </c>
      <c r="F366" s="128">
        <v>45960.0</v>
      </c>
      <c r="G366" s="128"/>
      <c r="H366" s="128"/>
      <c r="I366" s="129"/>
      <c r="J366" s="130"/>
      <c r="K366" s="131"/>
      <c r="L366" s="131"/>
      <c r="M366" s="132"/>
      <c r="N366" s="17"/>
      <c r="P366" s="116"/>
      <c r="Q366" s="79"/>
      <c r="R366" s="79"/>
    </row>
    <row r="367" ht="22.5" customHeight="1">
      <c r="A367" s="125">
        <v>16.0</v>
      </c>
      <c r="B367" s="71" t="s">
        <v>179</v>
      </c>
      <c r="C367" s="126"/>
      <c r="D367" s="127" t="s">
        <v>452</v>
      </c>
      <c r="E367" s="128">
        <v>45959.0</v>
      </c>
      <c r="F367" s="128">
        <v>45960.0</v>
      </c>
      <c r="G367" s="128"/>
      <c r="H367" s="128"/>
      <c r="I367" s="129"/>
      <c r="J367" s="130"/>
      <c r="K367" s="131"/>
      <c r="L367" s="131"/>
      <c r="M367" s="132"/>
      <c r="N367" s="17"/>
      <c r="P367" s="116"/>
      <c r="Q367" s="79"/>
      <c r="R367" s="79"/>
    </row>
    <row r="368" ht="22.5" customHeight="1">
      <c r="A368" s="125">
        <v>16.0</v>
      </c>
      <c r="B368" s="71" t="s">
        <v>179</v>
      </c>
      <c r="C368" s="126"/>
      <c r="D368" s="127" t="s">
        <v>453</v>
      </c>
      <c r="E368" s="128">
        <v>45959.0</v>
      </c>
      <c r="F368" s="128">
        <v>45960.0</v>
      </c>
      <c r="G368" s="128"/>
      <c r="H368" s="128"/>
      <c r="I368" s="129"/>
      <c r="J368" s="130"/>
      <c r="K368" s="131"/>
      <c r="L368" s="131"/>
      <c r="M368" s="132"/>
      <c r="N368" s="17"/>
      <c r="P368" s="116"/>
      <c r="Q368" s="79"/>
      <c r="R368" s="79"/>
    </row>
    <row r="369" ht="22.5" customHeight="1">
      <c r="A369" s="125">
        <v>16.0</v>
      </c>
      <c r="B369" s="71" t="s">
        <v>179</v>
      </c>
      <c r="C369" s="126"/>
      <c r="D369" s="127" t="s">
        <v>454</v>
      </c>
      <c r="E369" s="128">
        <v>45959.0</v>
      </c>
      <c r="F369" s="128">
        <v>45960.0</v>
      </c>
      <c r="G369" s="128"/>
      <c r="H369" s="128"/>
      <c r="I369" s="129"/>
      <c r="J369" s="130"/>
      <c r="K369" s="131"/>
      <c r="L369" s="131"/>
      <c r="M369" s="132"/>
      <c r="N369" s="17"/>
      <c r="P369" s="116"/>
      <c r="Q369" s="79"/>
      <c r="R369" s="79"/>
    </row>
    <row r="370" ht="22.5" customHeight="1">
      <c r="A370" s="125">
        <v>16.0</v>
      </c>
      <c r="B370" s="71" t="s">
        <v>179</v>
      </c>
      <c r="C370" s="126"/>
      <c r="D370" s="127" t="s">
        <v>455</v>
      </c>
      <c r="E370" s="128">
        <v>45959.0</v>
      </c>
      <c r="F370" s="128">
        <v>45960.0</v>
      </c>
      <c r="G370" s="128"/>
      <c r="H370" s="128"/>
      <c r="I370" s="129"/>
      <c r="J370" s="130"/>
      <c r="K370" s="131"/>
      <c r="L370" s="131"/>
      <c r="M370" s="132"/>
      <c r="N370" s="17"/>
      <c r="P370" s="116"/>
      <c r="Q370" s="79"/>
      <c r="R370" s="79"/>
    </row>
    <row r="371" ht="22.5" customHeight="1">
      <c r="A371" s="125">
        <v>16.0</v>
      </c>
      <c r="B371" s="71" t="s">
        <v>179</v>
      </c>
      <c r="C371" s="126"/>
      <c r="D371" s="127" t="s">
        <v>456</v>
      </c>
      <c r="E371" s="128">
        <v>45959.0</v>
      </c>
      <c r="F371" s="128">
        <v>45960.0</v>
      </c>
      <c r="G371" s="128"/>
      <c r="H371" s="128"/>
      <c r="I371" s="129"/>
      <c r="J371" s="130"/>
      <c r="K371" s="131"/>
      <c r="L371" s="131"/>
      <c r="M371" s="132"/>
      <c r="N371" s="17"/>
      <c r="P371" s="116"/>
      <c r="Q371" s="79"/>
      <c r="R371" s="79"/>
    </row>
    <row r="372" ht="22.5" customHeight="1">
      <c r="A372" s="125">
        <v>16.0</v>
      </c>
      <c r="B372" s="71" t="s">
        <v>179</v>
      </c>
      <c r="C372" s="126"/>
      <c r="D372" s="127" t="s">
        <v>457</v>
      </c>
      <c r="E372" s="128">
        <v>45959.0</v>
      </c>
      <c r="F372" s="128">
        <v>45960.0</v>
      </c>
      <c r="G372" s="128"/>
      <c r="H372" s="128"/>
      <c r="I372" s="129"/>
      <c r="J372" s="130"/>
      <c r="K372" s="131"/>
      <c r="L372" s="131"/>
      <c r="M372" s="132"/>
      <c r="N372" s="17"/>
      <c r="P372" s="116"/>
      <c r="Q372" s="79"/>
      <c r="R372" s="79"/>
    </row>
    <row r="373" ht="22.5" customHeight="1">
      <c r="A373" s="125">
        <v>16.0</v>
      </c>
      <c r="B373" s="71" t="s">
        <v>179</v>
      </c>
      <c r="C373" s="126"/>
      <c r="D373" s="127" t="s">
        <v>458</v>
      </c>
      <c r="E373" s="128">
        <v>45959.0</v>
      </c>
      <c r="F373" s="128">
        <v>45960.0</v>
      </c>
      <c r="G373" s="128"/>
      <c r="H373" s="128"/>
      <c r="I373" s="129"/>
      <c r="J373" s="130"/>
      <c r="K373" s="131"/>
      <c r="L373" s="131"/>
      <c r="M373" s="132"/>
      <c r="N373" s="17"/>
      <c r="P373" s="116"/>
      <c r="Q373" s="79"/>
      <c r="R373" s="79"/>
    </row>
    <row r="374" ht="22.5" customHeight="1">
      <c r="A374" s="125">
        <v>16.0</v>
      </c>
      <c r="B374" s="71" t="s">
        <v>179</v>
      </c>
      <c r="C374" s="126"/>
      <c r="D374" s="127" t="s">
        <v>459</v>
      </c>
      <c r="E374" s="128">
        <v>45959.0</v>
      </c>
      <c r="F374" s="128">
        <v>45960.0</v>
      </c>
      <c r="G374" s="128"/>
      <c r="H374" s="128"/>
      <c r="I374" s="129"/>
      <c r="J374" s="130"/>
      <c r="K374" s="131"/>
      <c r="L374" s="131"/>
      <c r="M374" s="132"/>
      <c r="N374" s="17"/>
      <c r="P374" s="116"/>
      <c r="Q374" s="79"/>
      <c r="R374" s="79"/>
    </row>
    <row r="375" ht="22.5" customHeight="1">
      <c r="A375" s="159"/>
      <c r="B375" s="160"/>
      <c r="C375" s="161"/>
      <c r="D375" s="162"/>
      <c r="E375" s="163"/>
      <c r="F375" s="163"/>
      <c r="G375" s="163" t="b">
        <v>0</v>
      </c>
      <c r="H375" s="163" t="b">
        <v>0</v>
      </c>
      <c r="I375" s="160" t="b">
        <v>0</v>
      </c>
      <c r="J375" s="164"/>
      <c r="K375" s="165"/>
      <c r="L375" s="165"/>
      <c r="M375" s="166"/>
      <c r="N375" s="17"/>
      <c r="P375" s="116"/>
    </row>
    <row r="376" ht="22.5" customHeight="1">
      <c r="A376" s="159"/>
      <c r="B376" s="160"/>
      <c r="C376" s="161"/>
      <c r="D376" s="162"/>
      <c r="E376" s="163"/>
      <c r="F376" s="163"/>
      <c r="G376" s="163" t="b">
        <v>0</v>
      </c>
      <c r="H376" s="163" t="b">
        <v>0</v>
      </c>
      <c r="I376" s="160" t="b">
        <v>0</v>
      </c>
      <c r="J376" s="164"/>
      <c r="K376" s="165"/>
      <c r="L376" s="165"/>
      <c r="M376" s="166"/>
      <c r="N376" s="17"/>
      <c r="P376" s="116"/>
    </row>
    <row r="377" ht="22.5" customHeight="1">
      <c r="A377" s="159"/>
      <c r="B377" s="160"/>
      <c r="C377" s="161"/>
      <c r="D377" s="162"/>
      <c r="E377" s="163"/>
      <c r="F377" s="163"/>
      <c r="G377" s="163" t="b">
        <v>0</v>
      </c>
      <c r="H377" s="163" t="b">
        <v>0</v>
      </c>
      <c r="I377" s="160" t="b">
        <v>0</v>
      </c>
      <c r="J377" s="164"/>
      <c r="K377" s="165"/>
      <c r="L377" s="165"/>
      <c r="M377" s="166"/>
      <c r="N377" s="17"/>
      <c r="P377" s="116"/>
    </row>
    <row r="378" ht="22.5" customHeight="1">
      <c r="A378" s="159"/>
      <c r="B378" s="160"/>
      <c r="C378" s="161"/>
      <c r="D378" s="162"/>
      <c r="E378" s="163"/>
      <c r="F378" s="163"/>
      <c r="G378" s="163" t="b">
        <v>0</v>
      </c>
      <c r="H378" s="163" t="b">
        <v>0</v>
      </c>
      <c r="I378" s="160" t="b">
        <v>0</v>
      </c>
      <c r="J378" s="164"/>
      <c r="K378" s="165"/>
      <c r="L378" s="165"/>
      <c r="M378" s="166"/>
      <c r="N378" s="17"/>
      <c r="P378" s="116"/>
    </row>
    <row r="379" ht="22.5" customHeight="1">
      <c r="A379" s="159"/>
      <c r="B379" s="160"/>
      <c r="C379" s="161"/>
      <c r="D379" s="162"/>
      <c r="E379" s="163"/>
      <c r="F379" s="163"/>
      <c r="G379" s="163" t="b">
        <v>0</v>
      </c>
      <c r="H379" s="163" t="b">
        <v>0</v>
      </c>
      <c r="I379" s="160" t="b">
        <v>0</v>
      </c>
      <c r="J379" s="164"/>
      <c r="K379" s="165"/>
      <c r="L379" s="165"/>
      <c r="M379" s="166"/>
      <c r="N379" s="17"/>
      <c r="P379" s="116"/>
    </row>
    <row r="380" ht="22.5" customHeight="1">
      <c r="A380" s="159"/>
      <c r="B380" s="160"/>
      <c r="C380" s="161"/>
      <c r="D380" s="162"/>
      <c r="E380" s="163"/>
      <c r="F380" s="163"/>
      <c r="G380" s="163" t="b">
        <v>0</v>
      </c>
      <c r="H380" s="163" t="b">
        <v>0</v>
      </c>
      <c r="I380" s="160" t="b">
        <v>0</v>
      </c>
      <c r="J380" s="164"/>
      <c r="K380" s="165"/>
      <c r="L380" s="165"/>
      <c r="M380" s="166"/>
      <c r="N380" s="17"/>
      <c r="P380" s="116"/>
    </row>
  </sheetData>
  <conditionalFormatting sqref="A1:D380">
    <cfRule type="containsText" dxfId="7" priority="1" operator="containsText" text="VDHF">
      <formula>NOT(ISERROR(SEARCH(("VDHF"),(A1))))</formula>
    </cfRule>
  </conditionalFormatting>
  <conditionalFormatting sqref="A1:D380">
    <cfRule type="containsText" dxfId="8" priority="2" operator="containsText" text="POLAIRE COLUMBIA">
      <formula>NOT(ISERROR(SEARCH(("POLAIRE COLUMBIA"),(A1))))</formula>
    </cfRule>
  </conditionalFormatting>
  <conditionalFormatting sqref="A1:D380">
    <cfRule type="containsText" dxfId="8" priority="3" operator="containsText" text="PCF">
      <formula>NOT(ISERROR(SEARCH(("PCF"),(A1))))</formula>
    </cfRule>
  </conditionalFormatting>
  <conditionalFormatting sqref="A1:D380">
    <cfRule type="containsText" dxfId="9" priority="4" operator="containsText" text="PTNFF">
      <formula>NOT(ISERROR(SEARCH(("PTNFF"),(A1))))</formula>
    </cfRule>
  </conditionalFormatting>
  <conditionalFormatting sqref="A1:D380">
    <cfRule type="containsText" dxfId="10" priority="5" operator="containsText" text="PTHF">
      <formula>NOT(ISERROR(SEARCH(("PTHF"),(A1))))</formula>
    </cfRule>
  </conditionalFormatting>
  <conditionalFormatting sqref="A2:N380 O2:P64 Q2:R380">
    <cfRule type="expression" dxfId="11" priority="6">
      <formula>COUNTIF($A2:$K2,"5")&gt;0</formula>
    </cfRule>
  </conditionalFormatting>
  <conditionalFormatting sqref="A1:D380">
    <cfRule type="containsText" dxfId="12" priority="7" operator="containsText" text="JMB">
      <formula>NOT(ISERROR(SEARCH(("JMB"),(A1))))</formula>
    </cfRule>
  </conditionalFormatting>
  <conditionalFormatting sqref="A1:D380">
    <cfRule type="containsText" dxfId="9" priority="8" operator="containsText" text="TNF">
      <formula>NOT(ISERROR(SEARCH(("TNF"),(A1))))</formula>
    </cfRule>
  </conditionalFormatting>
  <conditionalFormatting sqref="A1:D380">
    <cfRule type="containsText" dxfId="10" priority="9" operator="containsText" text="PTHF">
      <formula>NOT(ISERROR(SEARCH(("PTHF"),(A1))))</formula>
    </cfRule>
  </conditionalFormatting>
  <conditionalFormatting sqref="A1:D380">
    <cfRule type="containsText" dxfId="10" priority="10" operator="containsText" text="PTF">
      <formula>NOT(ISERROR(SEARCH(("PTF"),(A1))))</formula>
    </cfRule>
  </conditionalFormatting>
  <conditionalFormatting sqref="A2:N380 O2:P64 Q2:R380">
    <cfRule type="expression" dxfId="7" priority="11">
      <formula>COUNTIF($A2:$K2,"3")&gt;0</formula>
    </cfRule>
  </conditionalFormatting>
  <conditionalFormatting sqref="A2:N380 O2:P64 Q2:R380">
    <cfRule type="expression" dxfId="13" priority="12">
      <formula>COUNTIF($A2:$K2,"6")&gt;0</formula>
    </cfRule>
  </conditionalFormatting>
  <conditionalFormatting sqref="A2:N380 O2:P64 Q2:R380">
    <cfRule type="expression" dxfId="14" priority="13">
      <formula>COUNTIF($A2:$K2,"4")&gt;0</formula>
    </cfRule>
  </conditionalFormatting>
  <conditionalFormatting sqref="A2:N380 O2:P64 Q2:R380">
    <cfRule type="expression" dxfId="12" priority="14">
      <formula>COUNTIF($A2:$K2,"7")&gt;0</formula>
    </cfRule>
  </conditionalFormatting>
  <conditionalFormatting sqref="A2:N380 O2:P64 Q2:R380">
    <cfRule type="expression" dxfId="14" priority="15">
      <formula>COUNTIF($A2:$K2,"10")&gt;0</formula>
    </cfRule>
  </conditionalFormatting>
  <conditionalFormatting sqref="A2:N380 O2:P64 Q2:R380">
    <cfRule type="expression" dxfId="14" priority="16">
      <formula>COUNTIF($A2:$K2,"12")&gt;0</formula>
    </cfRule>
  </conditionalFormatting>
  <conditionalFormatting sqref="A2:N380 O2:P64 Q2:R380">
    <cfRule type="expression" dxfId="14" priority="17">
      <formula>COUNTIF($A2:$K2,"15")&gt;0</formula>
    </cfRule>
  </conditionalFormatting>
  <conditionalFormatting sqref="A2:N380 O2:P64 Q2:R380">
    <cfRule type="expression" dxfId="14" priority="18">
      <formula>COUNTIF($A2:$K2,"16")&gt;0</formula>
    </cfRule>
  </conditionalFormatting>
  <conditionalFormatting sqref="A2:N380 O2:P64 Q2:R380">
    <cfRule type="expression" dxfId="15" priority="19">
      <formula>COUNTIF($A2:$K2,"14")&gt;0</formula>
    </cfRule>
  </conditionalFormatting>
  <conditionalFormatting sqref="A2:N380 O2:P64 Q2:R380">
    <cfRule type="expression" dxfId="9" priority="20">
      <formula>COUNTIF($A2:$K2,"POLAIRE THE NORTH FACE Homme/ Femme")&gt;0</formula>
    </cfRule>
  </conditionalFormatting>
  <conditionalFormatting sqref="A2:N380 O2:P64 Q2:R380">
    <cfRule type="expression" dxfId="8" priority="21">
      <formula>COUNTIF($A2:$K2,"9")&gt;0</formula>
    </cfRule>
  </conditionalFormatting>
  <dataValidations>
    <dataValidation type="list" allowBlank="1" showErrorMessage="1" sqref="L2:L380">
      <formula1>Frais!$C$1:$G$1</formula1>
    </dataValidation>
    <dataValidation type="list" allowBlank="1" showErrorMessage="1" sqref="K2:K380">
      <formula1>Frais!$A$2:$A$4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5.25"/>
    <col customWidth="1" min="3" max="3" width="33.38"/>
    <col customWidth="1" min="4" max="4" width="11.88"/>
    <col customWidth="1" min="5" max="5" width="15.25"/>
    <col customWidth="1" min="6" max="6" width="13.88"/>
    <col customWidth="1" min="7" max="7" width="23.25"/>
    <col customWidth="1" min="8" max="8" width="22.5"/>
    <col customWidth="1" min="9" max="9" width="19.13"/>
    <col customWidth="1" min="10" max="10" width="15.75"/>
    <col customWidth="1" min="11" max="11" width="15.0"/>
  </cols>
  <sheetData>
    <row r="1" ht="22.5" customHeight="1">
      <c r="A1" s="167" t="s">
        <v>7</v>
      </c>
      <c r="B1" s="168" t="s">
        <v>460</v>
      </c>
      <c r="C1" s="169" t="s">
        <v>461</v>
      </c>
      <c r="D1" s="168" t="s">
        <v>67</v>
      </c>
      <c r="E1" s="170" t="s">
        <v>462</v>
      </c>
      <c r="F1" s="171" t="s">
        <v>463</v>
      </c>
      <c r="G1" s="168" t="s">
        <v>464</v>
      </c>
      <c r="H1" s="168" t="s">
        <v>465</v>
      </c>
      <c r="I1" s="168" t="s">
        <v>466</v>
      </c>
      <c r="J1" s="168" t="s">
        <v>467</v>
      </c>
      <c r="K1" s="168" t="s">
        <v>468</v>
      </c>
      <c r="L1" s="172" t="s">
        <v>469</v>
      </c>
    </row>
    <row r="2" ht="22.5" customHeight="1">
      <c r="A2" s="173">
        <v>10.0</v>
      </c>
      <c r="B2" s="174">
        <v>45973.0</v>
      </c>
      <c r="C2" s="175" t="s">
        <v>179</v>
      </c>
      <c r="D2" s="176" t="s">
        <v>470</v>
      </c>
      <c r="E2" s="177">
        <v>0.11</v>
      </c>
      <c r="F2" s="177">
        <v>16.15</v>
      </c>
      <c r="G2" s="178">
        <v>13.0</v>
      </c>
      <c r="H2" s="178">
        <v>1.0</v>
      </c>
      <c r="I2" s="178">
        <v>1.0</v>
      </c>
      <c r="J2" s="178">
        <v>11.0</v>
      </c>
      <c r="K2" s="179" t="b">
        <v>0</v>
      </c>
      <c r="L2" s="180" t="s">
        <v>471</v>
      </c>
    </row>
    <row r="3" ht="22.5" customHeight="1">
      <c r="A3" s="173">
        <v>12.0</v>
      </c>
      <c r="B3" s="174">
        <v>45973.0</v>
      </c>
      <c r="C3" s="175" t="s">
        <v>179</v>
      </c>
      <c r="D3" s="176" t="s">
        <v>472</v>
      </c>
      <c r="E3" s="177">
        <v>0.11</v>
      </c>
      <c r="F3" s="177">
        <v>16.15</v>
      </c>
      <c r="G3" s="178">
        <v>13.0</v>
      </c>
      <c r="H3" s="178">
        <v>1.0</v>
      </c>
      <c r="I3" s="178">
        <v>1.0</v>
      </c>
      <c r="J3" s="178">
        <v>11.0</v>
      </c>
      <c r="K3" s="179" t="b">
        <v>0</v>
      </c>
      <c r="L3" s="180" t="s">
        <v>471</v>
      </c>
    </row>
    <row r="4" ht="22.5" customHeight="1">
      <c r="A4" s="173">
        <v>12.0</v>
      </c>
      <c r="B4" s="174">
        <v>45973.0</v>
      </c>
      <c r="C4" s="175" t="s">
        <v>179</v>
      </c>
      <c r="D4" s="176" t="s">
        <v>473</v>
      </c>
      <c r="E4" s="177">
        <v>0.11</v>
      </c>
      <c r="F4" s="177">
        <v>16.0</v>
      </c>
      <c r="G4" s="178">
        <v>13.0</v>
      </c>
      <c r="H4" s="178">
        <v>1.0</v>
      </c>
      <c r="I4" s="178">
        <v>1.0</v>
      </c>
      <c r="J4" s="178">
        <v>11.0</v>
      </c>
      <c r="K4" s="179" t="b">
        <v>0</v>
      </c>
      <c r="L4" s="180"/>
    </row>
    <row r="5" ht="22.5" customHeight="1">
      <c r="A5" s="181">
        <v>14.0</v>
      </c>
      <c r="B5" s="182">
        <v>45973.0</v>
      </c>
      <c r="C5" s="183" t="s">
        <v>260</v>
      </c>
      <c r="D5" s="184" t="s">
        <v>474</v>
      </c>
      <c r="E5" s="185">
        <v>0.07333333333333333</v>
      </c>
      <c r="F5" s="185">
        <v>8.5</v>
      </c>
      <c r="G5" s="186">
        <v>28.0</v>
      </c>
      <c r="H5" s="186">
        <v>1.0</v>
      </c>
      <c r="I5" s="186">
        <v>1.0</v>
      </c>
      <c r="J5" s="186">
        <v>26.0</v>
      </c>
      <c r="K5" s="187" t="b">
        <v>0</v>
      </c>
      <c r="L5" s="188" t="s">
        <v>475</v>
      </c>
    </row>
    <row r="6" ht="22.5" customHeight="1">
      <c r="A6" s="181">
        <v>14.0</v>
      </c>
      <c r="B6" s="182">
        <v>45973.0</v>
      </c>
      <c r="C6" s="183" t="s">
        <v>260</v>
      </c>
      <c r="D6" s="184" t="s">
        <v>476</v>
      </c>
      <c r="E6" s="185">
        <v>0.07333333333333333</v>
      </c>
      <c r="F6" s="185">
        <v>8.5</v>
      </c>
      <c r="G6" s="186">
        <v>28.0</v>
      </c>
      <c r="H6" s="186">
        <v>1.0</v>
      </c>
      <c r="I6" s="186">
        <v>1.0</v>
      </c>
      <c r="J6" s="186">
        <v>26.0</v>
      </c>
      <c r="K6" s="187" t="b">
        <v>0</v>
      </c>
      <c r="L6" s="188" t="s">
        <v>475</v>
      </c>
    </row>
    <row r="7" ht="22.5" customHeight="1">
      <c r="A7" s="181">
        <v>14.0</v>
      </c>
      <c r="B7" s="182">
        <v>45973.0</v>
      </c>
      <c r="C7" s="183" t="s">
        <v>260</v>
      </c>
      <c r="D7" s="184" t="s">
        <v>477</v>
      </c>
      <c r="E7" s="185">
        <v>0.07333333333333333</v>
      </c>
      <c r="F7" s="185">
        <v>8.5</v>
      </c>
      <c r="G7" s="186">
        <v>28.0</v>
      </c>
      <c r="H7" s="186">
        <v>1.0</v>
      </c>
      <c r="I7" s="186">
        <v>1.0</v>
      </c>
      <c r="J7" s="186">
        <v>26.0</v>
      </c>
      <c r="K7" s="187" t="b">
        <v>0</v>
      </c>
      <c r="L7" s="188" t="s">
        <v>475</v>
      </c>
    </row>
    <row r="8" ht="22.5" customHeight="1">
      <c r="A8" s="173">
        <v>15.0</v>
      </c>
      <c r="B8" s="174">
        <v>45973.0</v>
      </c>
      <c r="C8" s="175" t="s">
        <v>179</v>
      </c>
      <c r="D8" s="176" t="s">
        <v>478</v>
      </c>
      <c r="E8" s="177">
        <v>0.11</v>
      </c>
      <c r="F8" s="177">
        <v>17.0</v>
      </c>
      <c r="G8" s="178">
        <v>13.0</v>
      </c>
      <c r="H8" s="178">
        <v>1.0</v>
      </c>
      <c r="I8" s="178">
        <v>1.0</v>
      </c>
      <c r="J8" s="178">
        <v>11.0</v>
      </c>
      <c r="K8" s="179" t="b">
        <v>0</v>
      </c>
      <c r="L8" s="180"/>
    </row>
    <row r="9" ht="22.5" customHeight="1">
      <c r="A9" s="173">
        <v>15.0</v>
      </c>
      <c r="B9" s="174">
        <v>45973.0</v>
      </c>
      <c r="C9" s="175" t="s">
        <v>179</v>
      </c>
      <c r="D9" s="176" t="s">
        <v>479</v>
      </c>
      <c r="E9" s="177">
        <v>0.11</v>
      </c>
      <c r="F9" s="177">
        <v>19.0</v>
      </c>
      <c r="G9" s="178">
        <v>13.0</v>
      </c>
      <c r="H9" s="178">
        <v>1.0</v>
      </c>
      <c r="I9" s="178">
        <v>1.0</v>
      </c>
      <c r="J9" s="178">
        <v>11.0</v>
      </c>
      <c r="K9" s="179" t="b">
        <v>0</v>
      </c>
      <c r="L9" s="180"/>
    </row>
    <row r="10" ht="22.5" customHeight="1">
      <c r="A10" s="173">
        <v>15.0</v>
      </c>
      <c r="B10" s="174">
        <v>45973.0</v>
      </c>
      <c r="C10" s="175" t="s">
        <v>179</v>
      </c>
      <c r="D10" s="176" t="s">
        <v>480</v>
      </c>
      <c r="E10" s="177">
        <v>0.11</v>
      </c>
      <c r="F10" s="177">
        <v>18.0</v>
      </c>
      <c r="G10" s="178">
        <v>13.0</v>
      </c>
      <c r="H10" s="178">
        <v>1.0</v>
      </c>
      <c r="I10" s="178">
        <v>1.0</v>
      </c>
      <c r="J10" s="178">
        <v>11.0</v>
      </c>
      <c r="K10" s="179" t="b">
        <v>0</v>
      </c>
      <c r="L10" s="180"/>
    </row>
    <row r="11" ht="22.5" customHeight="1">
      <c r="A11" s="173">
        <v>15.0</v>
      </c>
      <c r="B11" s="174">
        <v>45973.0</v>
      </c>
      <c r="C11" s="175" t="s">
        <v>179</v>
      </c>
      <c r="D11" s="176" t="s">
        <v>481</v>
      </c>
      <c r="E11" s="177">
        <v>0.11</v>
      </c>
      <c r="F11" s="177">
        <v>15.0</v>
      </c>
      <c r="G11" s="178">
        <v>13.0</v>
      </c>
      <c r="H11" s="178">
        <v>1.0</v>
      </c>
      <c r="I11" s="178">
        <v>1.0</v>
      </c>
      <c r="J11" s="178">
        <v>11.0</v>
      </c>
      <c r="K11" s="179" t="b">
        <v>0</v>
      </c>
      <c r="L11" s="180"/>
    </row>
    <row r="12" ht="22.5" customHeight="1">
      <c r="A12" s="173">
        <v>15.0</v>
      </c>
      <c r="B12" s="174">
        <v>45973.0</v>
      </c>
      <c r="C12" s="175" t="s">
        <v>179</v>
      </c>
      <c r="D12" s="176" t="s">
        <v>482</v>
      </c>
      <c r="E12" s="177">
        <v>0.11</v>
      </c>
      <c r="F12" s="177">
        <v>19.0</v>
      </c>
      <c r="G12" s="178">
        <v>13.0</v>
      </c>
      <c r="H12" s="178">
        <v>1.0</v>
      </c>
      <c r="I12" s="178">
        <v>1.0</v>
      </c>
      <c r="J12" s="178">
        <v>11.0</v>
      </c>
      <c r="K12" s="179" t="b">
        <v>0</v>
      </c>
      <c r="L12" s="180"/>
    </row>
    <row r="13" ht="22.5" customHeight="1">
      <c r="A13" s="173">
        <v>15.0</v>
      </c>
      <c r="B13" s="174">
        <v>45971.0</v>
      </c>
      <c r="C13" s="175" t="s">
        <v>179</v>
      </c>
      <c r="D13" s="176" t="s">
        <v>483</v>
      </c>
      <c r="E13" s="177">
        <v>0.11</v>
      </c>
      <c r="F13" s="177">
        <v>18.0</v>
      </c>
      <c r="G13" s="178">
        <v>11.0</v>
      </c>
      <c r="H13" s="178">
        <v>1.0</v>
      </c>
      <c r="I13" s="178">
        <v>1.0</v>
      </c>
      <c r="J13" s="178">
        <v>9.0</v>
      </c>
      <c r="K13" s="179" t="b">
        <v>0</v>
      </c>
      <c r="L13" s="180"/>
    </row>
    <row r="14" ht="22.5" customHeight="1">
      <c r="A14" s="189">
        <v>12.0</v>
      </c>
      <c r="B14" s="190">
        <v>45970.0</v>
      </c>
      <c r="C14" s="191" t="s">
        <v>484</v>
      </c>
      <c r="D14" s="192" t="s">
        <v>485</v>
      </c>
      <c r="E14" s="193">
        <v>0.11</v>
      </c>
      <c r="F14" s="193">
        <v>17.0</v>
      </c>
      <c r="G14" s="189">
        <v>21.0</v>
      </c>
      <c r="H14" s="189">
        <v>0.0</v>
      </c>
      <c r="I14" s="189">
        <v>0.0</v>
      </c>
      <c r="J14" s="189">
        <v>0.0</v>
      </c>
      <c r="K14" s="179" t="b">
        <v>0</v>
      </c>
      <c r="L14" s="180"/>
    </row>
    <row r="15" ht="22.5" customHeight="1">
      <c r="A15" s="189">
        <v>12.0</v>
      </c>
      <c r="B15" s="190">
        <v>45970.0</v>
      </c>
      <c r="C15" s="191" t="s">
        <v>484</v>
      </c>
      <c r="D15" s="192" t="s">
        <v>486</v>
      </c>
      <c r="E15" s="193">
        <v>0.11</v>
      </c>
      <c r="F15" s="193">
        <v>18.0</v>
      </c>
      <c r="G15" s="189">
        <v>18.0</v>
      </c>
      <c r="H15" s="189">
        <v>0.0</v>
      </c>
      <c r="I15" s="189">
        <v>0.0</v>
      </c>
      <c r="J15" s="189">
        <v>0.0</v>
      </c>
      <c r="K15" s="179" t="b">
        <v>0</v>
      </c>
      <c r="L15" s="180"/>
    </row>
    <row r="16" ht="22.5" customHeight="1">
      <c r="A16" s="189">
        <v>15.0</v>
      </c>
      <c r="B16" s="190">
        <v>45970.0</v>
      </c>
      <c r="C16" s="191" t="s">
        <v>484</v>
      </c>
      <c r="D16" s="192" t="s">
        <v>487</v>
      </c>
      <c r="E16" s="193">
        <v>0.11</v>
      </c>
      <c r="F16" s="193">
        <v>15.0</v>
      </c>
      <c r="G16" s="189">
        <v>5.0</v>
      </c>
      <c r="H16" s="189">
        <v>0.0</v>
      </c>
      <c r="I16" s="189">
        <v>0.0</v>
      </c>
      <c r="J16" s="189">
        <v>0.0</v>
      </c>
      <c r="K16" s="179" t="b">
        <v>0</v>
      </c>
      <c r="L16" s="180"/>
    </row>
    <row r="17" ht="22.5" customHeight="1">
      <c r="A17" s="189">
        <v>15.0</v>
      </c>
      <c r="B17" s="190">
        <v>45970.0</v>
      </c>
      <c r="C17" s="191" t="s">
        <v>484</v>
      </c>
      <c r="D17" s="192" t="s">
        <v>488</v>
      </c>
      <c r="E17" s="193">
        <v>0.11</v>
      </c>
      <c r="F17" s="193">
        <v>14.0</v>
      </c>
      <c r="G17" s="189">
        <v>4.0</v>
      </c>
      <c r="H17" s="189">
        <v>0.0</v>
      </c>
      <c r="I17" s="189">
        <v>0.0</v>
      </c>
      <c r="J17" s="189">
        <v>0.0</v>
      </c>
      <c r="K17" s="179" t="b">
        <v>0</v>
      </c>
      <c r="L17" s="180"/>
    </row>
    <row r="18" ht="22.5" customHeight="1">
      <c r="A18" s="189">
        <v>15.0</v>
      </c>
      <c r="B18" s="190">
        <v>45970.0</v>
      </c>
      <c r="C18" s="191" t="s">
        <v>484</v>
      </c>
      <c r="D18" s="192" t="s">
        <v>489</v>
      </c>
      <c r="E18" s="193">
        <v>0.11</v>
      </c>
      <c r="F18" s="193">
        <v>15.0</v>
      </c>
      <c r="G18" s="189">
        <v>3.0</v>
      </c>
      <c r="H18" s="189">
        <v>0.0</v>
      </c>
      <c r="I18" s="189">
        <v>0.0</v>
      </c>
      <c r="J18" s="189">
        <v>0.0</v>
      </c>
      <c r="K18" s="179" t="b">
        <v>0</v>
      </c>
      <c r="L18" s="180"/>
    </row>
    <row r="19" ht="22.5" customHeight="1">
      <c r="A19" s="189">
        <v>15.0</v>
      </c>
      <c r="B19" s="190">
        <v>45970.0</v>
      </c>
      <c r="C19" s="191" t="s">
        <v>484</v>
      </c>
      <c r="D19" s="192" t="s">
        <v>490</v>
      </c>
      <c r="E19" s="193">
        <v>0.11</v>
      </c>
      <c r="F19" s="193">
        <v>15.0</v>
      </c>
      <c r="G19" s="189">
        <v>2.0</v>
      </c>
      <c r="H19" s="189">
        <v>0.0</v>
      </c>
      <c r="I19" s="189">
        <v>0.0</v>
      </c>
      <c r="J19" s="189">
        <v>0.0</v>
      </c>
      <c r="K19" s="179" t="b">
        <v>0</v>
      </c>
      <c r="L19" s="180"/>
    </row>
    <row r="20" ht="22.5" customHeight="1">
      <c r="A20" s="189">
        <v>15.0</v>
      </c>
      <c r="B20" s="190">
        <v>45970.0</v>
      </c>
      <c r="C20" s="191" t="s">
        <v>484</v>
      </c>
      <c r="D20" s="192" t="s">
        <v>491</v>
      </c>
      <c r="E20" s="193">
        <v>0.11</v>
      </c>
      <c r="F20" s="193">
        <v>13.5</v>
      </c>
      <c r="G20" s="189">
        <v>1.0</v>
      </c>
      <c r="H20" s="189">
        <v>0.0</v>
      </c>
      <c r="I20" s="189">
        <v>0.0</v>
      </c>
      <c r="J20" s="189">
        <v>0.0</v>
      </c>
      <c r="K20" s="179" t="b">
        <v>0</v>
      </c>
      <c r="L20" s="180"/>
    </row>
    <row r="21" ht="22.5" customHeight="1">
      <c r="A21" s="189">
        <v>15.0</v>
      </c>
      <c r="B21" s="190">
        <v>45970.0</v>
      </c>
      <c r="C21" s="191" t="s">
        <v>484</v>
      </c>
      <c r="D21" s="192" t="s">
        <v>492</v>
      </c>
      <c r="E21" s="193">
        <v>0.11</v>
      </c>
      <c r="F21" s="193">
        <v>13.5</v>
      </c>
      <c r="G21" s="189">
        <v>1.0</v>
      </c>
      <c r="H21" s="189">
        <v>0.0</v>
      </c>
      <c r="I21" s="189">
        <v>0.0</v>
      </c>
      <c r="J21" s="189">
        <v>0.0</v>
      </c>
      <c r="K21" s="179" t="b">
        <v>0</v>
      </c>
      <c r="L21" s="180"/>
    </row>
    <row r="22" ht="22.5" customHeight="1">
      <c r="A22" s="189">
        <v>15.0</v>
      </c>
      <c r="B22" s="190">
        <v>45970.0</v>
      </c>
      <c r="C22" s="191" t="s">
        <v>484</v>
      </c>
      <c r="D22" s="192" t="s">
        <v>493</v>
      </c>
      <c r="E22" s="193">
        <v>0.11</v>
      </c>
      <c r="F22" s="193">
        <v>17.0</v>
      </c>
      <c r="G22" s="189">
        <v>1.0</v>
      </c>
      <c r="H22" s="189">
        <v>0.0</v>
      </c>
      <c r="I22" s="189">
        <v>0.0</v>
      </c>
      <c r="J22" s="189">
        <v>0.0</v>
      </c>
      <c r="K22" s="179" t="b">
        <v>0</v>
      </c>
      <c r="L22" s="180"/>
    </row>
    <row r="23" ht="22.5" customHeight="1">
      <c r="A23" s="194">
        <v>14.0</v>
      </c>
      <c r="B23" s="195">
        <v>45970.0</v>
      </c>
      <c r="C23" s="196" t="s">
        <v>494</v>
      </c>
      <c r="D23" s="197" t="s">
        <v>495</v>
      </c>
      <c r="E23" s="198">
        <v>0.11</v>
      </c>
      <c r="F23" s="198">
        <v>14.0</v>
      </c>
      <c r="G23" s="194">
        <v>14.0</v>
      </c>
      <c r="H23" s="194">
        <v>0.0</v>
      </c>
      <c r="I23" s="194">
        <v>0.0</v>
      </c>
      <c r="J23" s="194">
        <v>0.0</v>
      </c>
      <c r="K23" s="187" t="b">
        <v>0</v>
      </c>
      <c r="L23" s="188"/>
    </row>
    <row r="24" ht="22.5" customHeight="1">
      <c r="A24" s="189">
        <v>10.0</v>
      </c>
      <c r="B24" s="190">
        <v>45969.0</v>
      </c>
      <c r="C24" s="191" t="s">
        <v>484</v>
      </c>
      <c r="D24" s="192" t="s">
        <v>496</v>
      </c>
      <c r="E24" s="193">
        <v>0.11</v>
      </c>
      <c r="F24" s="193">
        <v>15.0</v>
      </c>
      <c r="G24" s="189">
        <v>22.0</v>
      </c>
      <c r="H24" s="189">
        <v>0.0</v>
      </c>
      <c r="I24" s="189">
        <v>0.0</v>
      </c>
      <c r="J24" s="189">
        <v>0.0</v>
      </c>
      <c r="K24" s="179" t="b">
        <v>0</v>
      </c>
      <c r="L24" s="180"/>
    </row>
    <row r="25" ht="22.5" customHeight="1">
      <c r="A25" s="189">
        <v>15.0</v>
      </c>
      <c r="B25" s="190">
        <v>45969.0</v>
      </c>
      <c r="C25" s="191" t="s">
        <v>484</v>
      </c>
      <c r="D25" s="192" t="s">
        <v>497</v>
      </c>
      <c r="E25" s="193">
        <v>0.11</v>
      </c>
      <c r="F25" s="193">
        <v>15.0</v>
      </c>
      <c r="G25" s="189">
        <v>5.0</v>
      </c>
      <c r="H25" s="189">
        <v>0.0</v>
      </c>
      <c r="I25" s="189">
        <v>0.0</v>
      </c>
      <c r="J25" s="189">
        <v>0.0</v>
      </c>
      <c r="K25" s="179" t="b">
        <v>0</v>
      </c>
      <c r="L25" s="180"/>
    </row>
    <row r="26" ht="22.5" customHeight="1">
      <c r="A26" s="189">
        <v>15.0</v>
      </c>
      <c r="B26" s="190">
        <v>45969.0</v>
      </c>
      <c r="C26" s="191" t="s">
        <v>484</v>
      </c>
      <c r="D26" s="192" t="s">
        <v>498</v>
      </c>
      <c r="E26" s="193">
        <v>0.11</v>
      </c>
      <c r="F26" s="193">
        <v>20.0</v>
      </c>
      <c r="G26" s="189">
        <v>3.0</v>
      </c>
      <c r="H26" s="189">
        <v>0.0</v>
      </c>
      <c r="I26" s="189">
        <v>0.0</v>
      </c>
      <c r="J26" s="189">
        <v>0.0</v>
      </c>
      <c r="K26" s="179" t="b">
        <v>0</v>
      </c>
      <c r="L26" s="180"/>
    </row>
    <row r="27" ht="22.5" customHeight="1">
      <c r="A27" s="189">
        <v>15.0</v>
      </c>
      <c r="B27" s="190">
        <v>45969.0</v>
      </c>
      <c r="C27" s="191" t="s">
        <v>484</v>
      </c>
      <c r="D27" s="192" t="s">
        <v>499</v>
      </c>
      <c r="E27" s="193">
        <v>0.11</v>
      </c>
      <c r="F27" s="193">
        <v>14.4</v>
      </c>
      <c r="G27" s="189">
        <v>2.0</v>
      </c>
      <c r="H27" s="189">
        <v>0.0</v>
      </c>
      <c r="I27" s="189">
        <v>0.0</v>
      </c>
      <c r="J27" s="189">
        <v>0.0</v>
      </c>
      <c r="K27" s="179" t="b">
        <v>0</v>
      </c>
      <c r="L27" s="180"/>
    </row>
    <row r="28" ht="22.5" customHeight="1">
      <c r="A28" s="189">
        <v>15.0</v>
      </c>
      <c r="B28" s="190">
        <v>45969.0</v>
      </c>
      <c r="C28" s="191" t="s">
        <v>484</v>
      </c>
      <c r="D28" s="192" t="s">
        <v>500</v>
      </c>
      <c r="E28" s="193">
        <v>0.11</v>
      </c>
      <c r="F28" s="193">
        <v>18.0</v>
      </c>
      <c r="G28" s="189">
        <v>2.0</v>
      </c>
      <c r="H28" s="189">
        <v>0.0</v>
      </c>
      <c r="I28" s="189">
        <v>0.0</v>
      </c>
      <c r="J28" s="189">
        <v>0.0</v>
      </c>
      <c r="K28" s="179" t="b">
        <v>0</v>
      </c>
      <c r="L28" s="180"/>
    </row>
    <row r="29" ht="22.5" customHeight="1">
      <c r="A29" s="189">
        <v>15.0</v>
      </c>
      <c r="B29" s="190">
        <v>45969.0</v>
      </c>
      <c r="C29" s="191" t="s">
        <v>484</v>
      </c>
      <c r="D29" s="192" t="s">
        <v>501</v>
      </c>
      <c r="E29" s="193">
        <v>0.11</v>
      </c>
      <c r="F29" s="193">
        <v>18.0</v>
      </c>
      <c r="G29" s="189">
        <v>2.0</v>
      </c>
      <c r="H29" s="189">
        <v>0.0</v>
      </c>
      <c r="I29" s="189">
        <v>0.0</v>
      </c>
      <c r="J29" s="189">
        <v>0.0</v>
      </c>
      <c r="K29" s="179" t="b">
        <v>0</v>
      </c>
      <c r="L29" s="180"/>
    </row>
    <row r="30" ht="22.5" customHeight="1">
      <c r="A30" s="189">
        <v>15.0</v>
      </c>
      <c r="B30" s="190">
        <v>45969.0</v>
      </c>
      <c r="C30" s="191" t="s">
        <v>484</v>
      </c>
      <c r="D30" s="192" t="s">
        <v>502</v>
      </c>
      <c r="E30" s="193">
        <v>0.11</v>
      </c>
      <c r="F30" s="193">
        <v>17.5</v>
      </c>
      <c r="G30" s="189">
        <v>2.0</v>
      </c>
      <c r="H30" s="189">
        <v>0.0</v>
      </c>
      <c r="I30" s="189">
        <v>0.0</v>
      </c>
      <c r="J30" s="189">
        <v>0.0</v>
      </c>
      <c r="K30" s="179" t="b">
        <v>0</v>
      </c>
      <c r="L30" s="180"/>
    </row>
    <row r="31" ht="22.5" customHeight="1">
      <c r="A31" s="189">
        <v>15.0</v>
      </c>
      <c r="B31" s="190">
        <v>45969.0</v>
      </c>
      <c r="C31" s="191" t="s">
        <v>484</v>
      </c>
      <c r="D31" s="192" t="s">
        <v>503</v>
      </c>
      <c r="E31" s="193">
        <v>0.11</v>
      </c>
      <c r="F31" s="193">
        <v>18.0</v>
      </c>
      <c r="G31" s="189">
        <v>1.0</v>
      </c>
      <c r="H31" s="189">
        <v>0.0</v>
      </c>
      <c r="I31" s="189">
        <v>0.0</v>
      </c>
      <c r="J31" s="189">
        <v>0.0</v>
      </c>
      <c r="K31" s="179" t="b">
        <v>0</v>
      </c>
      <c r="L31" s="180"/>
    </row>
    <row r="32" ht="22.5" customHeight="1">
      <c r="A32" s="189">
        <v>15.0</v>
      </c>
      <c r="B32" s="190">
        <v>45969.0</v>
      </c>
      <c r="C32" s="191" t="s">
        <v>484</v>
      </c>
      <c r="D32" s="192" t="s">
        <v>504</v>
      </c>
      <c r="E32" s="193">
        <v>0.11</v>
      </c>
      <c r="F32" s="193">
        <v>17.5</v>
      </c>
      <c r="G32" s="189">
        <v>1.0</v>
      </c>
      <c r="H32" s="189">
        <v>0.0</v>
      </c>
      <c r="I32" s="189">
        <v>0.0</v>
      </c>
      <c r="J32" s="189">
        <v>0.0</v>
      </c>
      <c r="K32" s="179" t="b">
        <v>0</v>
      </c>
      <c r="L32" s="180"/>
    </row>
    <row r="33" ht="22.5" customHeight="1">
      <c r="A33" s="199">
        <v>7.0</v>
      </c>
      <c r="B33" s="200">
        <v>45968.0</v>
      </c>
      <c r="C33" s="201" t="s">
        <v>505</v>
      </c>
      <c r="D33" s="202" t="s">
        <v>506</v>
      </c>
      <c r="E33" s="203">
        <v>0.11</v>
      </c>
      <c r="F33" s="203">
        <v>11.0</v>
      </c>
      <c r="G33" s="199">
        <v>44.0</v>
      </c>
      <c r="H33" s="199">
        <v>0.0</v>
      </c>
      <c r="I33" s="199">
        <v>0.0</v>
      </c>
      <c r="J33" s="199">
        <v>0.0</v>
      </c>
      <c r="K33" s="204" t="b">
        <v>0</v>
      </c>
      <c r="L33" s="205"/>
    </row>
    <row r="34" ht="22.5" customHeight="1">
      <c r="A34" s="189">
        <v>15.0</v>
      </c>
      <c r="B34" s="190">
        <v>45968.0</v>
      </c>
      <c r="C34" s="191" t="s">
        <v>484</v>
      </c>
      <c r="D34" s="192" t="s">
        <v>507</v>
      </c>
      <c r="E34" s="193">
        <v>0.11</v>
      </c>
      <c r="F34" s="193">
        <v>16.25</v>
      </c>
      <c r="G34" s="189">
        <v>5.0</v>
      </c>
      <c r="H34" s="189">
        <v>0.0</v>
      </c>
      <c r="I34" s="189">
        <v>0.0</v>
      </c>
      <c r="J34" s="189">
        <v>0.0</v>
      </c>
      <c r="K34" s="179" t="b">
        <v>0</v>
      </c>
      <c r="L34" s="180"/>
    </row>
    <row r="35" ht="22.5" customHeight="1">
      <c r="A35" s="189">
        <v>15.0</v>
      </c>
      <c r="B35" s="190">
        <v>45968.0</v>
      </c>
      <c r="C35" s="191" t="s">
        <v>484</v>
      </c>
      <c r="D35" s="192" t="s">
        <v>508</v>
      </c>
      <c r="E35" s="193">
        <v>0.11</v>
      </c>
      <c r="F35" s="193">
        <v>16.2</v>
      </c>
      <c r="G35" s="189">
        <v>3.0</v>
      </c>
      <c r="H35" s="189">
        <v>0.0</v>
      </c>
      <c r="I35" s="189">
        <v>0.0</v>
      </c>
      <c r="J35" s="189">
        <v>0.0</v>
      </c>
      <c r="K35" s="179" t="b">
        <v>0</v>
      </c>
      <c r="L35" s="180"/>
    </row>
    <row r="36" ht="22.5" customHeight="1">
      <c r="A36" s="189">
        <v>15.0</v>
      </c>
      <c r="B36" s="190">
        <v>45968.0</v>
      </c>
      <c r="C36" s="191" t="s">
        <v>484</v>
      </c>
      <c r="D36" s="192" t="s">
        <v>509</v>
      </c>
      <c r="E36" s="193">
        <v>0.11</v>
      </c>
      <c r="F36" s="193">
        <v>15.0</v>
      </c>
      <c r="G36" s="189">
        <v>3.0</v>
      </c>
      <c r="H36" s="189">
        <v>0.0</v>
      </c>
      <c r="I36" s="189">
        <v>0.0</v>
      </c>
      <c r="J36" s="189">
        <v>0.0</v>
      </c>
      <c r="K36" s="179" t="b">
        <v>0</v>
      </c>
      <c r="L36" s="180"/>
    </row>
    <row r="37" ht="22.5" customHeight="1">
      <c r="A37" s="189">
        <v>15.0</v>
      </c>
      <c r="B37" s="190">
        <v>45968.0</v>
      </c>
      <c r="C37" s="191" t="s">
        <v>484</v>
      </c>
      <c r="D37" s="192" t="s">
        <v>510</v>
      </c>
      <c r="E37" s="193">
        <v>0.11</v>
      </c>
      <c r="F37" s="193">
        <v>16.25</v>
      </c>
      <c r="G37" s="189">
        <v>2.0</v>
      </c>
      <c r="H37" s="189">
        <v>0.0</v>
      </c>
      <c r="I37" s="189">
        <v>0.0</v>
      </c>
      <c r="J37" s="189">
        <v>0.0</v>
      </c>
      <c r="K37" s="179" t="b">
        <v>0</v>
      </c>
      <c r="L37" s="180"/>
    </row>
    <row r="38" ht="22.5" customHeight="1">
      <c r="A38" s="189">
        <v>15.0</v>
      </c>
      <c r="B38" s="190">
        <v>45968.0</v>
      </c>
      <c r="C38" s="191" t="s">
        <v>484</v>
      </c>
      <c r="D38" s="192" t="s">
        <v>511</v>
      </c>
      <c r="E38" s="193">
        <v>0.11</v>
      </c>
      <c r="F38" s="193">
        <v>16.0</v>
      </c>
      <c r="G38" s="189">
        <v>2.0</v>
      </c>
      <c r="H38" s="189">
        <v>0.0</v>
      </c>
      <c r="I38" s="189">
        <v>0.0</v>
      </c>
      <c r="J38" s="189">
        <v>0.0</v>
      </c>
      <c r="K38" s="179" t="b">
        <v>0</v>
      </c>
      <c r="L38" s="180"/>
    </row>
    <row r="39" ht="22.5" customHeight="1">
      <c r="A39" s="194">
        <v>14.0</v>
      </c>
      <c r="B39" s="195">
        <v>45968.0</v>
      </c>
      <c r="C39" s="196" t="s">
        <v>494</v>
      </c>
      <c r="D39" s="197" t="s">
        <v>512</v>
      </c>
      <c r="E39" s="198">
        <v>0.11</v>
      </c>
      <c r="F39" s="198">
        <v>13.9</v>
      </c>
      <c r="G39" s="194">
        <v>14.0</v>
      </c>
      <c r="H39" s="194">
        <v>0.0</v>
      </c>
      <c r="I39" s="194">
        <v>0.0</v>
      </c>
      <c r="J39" s="194">
        <v>0.0</v>
      </c>
      <c r="K39" s="187" t="b">
        <v>0</v>
      </c>
      <c r="L39" s="188"/>
    </row>
    <row r="40" ht="22.5" customHeight="1">
      <c r="A40" s="206">
        <v>1.0</v>
      </c>
      <c r="B40" s="207">
        <v>45967.0</v>
      </c>
      <c r="C40" s="208" t="s">
        <v>22</v>
      </c>
      <c r="D40" s="209" t="s">
        <v>513</v>
      </c>
      <c r="E40" s="210">
        <v>0.22</v>
      </c>
      <c r="F40" s="210">
        <v>16.0</v>
      </c>
      <c r="G40" s="206">
        <v>66.0</v>
      </c>
      <c r="H40" s="206">
        <v>0.0</v>
      </c>
      <c r="I40" s="206">
        <v>0.0</v>
      </c>
      <c r="J40" s="206">
        <v>0.0</v>
      </c>
      <c r="K40" s="211" t="b">
        <v>0</v>
      </c>
      <c r="L40" s="212"/>
    </row>
    <row r="41" ht="22.5" customHeight="1">
      <c r="A41" s="189">
        <v>15.0</v>
      </c>
      <c r="B41" s="190">
        <v>45967.0</v>
      </c>
      <c r="C41" s="191" t="s">
        <v>484</v>
      </c>
      <c r="D41" s="192" t="s">
        <v>514</v>
      </c>
      <c r="E41" s="193">
        <v>0.11</v>
      </c>
      <c r="F41" s="193">
        <v>20.0</v>
      </c>
      <c r="G41" s="189">
        <v>2.0</v>
      </c>
      <c r="H41" s="189">
        <v>0.0</v>
      </c>
      <c r="I41" s="189">
        <v>0.0</v>
      </c>
      <c r="J41" s="189">
        <v>0.0</v>
      </c>
      <c r="K41" s="179" t="b">
        <v>0</v>
      </c>
      <c r="L41" s="180"/>
    </row>
    <row r="42" ht="22.5" customHeight="1">
      <c r="A42" s="189">
        <v>15.0</v>
      </c>
      <c r="B42" s="190">
        <v>45967.0</v>
      </c>
      <c r="C42" s="191" t="s">
        <v>484</v>
      </c>
      <c r="D42" s="192" t="s">
        <v>515</v>
      </c>
      <c r="E42" s="193">
        <v>0.11</v>
      </c>
      <c r="F42" s="193">
        <v>14.0</v>
      </c>
      <c r="G42" s="189">
        <v>1.0</v>
      </c>
      <c r="H42" s="189">
        <v>0.0</v>
      </c>
      <c r="I42" s="189">
        <v>0.0</v>
      </c>
      <c r="J42" s="189">
        <v>0.0</v>
      </c>
      <c r="K42" s="179" t="b">
        <v>0</v>
      </c>
      <c r="L42" s="180"/>
    </row>
    <row r="43" ht="22.5" customHeight="1">
      <c r="A43" s="189">
        <v>15.0</v>
      </c>
      <c r="B43" s="190">
        <v>45967.0</v>
      </c>
      <c r="C43" s="191" t="s">
        <v>484</v>
      </c>
      <c r="D43" s="192" t="s">
        <v>516</v>
      </c>
      <c r="E43" s="193">
        <v>0.11</v>
      </c>
      <c r="F43" s="193">
        <v>23.0</v>
      </c>
      <c r="G43" s="189">
        <v>1.0</v>
      </c>
      <c r="H43" s="189">
        <v>0.0</v>
      </c>
      <c r="I43" s="189">
        <v>0.0</v>
      </c>
      <c r="J43" s="189">
        <v>0.0</v>
      </c>
      <c r="K43" s="179" t="b">
        <v>0</v>
      </c>
      <c r="L43" s="180"/>
    </row>
    <row r="44" ht="22.5" customHeight="1">
      <c r="A44" s="189">
        <v>15.0</v>
      </c>
      <c r="B44" s="190">
        <v>45967.0</v>
      </c>
      <c r="C44" s="191" t="s">
        <v>484</v>
      </c>
      <c r="D44" s="192" t="s">
        <v>517</v>
      </c>
      <c r="E44" s="193">
        <v>0.11</v>
      </c>
      <c r="F44" s="193">
        <v>15.0</v>
      </c>
      <c r="G44" s="189">
        <v>1.0</v>
      </c>
      <c r="H44" s="189">
        <v>0.0</v>
      </c>
      <c r="I44" s="189">
        <v>0.0</v>
      </c>
      <c r="J44" s="189">
        <v>0.0</v>
      </c>
      <c r="K44" s="179" t="b">
        <v>0</v>
      </c>
      <c r="L44" s="180"/>
    </row>
    <row r="45" ht="22.5" customHeight="1">
      <c r="A45" s="189">
        <v>15.0</v>
      </c>
      <c r="B45" s="190">
        <v>45966.0</v>
      </c>
      <c r="C45" s="191" t="s">
        <v>484</v>
      </c>
      <c r="D45" s="192" t="s">
        <v>518</v>
      </c>
      <c r="E45" s="193">
        <v>0.11</v>
      </c>
      <c r="F45" s="193">
        <v>15.0</v>
      </c>
      <c r="G45" s="189">
        <v>5.0</v>
      </c>
      <c r="H45" s="189">
        <v>0.0</v>
      </c>
      <c r="I45" s="189">
        <v>0.0</v>
      </c>
      <c r="J45" s="189">
        <v>0.0</v>
      </c>
      <c r="K45" s="179" t="b">
        <v>0</v>
      </c>
      <c r="L45" s="180"/>
    </row>
    <row r="46" ht="22.5" customHeight="1">
      <c r="A46" s="189">
        <v>15.0</v>
      </c>
      <c r="B46" s="190">
        <v>45966.0</v>
      </c>
      <c r="C46" s="191" t="s">
        <v>484</v>
      </c>
      <c r="D46" s="192" t="s">
        <v>519</v>
      </c>
      <c r="E46" s="193">
        <v>0.11</v>
      </c>
      <c r="F46" s="193">
        <v>16.0</v>
      </c>
      <c r="G46" s="189">
        <v>1.0</v>
      </c>
      <c r="H46" s="189">
        <v>0.0</v>
      </c>
      <c r="I46" s="189">
        <v>0.0</v>
      </c>
      <c r="J46" s="189">
        <v>0.0</v>
      </c>
      <c r="K46" s="179" t="b">
        <v>0</v>
      </c>
      <c r="L46" s="180"/>
    </row>
    <row r="47" ht="22.5" customHeight="1">
      <c r="A47" s="189">
        <v>15.0</v>
      </c>
      <c r="B47" s="190">
        <v>45966.0</v>
      </c>
      <c r="C47" s="191" t="s">
        <v>484</v>
      </c>
      <c r="D47" s="192" t="s">
        <v>520</v>
      </c>
      <c r="E47" s="193">
        <v>0.11</v>
      </c>
      <c r="F47" s="193">
        <v>19.0</v>
      </c>
      <c r="G47" s="189">
        <v>1.0</v>
      </c>
      <c r="H47" s="189">
        <v>0.0</v>
      </c>
      <c r="I47" s="189">
        <v>0.0</v>
      </c>
      <c r="J47" s="189">
        <v>0.0</v>
      </c>
      <c r="K47" s="179" t="b">
        <v>0</v>
      </c>
      <c r="L47" s="180"/>
    </row>
    <row r="48" ht="22.5" customHeight="1">
      <c r="A48" s="189">
        <v>12.0</v>
      </c>
      <c r="B48" s="190">
        <v>45965.0</v>
      </c>
      <c r="C48" s="191" t="s">
        <v>484</v>
      </c>
      <c r="D48" s="192" t="s">
        <v>521</v>
      </c>
      <c r="E48" s="193">
        <v>0.11</v>
      </c>
      <c r="F48" s="193">
        <v>16.0</v>
      </c>
      <c r="G48" s="189">
        <v>16.0</v>
      </c>
      <c r="H48" s="189">
        <v>0.0</v>
      </c>
      <c r="I48" s="189">
        <v>0.0</v>
      </c>
      <c r="J48" s="189">
        <v>0.0</v>
      </c>
      <c r="K48" s="179" t="b">
        <v>0</v>
      </c>
      <c r="L48" s="180"/>
    </row>
    <row r="49" ht="22.5" customHeight="1">
      <c r="A49" s="189">
        <v>15.0</v>
      </c>
      <c r="B49" s="190">
        <v>45965.0</v>
      </c>
      <c r="C49" s="191" t="s">
        <v>484</v>
      </c>
      <c r="D49" s="192" t="s">
        <v>522</v>
      </c>
      <c r="E49" s="193">
        <v>0.11</v>
      </c>
      <c r="F49" s="193">
        <v>17.0</v>
      </c>
      <c r="G49" s="189">
        <v>5.0</v>
      </c>
      <c r="H49" s="189">
        <v>0.0</v>
      </c>
      <c r="I49" s="189">
        <v>0.0</v>
      </c>
      <c r="J49" s="189">
        <v>0.0</v>
      </c>
      <c r="K49" s="179" t="b">
        <v>0</v>
      </c>
      <c r="L49" s="180"/>
    </row>
    <row r="50" ht="22.5" customHeight="1">
      <c r="A50" s="189">
        <v>15.0</v>
      </c>
      <c r="B50" s="190">
        <v>45965.0</v>
      </c>
      <c r="C50" s="191" t="s">
        <v>484</v>
      </c>
      <c r="D50" s="192" t="s">
        <v>523</v>
      </c>
      <c r="E50" s="193">
        <v>0.11</v>
      </c>
      <c r="F50" s="193">
        <v>19.0</v>
      </c>
      <c r="G50" s="189">
        <v>2.0</v>
      </c>
      <c r="H50" s="189">
        <v>0.0</v>
      </c>
      <c r="I50" s="189">
        <v>0.0</v>
      </c>
      <c r="J50" s="189">
        <v>0.0</v>
      </c>
      <c r="K50" s="179" t="b">
        <v>0</v>
      </c>
      <c r="L50" s="180"/>
    </row>
    <row r="51" ht="22.5" customHeight="1">
      <c r="A51" s="189">
        <v>15.0</v>
      </c>
      <c r="B51" s="190">
        <v>45965.0</v>
      </c>
      <c r="C51" s="191" t="s">
        <v>484</v>
      </c>
      <c r="D51" s="192" t="s">
        <v>524</v>
      </c>
      <c r="E51" s="193">
        <v>0.11</v>
      </c>
      <c r="F51" s="193">
        <v>16.2</v>
      </c>
      <c r="G51" s="189">
        <v>2.0</v>
      </c>
      <c r="H51" s="189">
        <v>0.0</v>
      </c>
      <c r="I51" s="189">
        <v>0.0</v>
      </c>
      <c r="J51" s="189">
        <v>0.0</v>
      </c>
      <c r="K51" s="179" t="b">
        <v>0</v>
      </c>
      <c r="L51" s="180"/>
    </row>
    <row r="52" ht="22.5" customHeight="1">
      <c r="A52" s="189">
        <v>15.0</v>
      </c>
      <c r="B52" s="190">
        <v>45965.0</v>
      </c>
      <c r="C52" s="191" t="s">
        <v>484</v>
      </c>
      <c r="D52" s="192" t="s">
        <v>525</v>
      </c>
      <c r="E52" s="193">
        <v>0.11</v>
      </c>
      <c r="F52" s="193">
        <v>18.0</v>
      </c>
      <c r="G52" s="189">
        <v>2.0</v>
      </c>
      <c r="H52" s="189">
        <v>0.0</v>
      </c>
      <c r="I52" s="189">
        <v>0.0</v>
      </c>
      <c r="J52" s="189">
        <v>0.0</v>
      </c>
      <c r="K52" s="179" t="b">
        <v>0</v>
      </c>
      <c r="L52" s="180"/>
    </row>
    <row r="53" ht="22.5" customHeight="1">
      <c r="A53" s="189">
        <v>15.0</v>
      </c>
      <c r="B53" s="190">
        <v>45965.0</v>
      </c>
      <c r="C53" s="191" t="s">
        <v>484</v>
      </c>
      <c r="D53" s="192" t="s">
        <v>526</v>
      </c>
      <c r="E53" s="193">
        <v>0.11</v>
      </c>
      <c r="F53" s="193">
        <v>23.0</v>
      </c>
      <c r="G53" s="189">
        <v>2.0</v>
      </c>
      <c r="H53" s="189">
        <v>0.0</v>
      </c>
      <c r="I53" s="189">
        <v>0.0</v>
      </c>
      <c r="J53" s="189">
        <v>0.0</v>
      </c>
      <c r="K53" s="179" t="b">
        <v>0</v>
      </c>
      <c r="L53" s="180"/>
    </row>
    <row r="54" ht="22.5" customHeight="1">
      <c r="A54" s="189">
        <v>15.0</v>
      </c>
      <c r="B54" s="190">
        <v>45965.0</v>
      </c>
      <c r="C54" s="191" t="s">
        <v>484</v>
      </c>
      <c r="D54" s="192" t="s">
        <v>527</v>
      </c>
      <c r="E54" s="193">
        <v>0.11</v>
      </c>
      <c r="F54" s="193">
        <v>15.2</v>
      </c>
      <c r="G54" s="189">
        <v>1.0</v>
      </c>
      <c r="H54" s="189">
        <v>0.0</v>
      </c>
      <c r="I54" s="189">
        <v>0.0</v>
      </c>
      <c r="J54" s="189">
        <v>0.0</v>
      </c>
      <c r="K54" s="179" t="b">
        <v>0</v>
      </c>
      <c r="L54" s="180"/>
    </row>
    <row r="55" ht="22.5" customHeight="1">
      <c r="A55" s="189">
        <v>15.0</v>
      </c>
      <c r="B55" s="190">
        <v>45965.0</v>
      </c>
      <c r="C55" s="191" t="s">
        <v>484</v>
      </c>
      <c r="D55" s="192" t="s">
        <v>528</v>
      </c>
      <c r="E55" s="193">
        <v>0.11</v>
      </c>
      <c r="F55" s="193">
        <v>15.0</v>
      </c>
      <c r="G55" s="189">
        <v>1.0</v>
      </c>
      <c r="H55" s="189">
        <v>0.0</v>
      </c>
      <c r="I55" s="189">
        <v>0.0</v>
      </c>
      <c r="J55" s="189">
        <v>0.0</v>
      </c>
      <c r="K55" s="179" t="b">
        <v>0</v>
      </c>
      <c r="L55" s="180"/>
    </row>
    <row r="56" ht="22.5" customHeight="1">
      <c r="A56" s="199">
        <v>7.0</v>
      </c>
      <c r="B56" s="200">
        <v>45964.0</v>
      </c>
      <c r="C56" s="201" t="s">
        <v>505</v>
      </c>
      <c r="D56" s="202" t="s">
        <v>529</v>
      </c>
      <c r="E56" s="203">
        <v>0.11</v>
      </c>
      <c r="F56" s="203">
        <v>10.0</v>
      </c>
      <c r="G56" s="199">
        <v>40.0</v>
      </c>
      <c r="H56" s="199">
        <v>0.0</v>
      </c>
      <c r="I56" s="199">
        <v>0.0</v>
      </c>
      <c r="J56" s="199">
        <v>0.0</v>
      </c>
      <c r="K56" s="204" t="b">
        <v>0</v>
      </c>
      <c r="L56" s="205"/>
    </row>
    <row r="57" ht="22.5" customHeight="1">
      <c r="A57" s="199">
        <v>7.0</v>
      </c>
      <c r="B57" s="200">
        <v>45964.0</v>
      </c>
      <c r="C57" s="201" t="s">
        <v>505</v>
      </c>
      <c r="D57" s="202" t="s">
        <v>530</v>
      </c>
      <c r="E57" s="203">
        <v>0.11</v>
      </c>
      <c r="F57" s="203">
        <v>19.0</v>
      </c>
      <c r="G57" s="199">
        <v>40.0</v>
      </c>
      <c r="H57" s="199">
        <v>0.0</v>
      </c>
      <c r="I57" s="199">
        <v>0.0</v>
      </c>
      <c r="J57" s="199">
        <v>0.0</v>
      </c>
      <c r="K57" s="204" t="b">
        <v>0</v>
      </c>
      <c r="L57" s="205"/>
    </row>
    <row r="58" ht="22.5" customHeight="1">
      <c r="A58" s="189">
        <v>15.0</v>
      </c>
      <c r="B58" s="190">
        <v>45964.0</v>
      </c>
      <c r="C58" s="191" t="s">
        <v>484</v>
      </c>
      <c r="D58" s="192" t="s">
        <v>531</v>
      </c>
      <c r="E58" s="193">
        <v>0.11</v>
      </c>
      <c r="F58" s="193">
        <v>15.2</v>
      </c>
      <c r="G58" s="189">
        <v>4.0</v>
      </c>
      <c r="H58" s="189">
        <v>0.0</v>
      </c>
      <c r="I58" s="189">
        <v>0.0</v>
      </c>
      <c r="J58" s="189">
        <v>0.0</v>
      </c>
      <c r="K58" s="179" t="b">
        <v>0</v>
      </c>
      <c r="L58" s="180"/>
    </row>
    <row r="59" ht="22.5" customHeight="1">
      <c r="A59" s="189">
        <v>15.0</v>
      </c>
      <c r="B59" s="190">
        <v>45964.0</v>
      </c>
      <c r="C59" s="191" t="s">
        <v>484</v>
      </c>
      <c r="D59" s="192" t="s">
        <v>532</v>
      </c>
      <c r="E59" s="193">
        <v>0.11</v>
      </c>
      <c r="F59" s="193">
        <v>19.0</v>
      </c>
      <c r="G59" s="189">
        <v>4.0</v>
      </c>
      <c r="H59" s="189">
        <v>0.0</v>
      </c>
      <c r="I59" s="189">
        <v>0.0</v>
      </c>
      <c r="J59" s="189">
        <v>0.0</v>
      </c>
      <c r="K59" s="179" t="b">
        <v>0</v>
      </c>
      <c r="L59" s="180"/>
    </row>
    <row r="60" ht="22.5" customHeight="1">
      <c r="A60" s="189">
        <v>15.0</v>
      </c>
      <c r="B60" s="190">
        <v>45964.0</v>
      </c>
      <c r="C60" s="191" t="s">
        <v>484</v>
      </c>
      <c r="D60" s="192" t="s">
        <v>533</v>
      </c>
      <c r="E60" s="193">
        <v>0.11</v>
      </c>
      <c r="F60" s="193">
        <v>19.0</v>
      </c>
      <c r="G60" s="189">
        <v>3.0</v>
      </c>
      <c r="H60" s="189">
        <v>0.0</v>
      </c>
      <c r="I60" s="189">
        <v>0.0</v>
      </c>
      <c r="J60" s="189">
        <v>0.0</v>
      </c>
      <c r="K60" s="179" t="b">
        <v>0</v>
      </c>
      <c r="L60" s="180"/>
    </row>
    <row r="61" ht="22.5" customHeight="1">
      <c r="A61" s="189">
        <v>15.0</v>
      </c>
      <c r="B61" s="190">
        <v>45964.0</v>
      </c>
      <c r="C61" s="191" t="s">
        <v>484</v>
      </c>
      <c r="D61" s="192" t="s">
        <v>534</v>
      </c>
      <c r="E61" s="193">
        <v>0.11</v>
      </c>
      <c r="F61" s="193">
        <v>19.0</v>
      </c>
      <c r="G61" s="189">
        <v>2.0</v>
      </c>
      <c r="H61" s="189">
        <v>0.0</v>
      </c>
      <c r="I61" s="189">
        <v>0.0</v>
      </c>
      <c r="J61" s="189">
        <v>0.0</v>
      </c>
      <c r="K61" s="179" t="b">
        <v>0</v>
      </c>
      <c r="L61" s="180"/>
    </row>
    <row r="62" ht="22.5" customHeight="1">
      <c r="A62" s="189">
        <v>15.0</v>
      </c>
      <c r="B62" s="190">
        <v>45964.0</v>
      </c>
      <c r="C62" s="191" t="s">
        <v>484</v>
      </c>
      <c r="D62" s="192" t="s">
        <v>535</v>
      </c>
      <c r="E62" s="193">
        <v>0.11</v>
      </c>
      <c r="F62" s="193">
        <v>16.25</v>
      </c>
      <c r="G62" s="189">
        <v>2.0</v>
      </c>
      <c r="H62" s="189">
        <v>0.0</v>
      </c>
      <c r="I62" s="189">
        <v>0.0</v>
      </c>
      <c r="J62" s="189">
        <v>0.0</v>
      </c>
      <c r="K62" s="179" t="b">
        <v>0</v>
      </c>
      <c r="L62" s="180"/>
    </row>
    <row r="63" ht="22.5" customHeight="1">
      <c r="A63" s="189">
        <v>15.0</v>
      </c>
      <c r="B63" s="190">
        <v>45964.0</v>
      </c>
      <c r="C63" s="191" t="s">
        <v>484</v>
      </c>
      <c r="D63" s="192" t="s">
        <v>536</v>
      </c>
      <c r="E63" s="193">
        <v>0.11</v>
      </c>
      <c r="F63" s="193">
        <v>16.25</v>
      </c>
      <c r="G63" s="189">
        <v>1.0</v>
      </c>
      <c r="H63" s="189">
        <v>0.0</v>
      </c>
      <c r="I63" s="189">
        <v>0.0</v>
      </c>
      <c r="J63" s="189">
        <v>0.0</v>
      </c>
      <c r="K63" s="179" t="b">
        <v>0</v>
      </c>
      <c r="L63" s="180"/>
    </row>
    <row r="64" ht="22.5" customHeight="1">
      <c r="A64" s="189">
        <v>15.0</v>
      </c>
      <c r="B64" s="190">
        <v>45964.0</v>
      </c>
      <c r="C64" s="191" t="s">
        <v>484</v>
      </c>
      <c r="D64" s="192" t="s">
        <v>537</v>
      </c>
      <c r="E64" s="193">
        <v>0.11</v>
      </c>
      <c r="F64" s="193">
        <v>15.2</v>
      </c>
      <c r="G64" s="189">
        <v>1.0</v>
      </c>
      <c r="H64" s="189">
        <v>0.0</v>
      </c>
      <c r="I64" s="189">
        <v>0.0</v>
      </c>
      <c r="J64" s="189">
        <v>0.0</v>
      </c>
      <c r="K64" s="179" t="b">
        <v>0</v>
      </c>
      <c r="L64" s="180"/>
    </row>
    <row r="65" ht="22.5" customHeight="1">
      <c r="A65" s="194">
        <v>14.0</v>
      </c>
      <c r="B65" s="195">
        <v>45964.0</v>
      </c>
      <c r="C65" s="196" t="s">
        <v>494</v>
      </c>
      <c r="D65" s="197" t="s">
        <v>538</v>
      </c>
      <c r="E65" s="198">
        <v>0.11</v>
      </c>
      <c r="F65" s="198">
        <v>12.0</v>
      </c>
      <c r="G65" s="194">
        <v>6.0</v>
      </c>
      <c r="H65" s="194">
        <v>0.0</v>
      </c>
      <c r="I65" s="194">
        <v>0.0</v>
      </c>
      <c r="J65" s="194">
        <v>0.0</v>
      </c>
      <c r="K65" s="187" t="b">
        <v>0</v>
      </c>
      <c r="L65" s="188"/>
    </row>
    <row r="66" ht="22.5" customHeight="1">
      <c r="A66" s="194">
        <v>14.0</v>
      </c>
      <c r="B66" s="195">
        <v>45964.0</v>
      </c>
      <c r="C66" s="196" t="s">
        <v>494</v>
      </c>
      <c r="D66" s="197" t="s">
        <v>539</v>
      </c>
      <c r="E66" s="198">
        <v>0.11</v>
      </c>
      <c r="F66" s="198">
        <v>15.0</v>
      </c>
      <c r="G66" s="194">
        <v>6.0</v>
      </c>
      <c r="H66" s="194">
        <v>0.0</v>
      </c>
      <c r="I66" s="194">
        <v>0.0</v>
      </c>
      <c r="J66" s="194">
        <v>0.0</v>
      </c>
      <c r="K66" s="187" t="b">
        <v>0</v>
      </c>
      <c r="L66" s="188"/>
    </row>
    <row r="67" ht="22.5" customHeight="1">
      <c r="A67" s="189">
        <v>10.0</v>
      </c>
      <c r="B67" s="190">
        <v>45963.0</v>
      </c>
      <c r="C67" s="191" t="s">
        <v>484</v>
      </c>
      <c r="D67" s="192" t="s">
        <v>540</v>
      </c>
      <c r="E67" s="193">
        <v>0.11</v>
      </c>
      <c r="F67" s="193">
        <v>13.0</v>
      </c>
      <c r="G67" s="189">
        <v>21.0</v>
      </c>
      <c r="H67" s="189">
        <v>0.0</v>
      </c>
      <c r="I67" s="189">
        <v>0.0</v>
      </c>
      <c r="J67" s="189">
        <v>0.0</v>
      </c>
      <c r="K67" s="179" t="b">
        <v>0</v>
      </c>
      <c r="L67" s="180"/>
    </row>
    <row r="68" ht="22.5" customHeight="1">
      <c r="A68" s="189">
        <v>12.0</v>
      </c>
      <c r="B68" s="190">
        <v>45963.0</v>
      </c>
      <c r="C68" s="191" t="s">
        <v>484</v>
      </c>
      <c r="D68" s="192" t="s">
        <v>541</v>
      </c>
      <c r="E68" s="193">
        <v>0.11</v>
      </c>
      <c r="F68" s="193">
        <v>16.0</v>
      </c>
      <c r="G68" s="189">
        <v>13.0</v>
      </c>
      <c r="H68" s="189">
        <v>0.0</v>
      </c>
      <c r="I68" s="189">
        <v>0.0</v>
      </c>
      <c r="J68" s="189">
        <v>0.0</v>
      </c>
      <c r="K68" s="179" t="b">
        <v>0</v>
      </c>
      <c r="L68" s="180"/>
    </row>
    <row r="69" ht="22.5" customHeight="1">
      <c r="A69" s="189">
        <v>12.0</v>
      </c>
      <c r="B69" s="190">
        <v>45963.0</v>
      </c>
      <c r="C69" s="191" t="s">
        <v>484</v>
      </c>
      <c r="D69" s="192" t="s">
        <v>542</v>
      </c>
      <c r="E69" s="193">
        <v>0.11</v>
      </c>
      <c r="F69" s="193">
        <v>17.0</v>
      </c>
      <c r="G69" s="189">
        <v>12.0</v>
      </c>
      <c r="H69" s="189">
        <v>0.0</v>
      </c>
      <c r="I69" s="189">
        <v>0.0</v>
      </c>
      <c r="J69" s="189">
        <v>0.0</v>
      </c>
      <c r="K69" s="179" t="b">
        <v>0</v>
      </c>
      <c r="L69" s="180"/>
    </row>
    <row r="70" ht="22.5" customHeight="1">
      <c r="A70" s="189">
        <v>15.0</v>
      </c>
      <c r="B70" s="190">
        <v>45963.0</v>
      </c>
      <c r="C70" s="191" t="s">
        <v>484</v>
      </c>
      <c r="D70" s="192" t="s">
        <v>543</v>
      </c>
      <c r="E70" s="193">
        <v>0.11</v>
      </c>
      <c r="F70" s="193">
        <v>14.0</v>
      </c>
      <c r="G70" s="189">
        <v>3.0</v>
      </c>
      <c r="H70" s="189">
        <v>0.0</v>
      </c>
      <c r="I70" s="189">
        <v>0.0</v>
      </c>
      <c r="J70" s="189">
        <v>0.0</v>
      </c>
      <c r="K70" s="179" t="b">
        <v>0</v>
      </c>
      <c r="L70" s="180"/>
    </row>
    <row r="71" ht="22.5" customHeight="1">
      <c r="A71" s="189">
        <v>15.0</v>
      </c>
      <c r="B71" s="190">
        <v>45963.0</v>
      </c>
      <c r="C71" s="191" t="s">
        <v>484</v>
      </c>
      <c r="D71" s="192" t="s">
        <v>544</v>
      </c>
      <c r="E71" s="193">
        <v>0.11</v>
      </c>
      <c r="F71" s="193">
        <v>15.0</v>
      </c>
      <c r="G71" s="189">
        <v>2.0</v>
      </c>
      <c r="H71" s="189">
        <v>0.0</v>
      </c>
      <c r="I71" s="189">
        <v>0.0</v>
      </c>
      <c r="J71" s="189">
        <v>0.0</v>
      </c>
      <c r="K71" s="179" t="b">
        <v>0</v>
      </c>
      <c r="L71" s="180"/>
    </row>
    <row r="72" ht="22.5" customHeight="1">
      <c r="A72" s="189">
        <v>15.0</v>
      </c>
      <c r="B72" s="190">
        <v>45963.0</v>
      </c>
      <c r="C72" s="191" t="s">
        <v>484</v>
      </c>
      <c r="D72" s="192" t="s">
        <v>545</v>
      </c>
      <c r="E72" s="193">
        <v>0.11</v>
      </c>
      <c r="F72" s="193">
        <v>14.0</v>
      </c>
      <c r="G72" s="189">
        <v>2.0</v>
      </c>
      <c r="H72" s="189">
        <v>0.0</v>
      </c>
      <c r="I72" s="189">
        <v>0.0</v>
      </c>
      <c r="J72" s="189">
        <v>0.0</v>
      </c>
      <c r="K72" s="179" t="b">
        <v>0</v>
      </c>
      <c r="L72" s="180"/>
    </row>
    <row r="73" ht="22.5" customHeight="1">
      <c r="A73" s="189">
        <v>15.0</v>
      </c>
      <c r="B73" s="190">
        <v>45963.0</v>
      </c>
      <c r="C73" s="191" t="s">
        <v>484</v>
      </c>
      <c r="D73" s="192" t="s">
        <v>546</v>
      </c>
      <c r="E73" s="193">
        <v>0.11</v>
      </c>
      <c r="F73" s="193">
        <v>15.0</v>
      </c>
      <c r="G73" s="189">
        <v>2.0</v>
      </c>
      <c r="H73" s="189">
        <v>0.0</v>
      </c>
      <c r="I73" s="189">
        <v>0.0</v>
      </c>
      <c r="J73" s="189">
        <v>0.0</v>
      </c>
      <c r="K73" s="179" t="b">
        <v>0</v>
      </c>
      <c r="L73" s="180"/>
    </row>
    <row r="74" ht="22.5" customHeight="1">
      <c r="A74" s="189">
        <v>15.0</v>
      </c>
      <c r="B74" s="190">
        <v>45963.0</v>
      </c>
      <c r="C74" s="191" t="s">
        <v>484</v>
      </c>
      <c r="D74" s="192" t="s">
        <v>547</v>
      </c>
      <c r="E74" s="193">
        <v>0.11</v>
      </c>
      <c r="F74" s="193">
        <v>18.0</v>
      </c>
      <c r="G74" s="189">
        <v>1.0</v>
      </c>
      <c r="H74" s="189">
        <v>0.0</v>
      </c>
      <c r="I74" s="189">
        <v>0.0</v>
      </c>
      <c r="J74" s="189">
        <v>0.0</v>
      </c>
      <c r="K74" s="179" t="b">
        <v>0</v>
      </c>
      <c r="L74" s="180"/>
    </row>
    <row r="75" ht="22.5" customHeight="1">
      <c r="A75" s="189">
        <v>15.0</v>
      </c>
      <c r="B75" s="190">
        <v>45963.0</v>
      </c>
      <c r="C75" s="191" t="s">
        <v>484</v>
      </c>
      <c r="D75" s="192" t="s">
        <v>548</v>
      </c>
      <c r="E75" s="193">
        <v>0.11</v>
      </c>
      <c r="F75" s="193">
        <v>19.0</v>
      </c>
      <c r="G75" s="189">
        <v>1.0</v>
      </c>
      <c r="H75" s="189">
        <v>0.0</v>
      </c>
      <c r="I75" s="189">
        <v>0.0</v>
      </c>
      <c r="J75" s="189">
        <v>0.0</v>
      </c>
      <c r="K75" s="179" t="b">
        <v>0</v>
      </c>
      <c r="L75" s="180"/>
    </row>
    <row r="76" ht="22.5" customHeight="1">
      <c r="A76" s="199">
        <v>7.0</v>
      </c>
      <c r="B76" s="200">
        <v>45962.0</v>
      </c>
      <c r="C76" s="201" t="s">
        <v>505</v>
      </c>
      <c r="D76" s="202" t="s">
        <v>549</v>
      </c>
      <c r="E76" s="203">
        <v>0.11</v>
      </c>
      <c r="F76" s="203">
        <v>10.0</v>
      </c>
      <c r="G76" s="199">
        <v>38.0</v>
      </c>
      <c r="H76" s="199">
        <v>0.0</v>
      </c>
      <c r="I76" s="199">
        <v>0.0</v>
      </c>
      <c r="J76" s="199">
        <v>0.0</v>
      </c>
      <c r="K76" s="204" t="b">
        <v>0</v>
      </c>
      <c r="L76" s="205"/>
    </row>
    <row r="77" ht="22.5" customHeight="1">
      <c r="A77" s="189">
        <v>10.0</v>
      </c>
      <c r="B77" s="190">
        <v>45962.0</v>
      </c>
      <c r="C77" s="191" t="s">
        <v>484</v>
      </c>
      <c r="D77" s="192" t="s">
        <v>550</v>
      </c>
      <c r="E77" s="193">
        <v>0.11</v>
      </c>
      <c r="F77" s="193">
        <v>15.2</v>
      </c>
      <c r="G77" s="189">
        <v>19.0</v>
      </c>
      <c r="H77" s="189">
        <v>0.0</v>
      </c>
      <c r="I77" s="189">
        <v>0.0</v>
      </c>
      <c r="J77" s="189">
        <v>0.0</v>
      </c>
      <c r="K77" s="179" t="b">
        <v>0</v>
      </c>
      <c r="L77" s="180"/>
    </row>
    <row r="78" ht="22.5" customHeight="1">
      <c r="A78" s="189">
        <v>12.0</v>
      </c>
      <c r="B78" s="190">
        <v>45962.0</v>
      </c>
      <c r="C78" s="191" t="s">
        <v>484</v>
      </c>
      <c r="D78" s="192" t="s">
        <v>551</v>
      </c>
      <c r="E78" s="193">
        <v>0.11</v>
      </c>
      <c r="F78" s="193">
        <v>18.0</v>
      </c>
      <c r="G78" s="189">
        <v>2.0</v>
      </c>
      <c r="H78" s="189">
        <v>0.0</v>
      </c>
      <c r="I78" s="189">
        <v>0.0</v>
      </c>
      <c r="J78" s="189">
        <v>0.0</v>
      </c>
      <c r="K78" s="179" t="b">
        <v>0</v>
      </c>
      <c r="L78" s="180"/>
    </row>
    <row r="79" ht="22.5" customHeight="1">
      <c r="A79" s="189">
        <v>15.0</v>
      </c>
      <c r="B79" s="190">
        <v>45962.0</v>
      </c>
      <c r="C79" s="191" t="s">
        <v>484</v>
      </c>
      <c r="D79" s="192" t="s">
        <v>552</v>
      </c>
      <c r="E79" s="193">
        <v>0.11</v>
      </c>
      <c r="F79" s="193">
        <v>18.0</v>
      </c>
      <c r="G79" s="189">
        <v>1.0</v>
      </c>
      <c r="H79" s="189">
        <v>0.0</v>
      </c>
      <c r="I79" s="189">
        <v>0.0</v>
      </c>
      <c r="J79" s="189">
        <v>0.0</v>
      </c>
      <c r="K79" s="179" t="b">
        <v>0</v>
      </c>
      <c r="L79" s="180"/>
    </row>
    <row r="80" ht="22.5" customHeight="1">
      <c r="A80" s="189">
        <v>15.0</v>
      </c>
      <c r="B80" s="190">
        <v>45962.0</v>
      </c>
      <c r="C80" s="191" t="s">
        <v>484</v>
      </c>
      <c r="D80" s="192" t="s">
        <v>553</v>
      </c>
      <c r="E80" s="193">
        <v>0.11</v>
      </c>
      <c r="F80" s="193">
        <v>5.0</v>
      </c>
      <c r="G80" s="189">
        <v>1.0</v>
      </c>
      <c r="H80" s="189">
        <v>0.0</v>
      </c>
      <c r="I80" s="189">
        <v>0.0</v>
      </c>
      <c r="J80" s="189">
        <v>0.0</v>
      </c>
      <c r="K80" s="179" t="b">
        <v>0</v>
      </c>
      <c r="L80" s="180"/>
    </row>
    <row r="81" ht="22.5" customHeight="1">
      <c r="A81" s="189">
        <v>15.0</v>
      </c>
      <c r="B81" s="190">
        <v>45962.0</v>
      </c>
      <c r="C81" s="191" t="s">
        <v>484</v>
      </c>
      <c r="D81" s="192" t="s">
        <v>554</v>
      </c>
      <c r="E81" s="193">
        <v>0.11</v>
      </c>
      <c r="F81" s="193">
        <v>14.0</v>
      </c>
      <c r="G81" s="189">
        <v>1.0</v>
      </c>
      <c r="H81" s="189">
        <v>0.0</v>
      </c>
      <c r="I81" s="189">
        <v>0.0</v>
      </c>
      <c r="J81" s="189">
        <v>0.0</v>
      </c>
      <c r="K81" s="179" t="b">
        <v>0</v>
      </c>
      <c r="L81" s="180"/>
    </row>
    <row r="82" ht="22.5" customHeight="1">
      <c r="A82" s="194">
        <v>14.0</v>
      </c>
      <c r="B82" s="195">
        <v>45962.0</v>
      </c>
      <c r="C82" s="196" t="s">
        <v>494</v>
      </c>
      <c r="D82" s="197" t="s">
        <v>555</v>
      </c>
      <c r="E82" s="198">
        <v>0.11</v>
      </c>
      <c r="F82" s="198">
        <v>9.0</v>
      </c>
      <c r="G82" s="194">
        <v>2.0</v>
      </c>
      <c r="H82" s="194">
        <v>0.0</v>
      </c>
      <c r="I82" s="194">
        <v>0.0</v>
      </c>
      <c r="J82" s="194">
        <v>0.0</v>
      </c>
      <c r="K82" s="187" t="b">
        <v>0</v>
      </c>
      <c r="L82" s="188"/>
    </row>
    <row r="83" ht="22.5" customHeight="1">
      <c r="A83" s="213">
        <v>5.0</v>
      </c>
      <c r="B83" s="214">
        <v>45961.0</v>
      </c>
      <c r="C83" s="215" t="s">
        <v>556</v>
      </c>
      <c r="D83" s="216" t="s">
        <v>557</v>
      </c>
      <c r="E83" s="217">
        <v>0.11</v>
      </c>
      <c r="F83" s="217">
        <v>5.0</v>
      </c>
      <c r="G83" s="213">
        <v>55.0</v>
      </c>
      <c r="H83" s="213">
        <v>0.0</v>
      </c>
      <c r="I83" s="213">
        <v>0.0</v>
      </c>
      <c r="J83" s="213">
        <v>0.0</v>
      </c>
      <c r="K83" s="218" t="b">
        <v>0</v>
      </c>
      <c r="L83" s="219"/>
    </row>
    <row r="84" ht="22.5" customHeight="1">
      <c r="A84" s="189">
        <v>10.0</v>
      </c>
      <c r="B84" s="190">
        <v>45961.0</v>
      </c>
      <c r="C84" s="191" t="s">
        <v>484</v>
      </c>
      <c r="D84" s="192" t="s">
        <v>558</v>
      </c>
      <c r="E84" s="193">
        <v>0.11</v>
      </c>
      <c r="F84" s="193">
        <v>16.0</v>
      </c>
      <c r="G84" s="189">
        <v>19.0</v>
      </c>
      <c r="H84" s="189">
        <v>0.0</v>
      </c>
      <c r="I84" s="189">
        <v>0.0</v>
      </c>
      <c r="J84" s="189">
        <v>0.0</v>
      </c>
      <c r="K84" s="179" t="b">
        <v>0</v>
      </c>
      <c r="L84" s="180"/>
    </row>
    <row r="85" ht="22.5" customHeight="1">
      <c r="A85" s="189">
        <v>10.0</v>
      </c>
      <c r="B85" s="190">
        <v>45961.0</v>
      </c>
      <c r="C85" s="191" t="s">
        <v>484</v>
      </c>
      <c r="D85" s="192" t="s">
        <v>559</v>
      </c>
      <c r="E85" s="193">
        <v>0.11</v>
      </c>
      <c r="F85" s="193">
        <v>14.0</v>
      </c>
      <c r="G85" s="189">
        <v>18.0</v>
      </c>
      <c r="H85" s="189">
        <v>0.0</v>
      </c>
      <c r="I85" s="189">
        <v>0.0</v>
      </c>
      <c r="J85" s="189">
        <v>0.0</v>
      </c>
      <c r="K85" s="179" t="b">
        <v>0</v>
      </c>
      <c r="L85" s="180"/>
    </row>
    <row r="86" ht="22.5" customHeight="1">
      <c r="A86" s="189">
        <v>10.0</v>
      </c>
      <c r="B86" s="190">
        <v>45961.0</v>
      </c>
      <c r="C86" s="191" t="s">
        <v>484</v>
      </c>
      <c r="D86" s="192" t="s">
        <v>560</v>
      </c>
      <c r="E86" s="193">
        <v>0.11</v>
      </c>
      <c r="F86" s="193">
        <v>13.6</v>
      </c>
      <c r="G86" s="189">
        <v>17.0</v>
      </c>
      <c r="H86" s="189">
        <v>0.0</v>
      </c>
      <c r="I86" s="189">
        <v>0.0</v>
      </c>
      <c r="J86" s="189">
        <v>0.0</v>
      </c>
      <c r="K86" s="179" t="b">
        <v>0</v>
      </c>
      <c r="L86" s="180"/>
    </row>
    <row r="87" ht="22.5" customHeight="1">
      <c r="A87" s="189">
        <v>12.0</v>
      </c>
      <c r="B87" s="190">
        <v>45961.0</v>
      </c>
      <c r="C87" s="191" t="s">
        <v>484</v>
      </c>
      <c r="D87" s="192" t="s">
        <v>561</v>
      </c>
      <c r="E87" s="193">
        <v>0.11</v>
      </c>
      <c r="F87" s="193">
        <v>13.6</v>
      </c>
      <c r="G87" s="189">
        <v>8.0</v>
      </c>
      <c r="H87" s="189">
        <v>0.0</v>
      </c>
      <c r="I87" s="189">
        <v>0.0</v>
      </c>
      <c r="J87" s="189">
        <v>0.0</v>
      </c>
      <c r="K87" s="179" t="b">
        <v>0</v>
      </c>
      <c r="L87" s="180"/>
    </row>
    <row r="88" ht="22.5" customHeight="1">
      <c r="A88" s="189">
        <v>12.0</v>
      </c>
      <c r="B88" s="190">
        <v>45961.0</v>
      </c>
      <c r="C88" s="191" t="s">
        <v>484</v>
      </c>
      <c r="D88" s="192" t="s">
        <v>562</v>
      </c>
      <c r="E88" s="193">
        <v>0.11</v>
      </c>
      <c r="F88" s="193">
        <v>14.0</v>
      </c>
      <c r="G88" s="189">
        <v>8.0</v>
      </c>
      <c r="H88" s="189">
        <v>0.0</v>
      </c>
      <c r="I88" s="189">
        <v>0.0</v>
      </c>
      <c r="J88" s="189">
        <v>0.0</v>
      </c>
      <c r="K88" s="179" t="b">
        <v>0</v>
      </c>
      <c r="L88" s="180"/>
    </row>
    <row r="89" ht="22.5" customHeight="1">
      <c r="A89" s="189">
        <v>15.0</v>
      </c>
      <c r="B89" s="190">
        <v>45961.0</v>
      </c>
      <c r="C89" s="191" t="s">
        <v>484</v>
      </c>
      <c r="D89" s="192" t="s">
        <v>563</v>
      </c>
      <c r="E89" s="193">
        <v>0.11</v>
      </c>
      <c r="F89" s="193">
        <v>14.0</v>
      </c>
      <c r="G89" s="189">
        <v>1.0</v>
      </c>
      <c r="H89" s="189">
        <v>0.0</v>
      </c>
      <c r="I89" s="189">
        <v>0.0</v>
      </c>
      <c r="J89" s="189">
        <v>0.0</v>
      </c>
      <c r="K89" s="179" t="b">
        <v>0</v>
      </c>
      <c r="L89" s="180"/>
    </row>
    <row r="90" ht="22.5" customHeight="1">
      <c r="A90" s="194">
        <v>14.0</v>
      </c>
      <c r="B90" s="195">
        <v>45961.0</v>
      </c>
      <c r="C90" s="196" t="s">
        <v>494</v>
      </c>
      <c r="D90" s="197" t="s">
        <v>564</v>
      </c>
      <c r="E90" s="198">
        <v>0.11</v>
      </c>
      <c r="F90" s="198">
        <v>14.0</v>
      </c>
      <c r="G90" s="194">
        <v>3.0</v>
      </c>
      <c r="H90" s="194">
        <v>0.0</v>
      </c>
      <c r="I90" s="194">
        <v>0.0</v>
      </c>
      <c r="J90" s="194">
        <v>0.0</v>
      </c>
      <c r="K90" s="187" t="b">
        <v>0</v>
      </c>
      <c r="L90" s="188"/>
    </row>
    <row r="91" ht="22.5" customHeight="1">
      <c r="A91" s="194">
        <v>14.0</v>
      </c>
      <c r="B91" s="195">
        <v>45961.0</v>
      </c>
      <c r="C91" s="196" t="s">
        <v>494</v>
      </c>
      <c r="D91" s="197" t="s">
        <v>565</v>
      </c>
      <c r="E91" s="198">
        <v>0.11</v>
      </c>
      <c r="F91" s="198">
        <v>7.2</v>
      </c>
      <c r="G91" s="194">
        <v>2.0</v>
      </c>
      <c r="H91" s="194">
        <v>0.0</v>
      </c>
      <c r="I91" s="194">
        <v>0.0</v>
      </c>
      <c r="J91" s="194">
        <v>0.0</v>
      </c>
      <c r="K91" s="187" t="b">
        <v>0</v>
      </c>
      <c r="L91" s="188"/>
    </row>
    <row r="92" ht="22.5" customHeight="1">
      <c r="A92" s="194">
        <v>14.0</v>
      </c>
      <c r="B92" s="195">
        <v>45961.0</v>
      </c>
      <c r="C92" s="196" t="s">
        <v>494</v>
      </c>
      <c r="D92" s="197" t="s">
        <v>566</v>
      </c>
      <c r="E92" s="198">
        <v>0.11</v>
      </c>
      <c r="F92" s="198">
        <v>15.0</v>
      </c>
      <c r="G92" s="194">
        <v>2.0</v>
      </c>
      <c r="H92" s="194">
        <v>0.0</v>
      </c>
      <c r="I92" s="194">
        <v>0.0</v>
      </c>
      <c r="J92" s="194">
        <v>0.0</v>
      </c>
      <c r="K92" s="187" t="b">
        <v>0</v>
      </c>
      <c r="L92" s="188"/>
    </row>
    <row r="93" ht="22.5" customHeight="1">
      <c r="A93" s="194">
        <v>14.0</v>
      </c>
      <c r="B93" s="195">
        <v>45961.0</v>
      </c>
      <c r="C93" s="196" t="s">
        <v>494</v>
      </c>
      <c r="D93" s="197" t="s">
        <v>567</v>
      </c>
      <c r="E93" s="198">
        <v>0.11</v>
      </c>
      <c r="F93" s="198">
        <v>15.0</v>
      </c>
      <c r="G93" s="194">
        <v>2.0</v>
      </c>
      <c r="H93" s="194">
        <v>0.0</v>
      </c>
      <c r="I93" s="194">
        <v>0.0</v>
      </c>
      <c r="J93" s="194">
        <v>0.0</v>
      </c>
      <c r="K93" s="187" t="b">
        <v>0</v>
      </c>
      <c r="L93" s="188"/>
    </row>
    <row r="94" ht="22.5" customHeight="1">
      <c r="A94" s="194">
        <v>14.0</v>
      </c>
      <c r="B94" s="195">
        <v>45960.0</v>
      </c>
      <c r="C94" s="196" t="s">
        <v>494</v>
      </c>
      <c r="D94" s="197" t="s">
        <v>568</v>
      </c>
      <c r="E94" s="198">
        <v>0.11</v>
      </c>
      <c r="F94" s="198">
        <v>10.0</v>
      </c>
      <c r="G94" s="194">
        <v>3.0</v>
      </c>
      <c r="H94" s="194">
        <v>0.0</v>
      </c>
      <c r="I94" s="194">
        <v>0.0</v>
      </c>
      <c r="J94" s="194">
        <v>0.0</v>
      </c>
      <c r="K94" s="187" t="b">
        <v>0</v>
      </c>
      <c r="L94" s="188"/>
    </row>
    <row r="95" ht="22.5" customHeight="1">
      <c r="A95" s="194">
        <v>14.0</v>
      </c>
      <c r="B95" s="195">
        <v>45960.0</v>
      </c>
      <c r="C95" s="196" t="s">
        <v>494</v>
      </c>
      <c r="D95" s="197" t="s">
        <v>569</v>
      </c>
      <c r="E95" s="198">
        <v>0.11</v>
      </c>
      <c r="F95" s="198">
        <v>13.7</v>
      </c>
      <c r="G95" s="194">
        <v>3.0</v>
      </c>
      <c r="H95" s="194">
        <v>0.0</v>
      </c>
      <c r="I95" s="194">
        <v>0.0</v>
      </c>
      <c r="J95" s="194">
        <v>0.0</v>
      </c>
      <c r="K95" s="187" t="b">
        <v>0</v>
      </c>
      <c r="L95" s="188"/>
    </row>
    <row r="96" ht="22.5" customHeight="1">
      <c r="A96" s="194">
        <v>14.0</v>
      </c>
      <c r="B96" s="195">
        <v>45960.0</v>
      </c>
      <c r="C96" s="196" t="s">
        <v>494</v>
      </c>
      <c r="D96" s="197" t="s">
        <v>570</v>
      </c>
      <c r="E96" s="198">
        <v>0.11</v>
      </c>
      <c r="F96" s="198">
        <v>10.0</v>
      </c>
      <c r="G96" s="194">
        <v>2.0</v>
      </c>
      <c r="H96" s="194">
        <v>0.0</v>
      </c>
      <c r="I96" s="194">
        <v>0.0</v>
      </c>
      <c r="J96" s="194">
        <v>0.0</v>
      </c>
      <c r="K96" s="187" t="b">
        <v>0</v>
      </c>
      <c r="L96" s="188"/>
    </row>
    <row r="97" ht="22.5" customHeight="1">
      <c r="A97" s="194">
        <v>14.0</v>
      </c>
      <c r="B97" s="195">
        <v>45960.0</v>
      </c>
      <c r="C97" s="196" t="s">
        <v>494</v>
      </c>
      <c r="D97" s="197" t="s">
        <v>571</v>
      </c>
      <c r="E97" s="198">
        <v>0.11</v>
      </c>
      <c r="F97" s="198">
        <v>12.0</v>
      </c>
      <c r="G97" s="194">
        <v>2.0</v>
      </c>
      <c r="H97" s="194">
        <v>0.0</v>
      </c>
      <c r="I97" s="194">
        <v>0.0</v>
      </c>
      <c r="J97" s="194">
        <v>0.0</v>
      </c>
      <c r="K97" s="187" t="b">
        <v>0</v>
      </c>
      <c r="L97" s="188"/>
    </row>
    <row r="98" ht="22.5" customHeight="1">
      <c r="A98" s="194">
        <v>14.0</v>
      </c>
      <c r="B98" s="195">
        <v>45960.0</v>
      </c>
      <c r="C98" s="196" t="s">
        <v>494</v>
      </c>
      <c r="D98" s="197" t="s">
        <v>572</v>
      </c>
      <c r="E98" s="198">
        <v>0.11</v>
      </c>
      <c r="F98" s="198">
        <v>15.0</v>
      </c>
      <c r="G98" s="194">
        <v>2.0</v>
      </c>
      <c r="H98" s="194">
        <v>0.0</v>
      </c>
      <c r="I98" s="194">
        <v>0.0</v>
      </c>
      <c r="J98" s="194">
        <v>0.0</v>
      </c>
      <c r="K98" s="187" t="b">
        <v>0</v>
      </c>
      <c r="L98" s="188"/>
    </row>
    <row r="99" ht="22.5" customHeight="1">
      <c r="A99" s="194">
        <v>14.0</v>
      </c>
      <c r="B99" s="195">
        <v>45960.0</v>
      </c>
      <c r="C99" s="196" t="s">
        <v>494</v>
      </c>
      <c r="D99" s="197" t="s">
        <v>573</v>
      </c>
      <c r="E99" s="198">
        <v>0.11</v>
      </c>
      <c r="F99" s="198">
        <v>10.0</v>
      </c>
      <c r="G99" s="194">
        <v>2.0</v>
      </c>
      <c r="H99" s="194">
        <v>0.0</v>
      </c>
      <c r="I99" s="194">
        <v>0.0</v>
      </c>
      <c r="J99" s="194">
        <v>0.0</v>
      </c>
      <c r="K99" s="187" t="b">
        <v>0</v>
      </c>
      <c r="L99" s="188"/>
    </row>
    <row r="100" ht="22.5" customHeight="1">
      <c r="A100" s="194">
        <v>14.0</v>
      </c>
      <c r="B100" s="195">
        <v>45960.0</v>
      </c>
      <c r="C100" s="196" t="s">
        <v>494</v>
      </c>
      <c r="D100" s="197" t="s">
        <v>574</v>
      </c>
      <c r="E100" s="198">
        <v>0.11</v>
      </c>
      <c r="F100" s="198">
        <v>13.7</v>
      </c>
      <c r="G100" s="194">
        <v>1.0</v>
      </c>
      <c r="H100" s="194">
        <v>0.0</v>
      </c>
      <c r="I100" s="194">
        <v>0.0</v>
      </c>
      <c r="J100" s="194">
        <v>0.0</v>
      </c>
      <c r="K100" s="187" t="b">
        <v>0</v>
      </c>
      <c r="L100" s="188"/>
    </row>
    <row r="101" ht="22.5" customHeight="1">
      <c r="A101" s="194">
        <v>14.0</v>
      </c>
      <c r="B101" s="195">
        <v>45959.0</v>
      </c>
      <c r="C101" s="196" t="s">
        <v>494</v>
      </c>
      <c r="D101" s="197" t="s">
        <v>575</v>
      </c>
      <c r="E101" s="198">
        <v>0.11</v>
      </c>
      <c r="F101" s="198">
        <v>15.0</v>
      </c>
      <c r="G101" s="194">
        <v>2.0</v>
      </c>
      <c r="H101" s="194">
        <v>0.0</v>
      </c>
      <c r="I101" s="194">
        <v>0.0</v>
      </c>
      <c r="J101" s="194">
        <v>0.0</v>
      </c>
      <c r="K101" s="187" t="b">
        <v>0</v>
      </c>
      <c r="L101" s="188"/>
    </row>
    <row r="102" ht="22.5" customHeight="1">
      <c r="A102" s="194">
        <v>14.0</v>
      </c>
      <c r="B102" s="195">
        <v>45959.0</v>
      </c>
      <c r="C102" s="196" t="s">
        <v>494</v>
      </c>
      <c r="D102" s="197" t="s">
        <v>576</v>
      </c>
      <c r="E102" s="198">
        <v>0.11</v>
      </c>
      <c r="F102" s="198">
        <v>15.0</v>
      </c>
      <c r="G102" s="194">
        <v>1.0</v>
      </c>
      <c r="H102" s="194">
        <v>0.0</v>
      </c>
      <c r="I102" s="194">
        <v>0.0</v>
      </c>
      <c r="J102" s="194">
        <v>0.0</v>
      </c>
      <c r="K102" s="187" t="b">
        <v>0</v>
      </c>
      <c r="L102" s="188"/>
    </row>
    <row r="103" ht="22.5" customHeight="1">
      <c r="A103" s="194">
        <v>14.0</v>
      </c>
      <c r="B103" s="195">
        <v>45958.0</v>
      </c>
      <c r="C103" s="196" t="s">
        <v>494</v>
      </c>
      <c r="D103" s="197" t="s">
        <v>577</v>
      </c>
      <c r="E103" s="198">
        <v>0.11</v>
      </c>
      <c r="F103" s="198">
        <v>12.8</v>
      </c>
      <c r="G103" s="194">
        <v>2.0</v>
      </c>
      <c r="H103" s="194">
        <v>0.0</v>
      </c>
      <c r="I103" s="194">
        <v>0.0</v>
      </c>
      <c r="J103" s="194">
        <v>0.0</v>
      </c>
      <c r="K103" s="187" t="b">
        <v>0</v>
      </c>
      <c r="L103" s="188"/>
    </row>
    <row r="104" ht="22.5" customHeight="1">
      <c r="A104" s="194">
        <v>14.0</v>
      </c>
      <c r="B104" s="195">
        <v>45958.0</v>
      </c>
      <c r="C104" s="196" t="s">
        <v>494</v>
      </c>
      <c r="D104" s="197" t="s">
        <v>578</v>
      </c>
      <c r="E104" s="198">
        <v>0.11</v>
      </c>
      <c r="F104" s="198">
        <v>12.0</v>
      </c>
      <c r="G104" s="194">
        <v>1.0</v>
      </c>
      <c r="H104" s="194">
        <v>0.0</v>
      </c>
      <c r="I104" s="194">
        <v>0.0</v>
      </c>
      <c r="J104" s="194">
        <v>0.0</v>
      </c>
      <c r="K104" s="187" t="b">
        <v>0</v>
      </c>
      <c r="L104" s="188"/>
    </row>
    <row r="105" ht="22.5" customHeight="1">
      <c r="A105" s="194">
        <v>14.0</v>
      </c>
      <c r="B105" s="195">
        <v>45957.0</v>
      </c>
      <c r="C105" s="196" t="s">
        <v>494</v>
      </c>
      <c r="D105" s="197" t="s">
        <v>579</v>
      </c>
      <c r="E105" s="198">
        <v>0.11</v>
      </c>
      <c r="F105" s="198">
        <v>12.5</v>
      </c>
      <c r="G105" s="194">
        <v>1.0</v>
      </c>
      <c r="H105" s="194">
        <v>0.0</v>
      </c>
      <c r="I105" s="194">
        <v>0.0</v>
      </c>
      <c r="J105" s="194">
        <v>0.0</v>
      </c>
      <c r="K105" s="187" t="b">
        <v>0</v>
      </c>
      <c r="L105" s="188"/>
    </row>
    <row r="106" ht="22.5" customHeight="1">
      <c r="A106" s="194">
        <v>14.0</v>
      </c>
      <c r="B106" s="195">
        <v>45957.0</v>
      </c>
      <c r="C106" s="196" t="s">
        <v>494</v>
      </c>
      <c r="D106" s="197" t="s">
        <v>580</v>
      </c>
      <c r="E106" s="198">
        <v>0.11</v>
      </c>
      <c r="F106" s="198">
        <v>12.5</v>
      </c>
      <c r="G106" s="194">
        <v>1.0</v>
      </c>
      <c r="H106" s="194">
        <v>0.0</v>
      </c>
      <c r="I106" s="194">
        <v>0.0</v>
      </c>
      <c r="J106" s="194">
        <v>0.0</v>
      </c>
      <c r="K106" s="187" t="b">
        <v>0</v>
      </c>
      <c r="L106" s="188"/>
    </row>
    <row r="107" ht="22.5" customHeight="1">
      <c r="A107" s="194">
        <v>14.0</v>
      </c>
      <c r="B107" s="195">
        <v>45957.0</v>
      </c>
      <c r="C107" s="196" t="s">
        <v>494</v>
      </c>
      <c r="D107" s="197" t="s">
        <v>581</v>
      </c>
      <c r="E107" s="198">
        <v>0.11</v>
      </c>
      <c r="F107" s="198">
        <v>16.0</v>
      </c>
      <c r="G107" s="194">
        <v>0.0</v>
      </c>
      <c r="H107" s="194">
        <v>0.0</v>
      </c>
      <c r="I107" s="194">
        <v>0.0</v>
      </c>
      <c r="J107" s="194">
        <v>0.0</v>
      </c>
      <c r="K107" s="187" t="b">
        <v>0</v>
      </c>
      <c r="L107" s="188"/>
    </row>
    <row r="108" ht="22.5" customHeight="1">
      <c r="A108" s="213">
        <v>5.0</v>
      </c>
      <c r="B108" s="214">
        <v>45956.0</v>
      </c>
      <c r="C108" s="215" t="s">
        <v>582</v>
      </c>
      <c r="D108" s="216" t="s">
        <v>583</v>
      </c>
      <c r="E108" s="217">
        <v>0.11</v>
      </c>
      <c r="F108" s="217">
        <v>7.0</v>
      </c>
      <c r="G108" s="213">
        <v>50.0</v>
      </c>
      <c r="H108" s="213">
        <v>0.0</v>
      </c>
      <c r="I108" s="213">
        <v>0.0</v>
      </c>
      <c r="J108" s="213">
        <v>0.0</v>
      </c>
      <c r="K108" s="218" t="b">
        <v>0</v>
      </c>
      <c r="L108" s="219"/>
    </row>
    <row r="109" ht="22.5" customHeight="1">
      <c r="A109" s="189">
        <v>10.0</v>
      </c>
      <c r="B109" s="190">
        <v>45956.0</v>
      </c>
      <c r="C109" s="191" t="s">
        <v>484</v>
      </c>
      <c r="D109" s="192" t="s">
        <v>584</v>
      </c>
      <c r="E109" s="193">
        <v>0.11</v>
      </c>
      <c r="F109" s="193">
        <v>17.0</v>
      </c>
      <c r="G109" s="189">
        <v>11.0</v>
      </c>
      <c r="H109" s="189">
        <v>0.0</v>
      </c>
      <c r="I109" s="189">
        <v>0.0</v>
      </c>
      <c r="J109" s="189">
        <v>0.0</v>
      </c>
      <c r="K109" s="179" t="b">
        <v>0</v>
      </c>
      <c r="L109" s="180"/>
    </row>
    <row r="110" ht="22.5" customHeight="1">
      <c r="A110" s="189">
        <v>12.0</v>
      </c>
      <c r="B110" s="190">
        <v>45956.0</v>
      </c>
      <c r="C110" s="191" t="s">
        <v>484</v>
      </c>
      <c r="D110" s="192" t="s">
        <v>585</v>
      </c>
      <c r="E110" s="193">
        <v>0.11</v>
      </c>
      <c r="F110" s="193">
        <v>15.0</v>
      </c>
      <c r="G110" s="189">
        <v>6.0</v>
      </c>
      <c r="H110" s="189">
        <v>0.0</v>
      </c>
      <c r="I110" s="189">
        <v>0.0</v>
      </c>
      <c r="J110" s="189">
        <v>0.0</v>
      </c>
      <c r="K110" s="179" t="b">
        <v>0</v>
      </c>
      <c r="L110" s="180"/>
    </row>
    <row r="111" ht="22.5" customHeight="1">
      <c r="A111" s="189">
        <v>12.0</v>
      </c>
      <c r="B111" s="190">
        <v>45956.0</v>
      </c>
      <c r="C111" s="191" t="s">
        <v>484</v>
      </c>
      <c r="D111" s="192" t="s">
        <v>586</v>
      </c>
      <c r="E111" s="193">
        <v>0.11</v>
      </c>
      <c r="F111" s="193">
        <v>17.0</v>
      </c>
      <c r="G111" s="189">
        <v>5.0</v>
      </c>
      <c r="H111" s="189">
        <v>0.0</v>
      </c>
      <c r="I111" s="189">
        <v>0.0</v>
      </c>
      <c r="J111" s="189">
        <v>0.0</v>
      </c>
      <c r="K111" s="179" t="b">
        <v>0</v>
      </c>
      <c r="L111" s="180"/>
    </row>
    <row r="112" ht="22.5" customHeight="1">
      <c r="A112" s="189">
        <v>12.0</v>
      </c>
      <c r="B112" s="190">
        <v>45956.0</v>
      </c>
      <c r="C112" s="191" t="s">
        <v>484</v>
      </c>
      <c r="D112" s="192" t="s">
        <v>587</v>
      </c>
      <c r="E112" s="193">
        <v>0.11</v>
      </c>
      <c r="F112" s="193">
        <v>18.05</v>
      </c>
      <c r="G112" s="189">
        <v>4.0</v>
      </c>
      <c r="H112" s="189">
        <v>0.0</v>
      </c>
      <c r="I112" s="189">
        <v>0.0</v>
      </c>
      <c r="J112" s="189">
        <v>0.0</v>
      </c>
      <c r="K112" s="179" t="b">
        <v>0</v>
      </c>
      <c r="L112" s="180"/>
    </row>
    <row r="113" ht="22.5" customHeight="1">
      <c r="A113" s="189">
        <v>12.0</v>
      </c>
      <c r="B113" s="190">
        <v>45956.0</v>
      </c>
      <c r="C113" s="191" t="s">
        <v>484</v>
      </c>
      <c r="D113" s="192" t="s">
        <v>588</v>
      </c>
      <c r="E113" s="193">
        <v>0.11</v>
      </c>
      <c r="F113" s="193">
        <v>17.0</v>
      </c>
      <c r="G113" s="189">
        <v>3.0</v>
      </c>
      <c r="H113" s="189">
        <v>0.0</v>
      </c>
      <c r="I113" s="189">
        <v>0.0</v>
      </c>
      <c r="J113" s="189">
        <v>0.0</v>
      </c>
      <c r="K113" s="179" t="b">
        <v>0</v>
      </c>
      <c r="L113" s="180"/>
    </row>
    <row r="114" ht="22.5" customHeight="1">
      <c r="A114" s="189">
        <v>12.0</v>
      </c>
      <c r="B114" s="190">
        <v>45956.0</v>
      </c>
      <c r="C114" s="191" t="s">
        <v>484</v>
      </c>
      <c r="D114" s="192" t="s">
        <v>589</v>
      </c>
      <c r="E114" s="193">
        <v>0.11</v>
      </c>
      <c r="F114" s="193">
        <v>15.0</v>
      </c>
      <c r="G114" s="189">
        <v>3.0</v>
      </c>
      <c r="H114" s="189">
        <v>0.0</v>
      </c>
      <c r="I114" s="189">
        <v>0.0</v>
      </c>
      <c r="J114" s="189">
        <v>0.0</v>
      </c>
      <c r="K114" s="179" t="b">
        <v>0</v>
      </c>
      <c r="L114" s="180"/>
    </row>
    <row r="115" ht="22.5" customHeight="1">
      <c r="A115" s="189">
        <v>12.0</v>
      </c>
      <c r="B115" s="190">
        <v>45956.0</v>
      </c>
      <c r="C115" s="191" t="s">
        <v>484</v>
      </c>
      <c r="D115" s="192" t="s">
        <v>590</v>
      </c>
      <c r="E115" s="193">
        <v>0.11</v>
      </c>
      <c r="F115" s="193">
        <v>18.05</v>
      </c>
      <c r="G115" s="189">
        <v>3.0</v>
      </c>
      <c r="H115" s="189">
        <v>0.0</v>
      </c>
      <c r="I115" s="189">
        <v>0.0</v>
      </c>
      <c r="J115" s="189">
        <v>0.0</v>
      </c>
      <c r="K115" s="179" t="b">
        <v>0</v>
      </c>
      <c r="L115" s="180"/>
    </row>
    <row r="116" ht="22.5" customHeight="1">
      <c r="A116" s="194">
        <v>14.0</v>
      </c>
      <c r="B116" s="195">
        <v>45956.0</v>
      </c>
      <c r="C116" s="196" t="s">
        <v>494</v>
      </c>
      <c r="D116" s="197" t="s">
        <v>591</v>
      </c>
      <c r="E116" s="198">
        <v>0.11</v>
      </c>
      <c r="F116" s="198">
        <v>12.0</v>
      </c>
      <c r="G116" s="194">
        <v>0.0</v>
      </c>
      <c r="H116" s="194">
        <v>0.0</v>
      </c>
      <c r="I116" s="194">
        <v>0.0</v>
      </c>
      <c r="J116" s="194">
        <v>0.0</v>
      </c>
      <c r="K116" s="187" t="b">
        <v>0</v>
      </c>
      <c r="L116" s="188"/>
    </row>
    <row r="117" ht="22.5" customHeight="1">
      <c r="A117" s="194">
        <v>14.0</v>
      </c>
      <c r="B117" s="195">
        <v>45956.0</v>
      </c>
      <c r="C117" s="196" t="s">
        <v>494</v>
      </c>
      <c r="D117" s="197" t="s">
        <v>592</v>
      </c>
      <c r="E117" s="198">
        <v>0.11</v>
      </c>
      <c r="F117" s="198">
        <v>12.0</v>
      </c>
      <c r="G117" s="194">
        <v>0.0</v>
      </c>
      <c r="H117" s="194">
        <v>0.0</v>
      </c>
      <c r="I117" s="194">
        <v>0.0</v>
      </c>
      <c r="J117" s="194">
        <v>0.0</v>
      </c>
      <c r="K117" s="187" t="b">
        <v>0</v>
      </c>
      <c r="L117" s="188"/>
    </row>
    <row r="118" ht="22.5" customHeight="1">
      <c r="A118" s="220">
        <v>4.0</v>
      </c>
      <c r="B118" s="221">
        <v>45955.0</v>
      </c>
      <c r="C118" s="201" t="s">
        <v>593</v>
      </c>
      <c r="D118" s="222" t="s">
        <v>594</v>
      </c>
      <c r="E118" s="223">
        <v>0.11</v>
      </c>
      <c r="F118" s="223">
        <v>15.1</v>
      </c>
      <c r="G118" s="220">
        <v>51.0</v>
      </c>
      <c r="H118" s="220">
        <v>0.0</v>
      </c>
      <c r="I118" s="220">
        <v>0.0</v>
      </c>
      <c r="J118" s="220">
        <v>0.0</v>
      </c>
      <c r="K118" s="224" t="b">
        <v>0</v>
      </c>
      <c r="L118" s="205"/>
    </row>
    <row r="119" ht="22.5" customHeight="1">
      <c r="A119" s="199">
        <v>7.0</v>
      </c>
      <c r="B119" s="200">
        <v>45955.0</v>
      </c>
      <c r="C119" s="201" t="s">
        <v>505</v>
      </c>
      <c r="D119" s="202" t="s">
        <v>595</v>
      </c>
      <c r="E119" s="203">
        <v>0.11</v>
      </c>
      <c r="F119" s="203">
        <v>12.0</v>
      </c>
      <c r="G119" s="199">
        <v>31.0</v>
      </c>
      <c r="H119" s="199">
        <v>0.0</v>
      </c>
      <c r="I119" s="199">
        <v>0.0</v>
      </c>
      <c r="J119" s="199">
        <v>0.0</v>
      </c>
      <c r="K119" s="204" t="b">
        <v>0</v>
      </c>
      <c r="L119" s="205"/>
    </row>
    <row r="120" ht="22.5" customHeight="1">
      <c r="A120" s="189">
        <v>10.0</v>
      </c>
      <c r="B120" s="190">
        <v>45955.0</v>
      </c>
      <c r="C120" s="191" t="s">
        <v>484</v>
      </c>
      <c r="D120" s="192" t="s">
        <v>596</v>
      </c>
      <c r="E120" s="193">
        <v>0.11</v>
      </c>
      <c r="F120" s="193">
        <v>15.0</v>
      </c>
      <c r="G120" s="189">
        <v>13.0</v>
      </c>
      <c r="H120" s="189">
        <v>0.0</v>
      </c>
      <c r="I120" s="189">
        <v>0.0</v>
      </c>
      <c r="J120" s="189">
        <v>0.0</v>
      </c>
      <c r="K120" s="179" t="b">
        <v>0</v>
      </c>
      <c r="L120" s="180"/>
    </row>
    <row r="121" ht="22.5" customHeight="1">
      <c r="A121" s="189">
        <v>10.0</v>
      </c>
      <c r="B121" s="190">
        <v>45955.0</v>
      </c>
      <c r="C121" s="191" t="s">
        <v>484</v>
      </c>
      <c r="D121" s="192" t="s">
        <v>597</v>
      </c>
      <c r="E121" s="193">
        <v>0.11</v>
      </c>
      <c r="F121" s="193">
        <v>14.4</v>
      </c>
      <c r="G121" s="189">
        <v>13.0</v>
      </c>
      <c r="H121" s="189">
        <v>0.0</v>
      </c>
      <c r="I121" s="189">
        <v>0.0</v>
      </c>
      <c r="J121" s="189">
        <v>0.0</v>
      </c>
      <c r="K121" s="179" t="b">
        <v>0</v>
      </c>
      <c r="L121" s="180"/>
    </row>
    <row r="122" ht="22.5" customHeight="1">
      <c r="A122" s="189">
        <v>10.0</v>
      </c>
      <c r="B122" s="190">
        <v>45955.0</v>
      </c>
      <c r="C122" s="191" t="s">
        <v>484</v>
      </c>
      <c r="D122" s="192" t="s">
        <v>598</v>
      </c>
      <c r="E122" s="193">
        <v>0.11</v>
      </c>
      <c r="F122" s="193">
        <v>15.0</v>
      </c>
      <c r="G122" s="189">
        <v>12.0</v>
      </c>
      <c r="H122" s="189">
        <v>0.0</v>
      </c>
      <c r="I122" s="189">
        <v>0.0</v>
      </c>
      <c r="J122" s="189">
        <v>0.0</v>
      </c>
      <c r="K122" s="179" t="b">
        <v>0</v>
      </c>
      <c r="L122" s="180"/>
    </row>
    <row r="123" ht="22.5" customHeight="1">
      <c r="A123" s="189">
        <v>10.0</v>
      </c>
      <c r="B123" s="190">
        <v>45955.0</v>
      </c>
      <c r="C123" s="191" t="s">
        <v>484</v>
      </c>
      <c r="D123" s="192" t="s">
        <v>599</v>
      </c>
      <c r="E123" s="193">
        <v>0.11</v>
      </c>
      <c r="F123" s="193">
        <v>15.1</v>
      </c>
      <c r="G123" s="189">
        <v>12.0</v>
      </c>
      <c r="H123" s="189">
        <v>0.0</v>
      </c>
      <c r="I123" s="189">
        <v>0.0</v>
      </c>
      <c r="J123" s="189">
        <v>0.0</v>
      </c>
      <c r="K123" s="179" t="b">
        <v>0</v>
      </c>
      <c r="L123" s="180"/>
    </row>
    <row r="124" ht="22.5" customHeight="1">
      <c r="A124" s="189">
        <v>10.0</v>
      </c>
      <c r="B124" s="190">
        <v>45955.0</v>
      </c>
      <c r="C124" s="191" t="s">
        <v>484</v>
      </c>
      <c r="D124" s="192" t="s">
        <v>600</v>
      </c>
      <c r="E124" s="193">
        <v>0.11</v>
      </c>
      <c r="F124" s="193">
        <v>15.0</v>
      </c>
      <c r="G124" s="189">
        <v>11.0</v>
      </c>
      <c r="H124" s="189">
        <v>0.0</v>
      </c>
      <c r="I124" s="189">
        <v>0.0</v>
      </c>
      <c r="J124" s="189">
        <v>0.0</v>
      </c>
      <c r="K124" s="179" t="b">
        <v>0</v>
      </c>
      <c r="L124" s="180"/>
    </row>
    <row r="125" ht="22.5" customHeight="1">
      <c r="A125" s="189">
        <v>12.0</v>
      </c>
      <c r="B125" s="190">
        <v>45955.0</v>
      </c>
      <c r="C125" s="191" t="s">
        <v>484</v>
      </c>
      <c r="D125" s="192" t="s">
        <v>601</v>
      </c>
      <c r="E125" s="193">
        <v>0.11</v>
      </c>
      <c r="F125" s="193">
        <v>15.1</v>
      </c>
      <c r="G125" s="189">
        <v>6.0</v>
      </c>
      <c r="H125" s="189">
        <v>0.0</v>
      </c>
      <c r="I125" s="189">
        <v>0.0</v>
      </c>
      <c r="J125" s="189">
        <v>0.0</v>
      </c>
      <c r="K125" s="179" t="b">
        <v>0</v>
      </c>
      <c r="L125" s="180"/>
    </row>
    <row r="126" ht="22.5" customHeight="1">
      <c r="A126" s="189">
        <v>12.0</v>
      </c>
      <c r="B126" s="190">
        <v>45955.0</v>
      </c>
      <c r="C126" s="191" t="s">
        <v>484</v>
      </c>
      <c r="D126" s="192" t="s">
        <v>602</v>
      </c>
      <c r="E126" s="193">
        <v>0.11</v>
      </c>
      <c r="F126" s="193">
        <v>15.2</v>
      </c>
      <c r="G126" s="189">
        <v>4.0</v>
      </c>
      <c r="H126" s="189">
        <v>0.0</v>
      </c>
      <c r="I126" s="189">
        <v>0.0</v>
      </c>
      <c r="J126" s="189">
        <v>0.0</v>
      </c>
      <c r="K126" s="179" t="b">
        <v>0</v>
      </c>
      <c r="L126" s="180"/>
    </row>
    <row r="127" ht="22.5" customHeight="1">
      <c r="A127" s="189">
        <v>12.0</v>
      </c>
      <c r="B127" s="190">
        <v>45955.0</v>
      </c>
      <c r="C127" s="191" t="s">
        <v>484</v>
      </c>
      <c r="D127" s="192" t="s">
        <v>603</v>
      </c>
      <c r="E127" s="193">
        <v>0.11</v>
      </c>
      <c r="F127" s="193">
        <v>15.0</v>
      </c>
      <c r="G127" s="189">
        <v>4.0</v>
      </c>
      <c r="H127" s="189">
        <v>0.0</v>
      </c>
      <c r="I127" s="189">
        <v>0.0</v>
      </c>
      <c r="J127" s="189">
        <v>0.0</v>
      </c>
      <c r="K127" s="179" t="b">
        <v>0</v>
      </c>
      <c r="L127" s="180"/>
    </row>
    <row r="128" ht="22.5" customHeight="1">
      <c r="A128" s="189">
        <v>12.0</v>
      </c>
      <c r="B128" s="190">
        <v>45955.0</v>
      </c>
      <c r="C128" s="191" t="s">
        <v>484</v>
      </c>
      <c r="D128" s="192" t="s">
        <v>604</v>
      </c>
      <c r="E128" s="193">
        <v>0.11</v>
      </c>
      <c r="F128" s="193">
        <v>15.0</v>
      </c>
      <c r="G128" s="189">
        <v>1.0</v>
      </c>
      <c r="H128" s="189">
        <v>0.0</v>
      </c>
      <c r="I128" s="189">
        <v>0.0</v>
      </c>
      <c r="J128" s="189">
        <v>0.0</v>
      </c>
      <c r="K128" s="179" t="b">
        <v>0</v>
      </c>
      <c r="L128" s="180"/>
    </row>
    <row r="129" ht="22.5" customHeight="1">
      <c r="A129" s="194">
        <v>14.0</v>
      </c>
      <c r="B129" s="195">
        <v>45955.0</v>
      </c>
      <c r="C129" s="196" t="s">
        <v>494</v>
      </c>
      <c r="D129" s="197" t="s">
        <v>605</v>
      </c>
      <c r="E129" s="198">
        <v>0.11</v>
      </c>
      <c r="F129" s="198">
        <v>10.0</v>
      </c>
      <c r="G129" s="194">
        <v>0.0</v>
      </c>
      <c r="H129" s="194">
        <v>0.0</v>
      </c>
      <c r="I129" s="194">
        <v>0.0</v>
      </c>
      <c r="J129" s="194">
        <v>0.0</v>
      </c>
      <c r="K129" s="187" t="b">
        <v>0</v>
      </c>
      <c r="L129" s="188"/>
    </row>
    <row r="130" ht="22.5" customHeight="1">
      <c r="A130" s="194">
        <v>14.0</v>
      </c>
      <c r="B130" s="195">
        <v>45955.0</v>
      </c>
      <c r="C130" s="196" t="s">
        <v>494</v>
      </c>
      <c r="D130" s="197" t="s">
        <v>606</v>
      </c>
      <c r="E130" s="198">
        <v>0.11</v>
      </c>
      <c r="F130" s="198">
        <v>16.0</v>
      </c>
      <c r="G130" s="194">
        <v>0.0</v>
      </c>
      <c r="H130" s="194">
        <v>0.0</v>
      </c>
      <c r="I130" s="194">
        <v>0.0</v>
      </c>
      <c r="J130" s="194">
        <v>0.0</v>
      </c>
      <c r="K130" s="187" t="b">
        <v>0</v>
      </c>
      <c r="L130" s="188"/>
    </row>
    <row r="131" ht="22.5" customHeight="1">
      <c r="A131" s="189">
        <v>12.0</v>
      </c>
      <c r="B131" s="190">
        <v>45954.0</v>
      </c>
      <c r="C131" s="191" t="s">
        <v>484</v>
      </c>
      <c r="D131" s="192" t="s">
        <v>607</v>
      </c>
      <c r="E131" s="193">
        <v>0.11</v>
      </c>
      <c r="F131" s="193">
        <v>15.0</v>
      </c>
      <c r="G131" s="189">
        <v>7.0</v>
      </c>
      <c r="H131" s="189">
        <v>0.0</v>
      </c>
      <c r="I131" s="189">
        <v>0.0</v>
      </c>
      <c r="J131" s="189">
        <v>0.0</v>
      </c>
      <c r="K131" s="179" t="b">
        <v>0</v>
      </c>
      <c r="L131" s="180"/>
    </row>
    <row r="132" ht="22.5" customHeight="1">
      <c r="A132" s="189">
        <v>12.0</v>
      </c>
      <c r="B132" s="190">
        <v>45954.0</v>
      </c>
      <c r="C132" s="191" t="s">
        <v>484</v>
      </c>
      <c r="D132" s="192" t="s">
        <v>608</v>
      </c>
      <c r="E132" s="193">
        <v>0.11</v>
      </c>
      <c r="F132" s="193">
        <v>18.0</v>
      </c>
      <c r="G132" s="189">
        <v>2.0</v>
      </c>
      <c r="H132" s="189">
        <v>0.0</v>
      </c>
      <c r="I132" s="189">
        <v>0.0</v>
      </c>
      <c r="J132" s="189">
        <v>0.0</v>
      </c>
      <c r="K132" s="179" t="b">
        <v>0</v>
      </c>
      <c r="L132" s="180"/>
    </row>
    <row r="133" ht="22.5" customHeight="1">
      <c r="A133" s="189">
        <v>12.0</v>
      </c>
      <c r="B133" s="190">
        <v>45954.0</v>
      </c>
      <c r="C133" s="191" t="s">
        <v>484</v>
      </c>
      <c r="D133" s="192" t="s">
        <v>609</v>
      </c>
      <c r="E133" s="193">
        <v>0.11</v>
      </c>
      <c r="F133" s="193">
        <v>19.0</v>
      </c>
      <c r="G133" s="189">
        <v>0.0</v>
      </c>
      <c r="H133" s="189">
        <v>0.0</v>
      </c>
      <c r="I133" s="189">
        <v>0.0</v>
      </c>
      <c r="J133" s="189">
        <v>0.0</v>
      </c>
      <c r="K133" s="179" t="b">
        <v>0</v>
      </c>
      <c r="L133" s="180"/>
    </row>
    <row r="134" ht="22.5" customHeight="1">
      <c r="A134" s="199">
        <v>7.0</v>
      </c>
      <c r="B134" s="200">
        <v>45953.0</v>
      </c>
      <c r="C134" s="201" t="s">
        <v>505</v>
      </c>
      <c r="D134" s="202" t="s">
        <v>610</v>
      </c>
      <c r="E134" s="203">
        <v>0.11</v>
      </c>
      <c r="F134" s="203">
        <v>14.0</v>
      </c>
      <c r="G134" s="199">
        <v>29.0</v>
      </c>
      <c r="H134" s="199">
        <v>0.0</v>
      </c>
      <c r="I134" s="199">
        <v>0.0</v>
      </c>
      <c r="J134" s="199">
        <v>0.0</v>
      </c>
      <c r="K134" s="204" t="b">
        <v>0</v>
      </c>
      <c r="L134" s="205"/>
    </row>
    <row r="135" ht="22.5" customHeight="1">
      <c r="A135" s="189">
        <v>12.0</v>
      </c>
      <c r="B135" s="190">
        <v>45953.0</v>
      </c>
      <c r="C135" s="191" t="s">
        <v>484</v>
      </c>
      <c r="D135" s="192" t="s">
        <v>611</v>
      </c>
      <c r="E135" s="193">
        <v>0.11</v>
      </c>
      <c r="F135" s="193">
        <v>19.0</v>
      </c>
      <c r="G135" s="189">
        <v>6.0</v>
      </c>
      <c r="H135" s="189">
        <v>0.0</v>
      </c>
      <c r="I135" s="189">
        <v>0.0</v>
      </c>
      <c r="J135" s="189">
        <v>0.0</v>
      </c>
      <c r="K135" s="179" t="b">
        <v>0</v>
      </c>
      <c r="L135" s="180"/>
    </row>
    <row r="136" ht="22.5" customHeight="1">
      <c r="A136" s="189">
        <v>12.0</v>
      </c>
      <c r="B136" s="190">
        <v>45953.0</v>
      </c>
      <c r="C136" s="191" t="s">
        <v>484</v>
      </c>
      <c r="D136" s="192" t="s">
        <v>612</v>
      </c>
      <c r="E136" s="193">
        <v>0.11</v>
      </c>
      <c r="F136" s="193">
        <v>14.21</v>
      </c>
      <c r="G136" s="189">
        <v>5.0</v>
      </c>
      <c r="H136" s="189">
        <v>0.0</v>
      </c>
      <c r="I136" s="189">
        <v>0.0</v>
      </c>
      <c r="J136" s="189">
        <v>0.0</v>
      </c>
      <c r="K136" s="179" t="b">
        <v>0</v>
      </c>
      <c r="L136" s="180"/>
    </row>
    <row r="137" ht="22.5" customHeight="1">
      <c r="A137" s="189">
        <v>12.0</v>
      </c>
      <c r="B137" s="190">
        <v>45953.0</v>
      </c>
      <c r="C137" s="191" t="s">
        <v>484</v>
      </c>
      <c r="D137" s="192" t="s">
        <v>613</v>
      </c>
      <c r="E137" s="193">
        <v>0.11</v>
      </c>
      <c r="F137" s="193">
        <v>16.25</v>
      </c>
      <c r="G137" s="189">
        <v>4.0</v>
      </c>
      <c r="H137" s="189">
        <v>0.0</v>
      </c>
      <c r="I137" s="189">
        <v>0.0</v>
      </c>
      <c r="J137" s="189">
        <v>0.0</v>
      </c>
      <c r="K137" s="179" t="b">
        <v>0</v>
      </c>
      <c r="L137" s="180"/>
    </row>
    <row r="138" ht="22.5" customHeight="1">
      <c r="A138" s="189">
        <v>12.0</v>
      </c>
      <c r="B138" s="190">
        <v>45953.0</v>
      </c>
      <c r="C138" s="191" t="s">
        <v>484</v>
      </c>
      <c r="D138" s="192" t="s">
        <v>614</v>
      </c>
      <c r="E138" s="193">
        <v>0.11</v>
      </c>
      <c r="F138" s="193">
        <v>14.0</v>
      </c>
      <c r="G138" s="189">
        <v>1.0</v>
      </c>
      <c r="H138" s="189">
        <v>0.0</v>
      </c>
      <c r="I138" s="189">
        <v>0.0</v>
      </c>
      <c r="J138" s="189">
        <v>0.0</v>
      </c>
      <c r="K138" s="179" t="b">
        <v>0</v>
      </c>
      <c r="L138" s="180"/>
    </row>
    <row r="139" ht="22.5" customHeight="1">
      <c r="A139" s="189">
        <v>12.0</v>
      </c>
      <c r="B139" s="190">
        <v>45953.0</v>
      </c>
      <c r="C139" s="191" t="s">
        <v>484</v>
      </c>
      <c r="D139" s="192" t="s">
        <v>615</v>
      </c>
      <c r="E139" s="193">
        <v>0.11</v>
      </c>
      <c r="F139" s="193">
        <v>16.25</v>
      </c>
      <c r="G139" s="189">
        <v>0.0</v>
      </c>
      <c r="H139" s="189">
        <v>0.0</v>
      </c>
      <c r="I139" s="189">
        <v>0.0</v>
      </c>
      <c r="J139" s="189">
        <v>0.0</v>
      </c>
      <c r="K139" s="179" t="b">
        <v>0</v>
      </c>
      <c r="L139" s="180"/>
    </row>
    <row r="140" ht="22.5" customHeight="1">
      <c r="A140" s="189">
        <v>12.0</v>
      </c>
      <c r="B140" s="190">
        <v>45953.0</v>
      </c>
      <c r="C140" s="191" t="s">
        <v>484</v>
      </c>
      <c r="D140" s="192" t="s">
        <v>616</v>
      </c>
      <c r="E140" s="193">
        <v>0.11</v>
      </c>
      <c r="F140" s="193">
        <v>19.0</v>
      </c>
      <c r="G140" s="189">
        <v>0.0</v>
      </c>
      <c r="H140" s="189">
        <v>0.0</v>
      </c>
      <c r="I140" s="189">
        <v>0.0</v>
      </c>
      <c r="J140" s="189">
        <v>0.0</v>
      </c>
      <c r="K140" s="179" t="b">
        <v>0</v>
      </c>
      <c r="L140" s="180"/>
    </row>
    <row r="141" ht="22.5" customHeight="1">
      <c r="A141" s="189">
        <v>12.0</v>
      </c>
      <c r="B141" s="190">
        <v>45952.0</v>
      </c>
      <c r="C141" s="191" t="s">
        <v>484</v>
      </c>
      <c r="D141" s="192" t="s">
        <v>617</v>
      </c>
      <c r="E141" s="193">
        <v>0.11</v>
      </c>
      <c r="F141" s="193">
        <v>15.0</v>
      </c>
      <c r="G141" s="189">
        <v>1.0</v>
      </c>
      <c r="H141" s="189">
        <v>0.0</v>
      </c>
      <c r="I141" s="189">
        <v>0.0</v>
      </c>
      <c r="J141" s="189">
        <v>0.0</v>
      </c>
      <c r="K141" s="179" t="b">
        <v>0</v>
      </c>
      <c r="L141" s="180"/>
    </row>
    <row r="142" ht="22.5" customHeight="1">
      <c r="A142" s="189">
        <v>12.0</v>
      </c>
      <c r="B142" s="190">
        <v>45952.0</v>
      </c>
      <c r="C142" s="191" t="s">
        <v>484</v>
      </c>
      <c r="D142" s="192" t="s">
        <v>618</v>
      </c>
      <c r="E142" s="193">
        <v>0.11</v>
      </c>
      <c r="F142" s="193">
        <v>19.0</v>
      </c>
      <c r="G142" s="189">
        <v>1.0</v>
      </c>
      <c r="H142" s="189">
        <v>0.0</v>
      </c>
      <c r="I142" s="189">
        <v>0.0</v>
      </c>
      <c r="J142" s="189">
        <v>0.0</v>
      </c>
      <c r="K142" s="179" t="b">
        <v>0</v>
      </c>
      <c r="L142" s="180"/>
    </row>
    <row r="143" ht="22.5" customHeight="1">
      <c r="A143" s="189">
        <v>12.0</v>
      </c>
      <c r="B143" s="190">
        <v>45952.0</v>
      </c>
      <c r="C143" s="191" t="s">
        <v>484</v>
      </c>
      <c r="D143" s="192" t="s">
        <v>619</v>
      </c>
      <c r="E143" s="193">
        <v>0.11</v>
      </c>
      <c r="F143" s="193">
        <v>17.0</v>
      </c>
      <c r="G143" s="189">
        <v>0.0</v>
      </c>
      <c r="H143" s="189">
        <v>0.0</v>
      </c>
      <c r="I143" s="189">
        <v>0.0</v>
      </c>
      <c r="J143" s="189">
        <v>0.0</v>
      </c>
      <c r="K143" s="179" t="b">
        <v>0</v>
      </c>
      <c r="L143" s="180"/>
    </row>
    <row r="144" ht="22.5" customHeight="1">
      <c r="A144" s="189">
        <v>12.0</v>
      </c>
      <c r="B144" s="190">
        <v>45951.0</v>
      </c>
      <c r="C144" s="191" t="s">
        <v>484</v>
      </c>
      <c r="D144" s="192" t="s">
        <v>620</v>
      </c>
      <c r="E144" s="193">
        <v>0.11</v>
      </c>
      <c r="F144" s="193">
        <v>19.0</v>
      </c>
      <c r="G144" s="189">
        <v>1.0</v>
      </c>
      <c r="H144" s="189">
        <v>0.0</v>
      </c>
      <c r="I144" s="189">
        <v>0.0</v>
      </c>
      <c r="J144" s="189">
        <v>0.0</v>
      </c>
      <c r="K144" s="179" t="b">
        <v>0</v>
      </c>
      <c r="L144" s="180"/>
    </row>
    <row r="145" ht="22.5" customHeight="1">
      <c r="A145" s="189">
        <v>12.0</v>
      </c>
      <c r="B145" s="190">
        <v>45951.0</v>
      </c>
      <c r="C145" s="191" t="s">
        <v>484</v>
      </c>
      <c r="D145" s="192" t="s">
        <v>621</v>
      </c>
      <c r="E145" s="193">
        <v>0.11</v>
      </c>
      <c r="F145" s="193">
        <v>17.1</v>
      </c>
      <c r="G145" s="189">
        <v>1.0</v>
      </c>
      <c r="H145" s="189">
        <v>0.0</v>
      </c>
      <c r="I145" s="189">
        <v>0.0</v>
      </c>
      <c r="J145" s="189">
        <v>0.0</v>
      </c>
      <c r="K145" s="179" t="b">
        <v>0</v>
      </c>
      <c r="L145" s="180"/>
    </row>
    <row r="146" ht="22.5" customHeight="1">
      <c r="A146" s="189">
        <v>12.0</v>
      </c>
      <c r="B146" s="190">
        <v>45951.0</v>
      </c>
      <c r="C146" s="191" t="s">
        <v>484</v>
      </c>
      <c r="D146" s="192" t="s">
        <v>622</v>
      </c>
      <c r="E146" s="193">
        <v>0.11</v>
      </c>
      <c r="F146" s="193">
        <v>25.0</v>
      </c>
      <c r="G146" s="189">
        <v>1.0</v>
      </c>
      <c r="H146" s="189">
        <v>0.0</v>
      </c>
      <c r="I146" s="189">
        <v>0.0</v>
      </c>
      <c r="J146" s="189">
        <v>0.0</v>
      </c>
      <c r="K146" s="179" t="b">
        <v>0</v>
      </c>
      <c r="L146" s="180"/>
    </row>
    <row r="147" ht="22.5" customHeight="1">
      <c r="A147" s="189">
        <v>12.0</v>
      </c>
      <c r="B147" s="190">
        <v>45951.0</v>
      </c>
      <c r="C147" s="191" t="s">
        <v>484</v>
      </c>
      <c r="D147" s="192" t="s">
        <v>623</v>
      </c>
      <c r="E147" s="193">
        <v>0.11</v>
      </c>
      <c r="F147" s="193">
        <v>18.0</v>
      </c>
      <c r="G147" s="189">
        <v>1.0</v>
      </c>
      <c r="H147" s="189">
        <v>0.0</v>
      </c>
      <c r="I147" s="189">
        <v>0.0</v>
      </c>
      <c r="J147" s="189">
        <v>0.0</v>
      </c>
      <c r="K147" s="179" t="b">
        <v>0</v>
      </c>
      <c r="L147" s="180"/>
    </row>
    <row r="148" ht="22.5" customHeight="1">
      <c r="A148" s="225">
        <v>6.0</v>
      </c>
      <c r="B148" s="226">
        <v>45950.0</v>
      </c>
      <c r="C148" s="227" t="s">
        <v>624</v>
      </c>
      <c r="D148" s="228" t="s">
        <v>625</v>
      </c>
      <c r="E148" s="229">
        <v>0.11</v>
      </c>
      <c r="F148" s="230">
        <v>15.0</v>
      </c>
      <c r="G148" s="225">
        <v>44.0</v>
      </c>
      <c r="H148" s="225">
        <v>0.0</v>
      </c>
      <c r="I148" s="225">
        <v>0.0</v>
      </c>
      <c r="J148" s="225">
        <v>0.0</v>
      </c>
      <c r="K148" s="231" t="b">
        <v>0</v>
      </c>
      <c r="L148" s="232"/>
    </row>
    <row r="149" ht="22.5" customHeight="1">
      <c r="A149" s="189">
        <v>10.0</v>
      </c>
      <c r="B149" s="190">
        <v>45950.0</v>
      </c>
      <c r="C149" s="191" t="s">
        <v>484</v>
      </c>
      <c r="D149" s="192" t="s">
        <v>626</v>
      </c>
      <c r="E149" s="193">
        <v>0.11</v>
      </c>
      <c r="F149" s="193">
        <v>19.0</v>
      </c>
      <c r="G149" s="189">
        <v>8.0</v>
      </c>
      <c r="H149" s="189">
        <v>0.0</v>
      </c>
      <c r="I149" s="189">
        <v>0.0</v>
      </c>
      <c r="J149" s="189">
        <v>0.0</v>
      </c>
      <c r="K149" s="179" t="b">
        <v>0</v>
      </c>
      <c r="L149" s="180"/>
    </row>
    <row r="150" ht="22.5" customHeight="1">
      <c r="A150" s="189">
        <v>10.0</v>
      </c>
      <c r="B150" s="190">
        <v>45950.0</v>
      </c>
      <c r="C150" s="191" t="s">
        <v>484</v>
      </c>
      <c r="D150" s="192" t="s">
        <v>627</v>
      </c>
      <c r="E150" s="193">
        <v>0.11</v>
      </c>
      <c r="F150" s="193">
        <v>16.25</v>
      </c>
      <c r="G150" s="189">
        <v>8.0</v>
      </c>
      <c r="H150" s="189">
        <v>0.0</v>
      </c>
      <c r="I150" s="189">
        <v>0.0</v>
      </c>
      <c r="J150" s="189">
        <v>0.0</v>
      </c>
      <c r="K150" s="179" t="b">
        <v>0</v>
      </c>
      <c r="L150" s="180"/>
    </row>
    <row r="151" ht="22.5" customHeight="1">
      <c r="A151" s="189">
        <v>10.0</v>
      </c>
      <c r="B151" s="190">
        <v>45950.0</v>
      </c>
      <c r="C151" s="191" t="s">
        <v>484</v>
      </c>
      <c r="D151" s="192" t="s">
        <v>628</v>
      </c>
      <c r="E151" s="193">
        <v>0.11</v>
      </c>
      <c r="F151" s="193">
        <v>16.25</v>
      </c>
      <c r="G151" s="189">
        <v>5.0</v>
      </c>
      <c r="H151" s="189">
        <v>0.0</v>
      </c>
      <c r="I151" s="189">
        <v>0.0</v>
      </c>
      <c r="J151" s="189">
        <v>0.0</v>
      </c>
      <c r="K151" s="179" t="b">
        <v>0</v>
      </c>
      <c r="L151" s="180"/>
    </row>
    <row r="152" ht="22.5" customHeight="1">
      <c r="A152" s="189">
        <v>12.0</v>
      </c>
      <c r="B152" s="190">
        <v>45950.0</v>
      </c>
      <c r="C152" s="191" t="s">
        <v>484</v>
      </c>
      <c r="D152" s="192" t="s">
        <v>629</v>
      </c>
      <c r="E152" s="193">
        <v>0.11</v>
      </c>
      <c r="F152" s="193">
        <v>16.25</v>
      </c>
      <c r="G152" s="189">
        <v>2.0</v>
      </c>
      <c r="H152" s="189">
        <v>0.0</v>
      </c>
      <c r="I152" s="189">
        <v>0.0</v>
      </c>
      <c r="J152" s="189">
        <v>0.0</v>
      </c>
      <c r="K152" s="179" t="b">
        <v>0</v>
      </c>
      <c r="L152" s="180"/>
    </row>
    <row r="153" ht="22.5" customHeight="1">
      <c r="A153" s="189">
        <v>12.0</v>
      </c>
      <c r="B153" s="190">
        <v>45950.0</v>
      </c>
      <c r="C153" s="191" t="s">
        <v>484</v>
      </c>
      <c r="D153" s="192" t="s">
        <v>630</v>
      </c>
      <c r="E153" s="193">
        <v>0.11</v>
      </c>
      <c r="F153" s="193">
        <v>19.0</v>
      </c>
      <c r="G153" s="189">
        <v>0.0</v>
      </c>
      <c r="H153" s="189">
        <v>0.0</v>
      </c>
      <c r="I153" s="189">
        <v>0.0</v>
      </c>
      <c r="J153" s="189">
        <v>0.0</v>
      </c>
      <c r="K153" s="179" t="b">
        <v>0</v>
      </c>
      <c r="L153" s="180"/>
    </row>
    <row r="154" ht="22.5" customHeight="1">
      <c r="A154" s="189">
        <v>12.0</v>
      </c>
      <c r="B154" s="190">
        <v>45950.0</v>
      </c>
      <c r="C154" s="191" t="s">
        <v>484</v>
      </c>
      <c r="D154" s="192" t="s">
        <v>631</v>
      </c>
      <c r="E154" s="193">
        <v>0.11</v>
      </c>
      <c r="F154" s="193">
        <v>16.25</v>
      </c>
      <c r="G154" s="189">
        <v>0.0</v>
      </c>
      <c r="H154" s="189">
        <v>0.0</v>
      </c>
      <c r="I154" s="189">
        <v>0.0</v>
      </c>
      <c r="J154" s="189">
        <v>0.0</v>
      </c>
      <c r="K154" s="179" t="b">
        <v>0</v>
      </c>
      <c r="L154" s="180"/>
    </row>
    <row r="155" ht="22.5" customHeight="1">
      <c r="A155" s="220">
        <v>4.0</v>
      </c>
      <c r="B155" s="221">
        <v>45949.0</v>
      </c>
      <c r="C155" s="201" t="s">
        <v>593</v>
      </c>
      <c r="D155" s="222" t="s">
        <v>632</v>
      </c>
      <c r="E155" s="223">
        <v>0.11</v>
      </c>
      <c r="F155" s="223">
        <v>12.0</v>
      </c>
      <c r="G155" s="220">
        <v>45.0</v>
      </c>
      <c r="H155" s="220">
        <v>0.0</v>
      </c>
      <c r="I155" s="220">
        <v>0.0</v>
      </c>
      <c r="J155" s="220">
        <v>0.0</v>
      </c>
      <c r="K155" s="224" t="b">
        <v>0</v>
      </c>
      <c r="L155" s="205"/>
    </row>
    <row r="156" ht="22.5" customHeight="1">
      <c r="A156" s="220">
        <v>4.0</v>
      </c>
      <c r="B156" s="221">
        <v>45949.0</v>
      </c>
      <c r="C156" s="201" t="s">
        <v>593</v>
      </c>
      <c r="D156" s="222" t="s">
        <v>633</v>
      </c>
      <c r="E156" s="223">
        <v>0.11</v>
      </c>
      <c r="F156" s="223">
        <v>12.0</v>
      </c>
      <c r="G156" s="220">
        <v>45.0</v>
      </c>
      <c r="H156" s="220">
        <v>0.0</v>
      </c>
      <c r="I156" s="220">
        <v>0.0</v>
      </c>
      <c r="J156" s="220">
        <v>0.0</v>
      </c>
      <c r="K156" s="224" t="b">
        <v>0</v>
      </c>
      <c r="L156" s="205"/>
    </row>
    <row r="157" ht="22.5" customHeight="1">
      <c r="A157" s="189">
        <v>10.0</v>
      </c>
      <c r="B157" s="190">
        <v>45949.0</v>
      </c>
      <c r="C157" s="191" t="s">
        <v>484</v>
      </c>
      <c r="D157" s="192" t="s">
        <v>634</v>
      </c>
      <c r="E157" s="193">
        <v>0.11</v>
      </c>
      <c r="F157" s="193">
        <v>20.0</v>
      </c>
      <c r="G157" s="189">
        <v>8.0</v>
      </c>
      <c r="H157" s="189">
        <v>0.0</v>
      </c>
      <c r="I157" s="189">
        <v>0.0</v>
      </c>
      <c r="J157" s="189">
        <v>0.0</v>
      </c>
      <c r="K157" s="179" t="b">
        <v>0</v>
      </c>
      <c r="L157" s="180"/>
    </row>
    <row r="158" ht="22.5" customHeight="1">
      <c r="A158" s="189">
        <v>10.0</v>
      </c>
      <c r="B158" s="190">
        <v>45949.0</v>
      </c>
      <c r="C158" s="191" t="s">
        <v>484</v>
      </c>
      <c r="D158" s="192" t="s">
        <v>635</v>
      </c>
      <c r="E158" s="193">
        <v>0.11</v>
      </c>
      <c r="F158" s="193">
        <v>19.0</v>
      </c>
      <c r="G158" s="189">
        <v>7.0</v>
      </c>
      <c r="H158" s="189">
        <v>0.0</v>
      </c>
      <c r="I158" s="189">
        <v>0.0</v>
      </c>
      <c r="J158" s="189">
        <v>0.0</v>
      </c>
      <c r="K158" s="179" t="b">
        <v>0</v>
      </c>
      <c r="L158" s="180"/>
    </row>
    <row r="159" ht="22.5" customHeight="1">
      <c r="A159" s="189">
        <v>10.0</v>
      </c>
      <c r="B159" s="190">
        <v>45949.0</v>
      </c>
      <c r="C159" s="191" t="s">
        <v>484</v>
      </c>
      <c r="D159" s="192" t="s">
        <v>636</v>
      </c>
      <c r="E159" s="193">
        <v>0.11</v>
      </c>
      <c r="F159" s="193">
        <v>15.08</v>
      </c>
      <c r="G159" s="189">
        <v>5.0</v>
      </c>
      <c r="H159" s="189">
        <v>0.0</v>
      </c>
      <c r="I159" s="189">
        <v>0.0</v>
      </c>
      <c r="J159" s="189">
        <v>0.0</v>
      </c>
      <c r="K159" s="179" t="b">
        <v>0</v>
      </c>
      <c r="L159" s="180"/>
    </row>
    <row r="160" ht="22.5" customHeight="1">
      <c r="A160" s="189">
        <v>10.0</v>
      </c>
      <c r="B160" s="190">
        <v>45949.0</v>
      </c>
      <c r="C160" s="191" t="s">
        <v>484</v>
      </c>
      <c r="D160" s="192" t="s">
        <v>637</v>
      </c>
      <c r="E160" s="193">
        <v>0.11</v>
      </c>
      <c r="F160" s="193">
        <v>19.0</v>
      </c>
      <c r="G160" s="189">
        <v>5.0</v>
      </c>
      <c r="H160" s="189">
        <v>0.0</v>
      </c>
      <c r="I160" s="189">
        <v>0.0</v>
      </c>
      <c r="J160" s="189">
        <v>0.0</v>
      </c>
      <c r="K160" s="179" t="b">
        <v>0</v>
      </c>
      <c r="L160" s="180"/>
    </row>
    <row r="161" ht="22.5" customHeight="1">
      <c r="A161" s="189">
        <v>10.0</v>
      </c>
      <c r="B161" s="190">
        <v>45949.0</v>
      </c>
      <c r="C161" s="191" t="s">
        <v>484</v>
      </c>
      <c r="D161" s="192" t="s">
        <v>638</v>
      </c>
      <c r="E161" s="193">
        <v>0.11</v>
      </c>
      <c r="F161" s="193">
        <v>20.0</v>
      </c>
      <c r="G161" s="189">
        <v>5.0</v>
      </c>
      <c r="H161" s="189">
        <v>0.0</v>
      </c>
      <c r="I161" s="189">
        <v>0.0</v>
      </c>
      <c r="J161" s="189">
        <v>0.0</v>
      </c>
      <c r="K161" s="179" t="b">
        <v>0</v>
      </c>
      <c r="L161" s="180"/>
    </row>
    <row r="162" ht="22.5" customHeight="1">
      <c r="A162" s="189">
        <v>12.0</v>
      </c>
      <c r="B162" s="190">
        <v>45949.0</v>
      </c>
      <c r="C162" s="191" t="s">
        <v>484</v>
      </c>
      <c r="D162" s="192" t="s">
        <v>639</v>
      </c>
      <c r="E162" s="193">
        <v>0.11</v>
      </c>
      <c r="F162" s="193">
        <v>15.0</v>
      </c>
      <c r="G162" s="189">
        <v>2.0</v>
      </c>
      <c r="H162" s="189">
        <v>0.0</v>
      </c>
      <c r="I162" s="189">
        <v>0.0</v>
      </c>
      <c r="J162" s="189">
        <v>0.0</v>
      </c>
      <c r="K162" s="179" t="b">
        <v>0</v>
      </c>
      <c r="L162" s="180"/>
    </row>
    <row r="163" ht="22.5" customHeight="1">
      <c r="A163" s="189">
        <v>12.0</v>
      </c>
      <c r="B163" s="190">
        <v>45949.0</v>
      </c>
      <c r="C163" s="191" t="s">
        <v>484</v>
      </c>
      <c r="D163" s="192" t="s">
        <v>640</v>
      </c>
      <c r="E163" s="193">
        <v>0.11</v>
      </c>
      <c r="F163" s="193">
        <v>18.0</v>
      </c>
      <c r="G163" s="189">
        <v>1.0</v>
      </c>
      <c r="H163" s="189">
        <v>0.0</v>
      </c>
      <c r="I163" s="189">
        <v>0.0</v>
      </c>
      <c r="J163" s="189">
        <v>0.0</v>
      </c>
      <c r="K163" s="179" t="b">
        <v>0</v>
      </c>
      <c r="L163" s="180"/>
    </row>
    <row r="164" ht="22.5" customHeight="1">
      <c r="A164" s="189">
        <v>12.0</v>
      </c>
      <c r="B164" s="190">
        <v>45949.0</v>
      </c>
      <c r="C164" s="191" t="s">
        <v>484</v>
      </c>
      <c r="D164" s="192" t="s">
        <v>641</v>
      </c>
      <c r="E164" s="193">
        <v>0.11</v>
      </c>
      <c r="F164" s="193">
        <v>18.0</v>
      </c>
      <c r="G164" s="189">
        <v>1.0</v>
      </c>
      <c r="H164" s="189">
        <v>0.0</v>
      </c>
      <c r="I164" s="189">
        <v>0.0</v>
      </c>
      <c r="J164" s="189">
        <v>0.0</v>
      </c>
      <c r="K164" s="179" t="b">
        <v>0</v>
      </c>
      <c r="L164" s="180"/>
    </row>
    <row r="165" ht="22.5" customHeight="1">
      <c r="A165" s="189">
        <v>12.0</v>
      </c>
      <c r="B165" s="190">
        <v>45949.0</v>
      </c>
      <c r="C165" s="191" t="s">
        <v>484</v>
      </c>
      <c r="D165" s="192" t="s">
        <v>642</v>
      </c>
      <c r="E165" s="193">
        <v>0.11</v>
      </c>
      <c r="F165" s="193">
        <v>18.0</v>
      </c>
      <c r="G165" s="189">
        <v>0.0</v>
      </c>
      <c r="H165" s="189">
        <v>0.0</v>
      </c>
      <c r="I165" s="189">
        <v>0.0</v>
      </c>
      <c r="J165" s="189">
        <v>0.0</v>
      </c>
      <c r="K165" s="179" t="b">
        <v>0</v>
      </c>
      <c r="L165" s="180"/>
    </row>
    <row r="166" ht="22.5" customHeight="1">
      <c r="A166" s="189">
        <v>12.0</v>
      </c>
      <c r="B166" s="190">
        <v>45949.0</v>
      </c>
      <c r="C166" s="191" t="s">
        <v>484</v>
      </c>
      <c r="D166" s="192" t="s">
        <v>643</v>
      </c>
      <c r="E166" s="193">
        <v>0.11</v>
      </c>
      <c r="F166" s="193">
        <v>15.0</v>
      </c>
      <c r="G166" s="189">
        <v>0.0</v>
      </c>
      <c r="H166" s="189">
        <v>0.0</v>
      </c>
      <c r="I166" s="189">
        <v>0.0</v>
      </c>
      <c r="J166" s="189">
        <v>0.0</v>
      </c>
      <c r="K166" s="179" t="b">
        <v>0</v>
      </c>
      <c r="L166" s="180"/>
    </row>
    <row r="167" ht="22.5" customHeight="1">
      <c r="A167" s="189">
        <v>12.0</v>
      </c>
      <c r="B167" s="190">
        <v>45949.0</v>
      </c>
      <c r="C167" s="191" t="s">
        <v>484</v>
      </c>
      <c r="D167" s="192" t="s">
        <v>644</v>
      </c>
      <c r="E167" s="193">
        <v>0.11</v>
      </c>
      <c r="F167" s="193">
        <v>15.0</v>
      </c>
      <c r="G167" s="189">
        <v>0.0</v>
      </c>
      <c r="H167" s="189">
        <v>0.0</v>
      </c>
      <c r="I167" s="189">
        <v>0.0</v>
      </c>
      <c r="J167" s="189">
        <v>0.0</v>
      </c>
      <c r="K167" s="179" t="b">
        <v>0</v>
      </c>
      <c r="L167" s="180"/>
    </row>
    <row r="168" ht="22.5" customHeight="1">
      <c r="A168" s="225">
        <v>6.0</v>
      </c>
      <c r="B168" s="226">
        <v>45948.0</v>
      </c>
      <c r="C168" s="227" t="s">
        <v>645</v>
      </c>
      <c r="D168" s="228" t="s">
        <v>646</v>
      </c>
      <c r="E168" s="229">
        <v>0.11</v>
      </c>
      <c r="F168" s="230">
        <v>4.0</v>
      </c>
      <c r="G168" s="225">
        <v>42.0</v>
      </c>
      <c r="H168" s="225">
        <v>0.0</v>
      </c>
      <c r="I168" s="225">
        <v>0.0</v>
      </c>
      <c r="J168" s="225">
        <v>0.0</v>
      </c>
      <c r="K168" s="231" t="b">
        <v>0</v>
      </c>
      <c r="L168" s="232"/>
    </row>
    <row r="169" ht="22.5" customHeight="1">
      <c r="A169" s="220">
        <v>4.0</v>
      </c>
      <c r="B169" s="221">
        <v>45948.0</v>
      </c>
      <c r="C169" s="201" t="s">
        <v>593</v>
      </c>
      <c r="D169" s="222" t="s">
        <v>647</v>
      </c>
      <c r="E169" s="223">
        <v>0.11</v>
      </c>
      <c r="F169" s="223">
        <v>12.5</v>
      </c>
      <c r="G169" s="220">
        <v>44.0</v>
      </c>
      <c r="H169" s="220">
        <v>0.0</v>
      </c>
      <c r="I169" s="220">
        <v>0.0</v>
      </c>
      <c r="J169" s="220">
        <v>0.0</v>
      </c>
      <c r="K169" s="224" t="b">
        <v>0</v>
      </c>
      <c r="L169" s="205"/>
    </row>
    <row r="170" ht="22.5" customHeight="1">
      <c r="A170" s="220">
        <v>4.0</v>
      </c>
      <c r="B170" s="221">
        <v>45948.0</v>
      </c>
      <c r="C170" s="201" t="s">
        <v>593</v>
      </c>
      <c r="D170" s="222" t="s">
        <v>648</v>
      </c>
      <c r="E170" s="223">
        <v>0.11</v>
      </c>
      <c r="F170" s="223">
        <v>12.5</v>
      </c>
      <c r="G170" s="220">
        <v>44.0</v>
      </c>
      <c r="H170" s="220">
        <v>0.0</v>
      </c>
      <c r="I170" s="220">
        <v>0.0</v>
      </c>
      <c r="J170" s="220">
        <v>0.0</v>
      </c>
      <c r="K170" s="224" t="b">
        <v>0</v>
      </c>
      <c r="L170" s="205"/>
    </row>
    <row r="171" ht="22.5" customHeight="1">
      <c r="A171" s="199">
        <v>7.0</v>
      </c>
      <c r="B171" s="200">
        <v>45948.0</v>
      </c>
      <c r="C171" s="201" t="s">
        <v>505</v>
      </c>
      <c r="D171" s="202" t="s">
        <v>649</v>
      </c>
      <c r="E171" s="203">
        <v>0.11</v>
      </c>
      <c r="F171" s="203">
        <v>12.0</v>
      </c>
      <c r="G171" s="199">
        <v>24.0</v>
      </c>
      <c r="H171" s="199">
        <v>0.0</v>
      </c>
      <c r="I171" s="199">
        <v>0.0</v>
      </c>
      <c r="J171" s="199">
        <v>0.0</v>
      </c>
      <c r="K171" s="204" t="b">
        <v>0</v>
      </c>
      <c r="L171" s="205"/>
    </row>
    <row r="172" ht="22.5" customHeight="1">
      <c r="A172" s="189">
        <v>10.0</v>
      </c>
      <c r="B172" s="190">
        <v>45948.0</v>
      </c>
      <c r="C172" s="191" t="s">
        <v>484</v>
      </c>
      <c r="D172" s="192" t="s">
        <v>650</v>
      </c>
      <c r="E172" s="193">
        <v>0.11</v>
      </c>
      <c r="F172" s="193">
        <v>15.0</v>
      </c>
      <c r="G172" s="189">
        <v>4.0</v>
      </c>
      <c r="H172" s="189">
        <v>0.0</v>
      </c>
      <c r="I172" s="189">
        <v>0.0</v>
      </c>
      <c r="J172" s="189">
        <v>0.0</v>
      </c>
      <c r="K172" s="179" t="b">
        <v>0</v>
      </c>
      <c r="L172" s="180"/>
    </row>
    <row r="173" ht="22.5" customHeight="1">
      <c r="A173" s="189">
        <v>10.0</v>
      </c>
      <c r="B173" s="190">
        <v>45948.0</v>
      </c>
      <c r="C173" s="191" t="s">
        <v>484</v>
      </c>
      <c r="D173" s="192" t="s">
        <v>651</v>
      </c>
      <c r="E173" s="193">
        <v>0.11</v>
      </c>
      <c r="F173" s="193">
        <v>18.0</v>
      </c>
      <c r="G173" s="189">
        <v>3.0</v>
      </c>
      <c r="H173" s="189">
        <v>0.0</v>
      </c>
      <c r="I173" s="189">
        <v>0.0</v>
      </c>
      <c r="J173" s="189">
        <v>0.0</v>
      </c>
      <c r="K173" s="179" t="b">
        <v>0</v>
      </c>
      <c r="L173" s="180"/>
    </row>
    <row r="174" ht="22.5" customHeight="1">
      <c r="A174" s="189">
        <v>10.0</v>
      </c>
      <c r="B174" s="190">
        <v>45948.0</v>
      </c>
      <c r="C174" s="191" t="s">
        <v>484</v>
      </c>
      <c r="D174" s="192" t="s">
        <v>652</v>
      </c>
      <c r="E174" s="193">
        <v>0.11</v>
      </c>
      <c r="F174" s="193">
        <v>18.0</v>
      </c>
      <c r="G174" s="189">
        <v>2.0</v>
      </c>
      <c r="H174" s="189">
        <v>0.0</v>
      </c>
      <c r="I174" s="189">
        <v>0.0</v>
      </c>
      <c r="J174" s="189">
        <v>0.0</v>
      </c>
      <c r="K174" s="179" t="b">
        <v>0</v>
      </c>
      <c r="L174" s="180"/>
    </row>
    <row r="175" ht="22.5" customHeight="1">
      <c r="A175" s="189">
        <v>10.0</v>
      </c>
      <c r="B175" s="190">
        <v>45948.0</v>
      </c>
      <c r="C175" s="191" t="s">
        <v>484</v>
      </c>
      <c r="D175" s="192" t="s">
        <v>653</v>
      </c>
      <c r="E175" s="193">
        <v>0.11</v>
      </c>
      <c r="F175" s="193">
        <v>16.0</v>
      </c>
      <c r="G175" s="189">
        <v>2.0</v>
      </c>
      <c r="H175" s="189">
        <v>0.0</v>
      </c>
      <c r="I175" s="189">
        <v>0.0</v>
      </c>
      <c r="J175" s="189">
        <v>0.0</v>
      </c>
      <c r="K175" s="179" t="b">
        <v>0</v>
      </c>
      <c r="L175" s="180"/>
    </row>
    <row r="176" ht="22.5" customHeight="1">
      <c r="A176" s="189">
        <v>10.0</v>
      </c>
      <c r="B176" s="190">
        <v>45948.0</v>
      </c>
      <c r="C176" s="191" t="s">
        <v>484</v>
      </c>
      <c r="D176" s="192" t="s">
        <v>654</v>
      </c>
      <c r="E176" s="193">
        <v>0.11</v>
      </c>
      <c r="F176" s="193">
        <v>15.2</v>
      </c>
      <c r="G176" s="189">
        <v>2.0</v>
      </c>
      <c r="H176" s="189">
        <v>0.0</v>
      </c>
      <c r="I176" s="189">
        <v>0.0</v>
      </c>
      <c r="J176" s="189">
        <v>0.0</v>
      </c>
      <c r="K176" s="179" t="b">
        <v>0</v>
      </c>
      <c r="L176" s="180"/>
    </row>
    <row r="177" ht="22.5" customHeight="1">
      <c r="A177" s="189">
        <v>10.0</v>
      </c>
      <c r="B177" s="190">
        <v>45948.0</v>
      </c>
      <c r="C177" s="191" t="s">
        <v>484</v>
      </c>
      <c r="D177" s="192" t="s">
        <v>655</v>
      </c>
      <c r="E177" s="193">
        <v>0.11</v>
      </c>
      <c r="F177" s="193">
        <v>18.0</v>
      </c>
      <c r="G177" s="189">
        <v>2.0</v>
      </c>
      <c r="H177" s="189">
        <v>0.0</v>
      </c>
      <c r="I177" s="189">
        <v>0.0</v>
      </c>
      <c r="J177" s="189">
        <v>0.0</v>
      </c>
      <c r="K177" s="179" t="b">
        <v>0</v>
      </c>
      <c r="L177" s="180"/>
    </row>
    <row r="178" ht="22.5" customHeight="1">
      <c r="A178" s="189">
        <v>10.0</v>
      </c>
      <c r="B178" s="190">
        <v>45948.0</v>
      </c>
      <c r="C178" s="191" t="s">
        <v>484</v>
      </c>
      <c r="D178" s="192" t="s">
        <v>656</v>
      </c>
      <c r="E178" s="193">
        <v>0.11</v>
      </c>
      <c r="F178" s="193">
        <v>19.0</v>
      </c>
      <c r="G178" s="189">
        <v>1.0</v>
      </c>
      <c r="H178" s="189">
        <v>0.0</v>
      </c>
      <c r="I178" s="189">
        <v>0.0</v>
      </c>
      <c r="J178" s="189">
        <v>0.0</v>
      </c>
      <c r="K178" s="179" t="b">
        <v>0</v>
      </c>
      <c r="L178" s="180"/>
    </row>
    <row r="179" ht="22.5" customHeight="1">
      <c r="A179" s="189">
        <v>10.0</v>
      </c>
      <c r="B179" s="190">
        <v>45948.0</v>
      </c>
      <c r="C179" s="191" t="s">
        <v>484</v>
      </c>
      <c r="D179" s="192" t="s">
        <v>657</v>
      </c>
      <c r="E179" s="193">
        <v>0.11</v>
      </c>
      <c r="F179" s="193">
        <v>19.0</v>
      </c>
      <c r="G179" s="189">
        <v>1.0</v>
      </c>
      <c r="H179" s="189">
        <v>0.0</v>
      </c>
      <c r="I179" s="189">
        <v>0.0</v>
      </c>
      <c r="J179" s="189">
        <v>0.0</v>
      </c>
      <c r="K179" s="179" t="b">
        <v>0</v>
      </c>
      <c r="L179" s="180"/>
    </row>
    <row r="180" ht="22.5" customHeight="1">
      <c r="A180" s="189">
        <v>10.0</v>
      </c>
      <c r="B180" s="190">
        <v>45948.0</v>
      </c>
      <c r="C180" s="191" t="s">
        <v>484</v>
      </c>
      <c r="D180" s="192" t="s">
        <v>658</v>
      </c>
      <c r="E180" s="193">
        <v>0.11</v>
      </c>
      <c r="F180" s="193">
        <v>18.0</v>
      </c>
      <c r="G180" s="189">
        <v>1.0</v>
      </c>
      <c r="H180" s="189">
        <v>0.0</v>
      </c>
      <c r="I180" s="189">
        <v>0.0</v>
      </c>
      <c r="J180" s="189">
        <v>0.0</v>
      </c>
      <c r="K180" s="179" t="b">
        <v>0</v>
      </c>
      <c r="L180" s="180"/>
    </row>
    <row r="181" ht="22.5" customHeight="1">
      <c r="A181" s="189">
        <v>12.0</v>
      </c>
      <c r="B181" s="190">
        <v>45948.0</v>
      </c>
      <c r="C181" s="191" t="s">
        <v>484</v>
      </c>
      <c r="D181" s="192" t="s">
        <v>659</v>
      </c>
      <c r="E181" s="193">
        <v>0.11</v>
      </c>
      <c r="F181" s="193">
        <v>15.0</v>
      </c>
      <c r="G181" s="189">
        <v>1.0</v>
      </c>
      <c r="H181" s="189">
        <v>0.0</v>
      </c>
      <c r="I181" s="189">
        <v>0.0</v>
      </c>
      <c r="J181" s="189">
        <v>0.0</v>
      </c>
      <c r="K181" s="179" t="b">
        <v>0</v>
      </c>
      <c r="L181" s="180"/>
    </row>
    <row r="182" ht="22.5" customHeight="1">
      <c r="A182" s="189">
        <v>12.0</v>
      </c>
      <c r="B182" s="190">
        <v>45948.0</v>
      </c>
      <c r="C182" s="191" t="s">
        <v>484</v>
      </c>
      <c r="D182" s="192" t="s">
        <v>660</v>
      </c>
      <c r="E182" s="193">
        <v>0.11</v>
      </c>
      <c r="F182" s="193">
        <v>17.5</v>
      </c>
      <c r="G182" s="189">
        <v>0.0</v>
      </c>
      <c r="H182" s="189">
        <v>0.0</v>
      </c>
      <c r="I182" s="189">
        <v>0.0</v>
      </c>
      <c r="J182" s="189">
        <v>0.0</v>
      </c>
      <c r="K182" s="179" t="b">
        <v>0</v>
      </c>
      <c r="L182" s="180"/>
    </row>
    <row r="183" ht="22.5" customHeight="1">
      <c r="A183" s="189">
        <v>12.0</v>
      </c>
      <c r="B183" s="190">
        <v>45948.0</v>
      </c>
      <c r="C183" s="191" t="s">
        <v>484</v>
      </c>
      <c r="D183" s="192" t="s">
        <v>661</v>
      </c>
      <c r="E183" s="193">
        <v>0.11</v>
      </c>
      <c r="F183" s="193">
        <v>17.5</v>
      </c>
      <c r="G183" s="189">
        <v>0.0</v>
      </c>
      <c r="H183" s="189">
        <v>0.0</v>
      </c>
      <c r="I183" s="189">
        <v>0.0</v>
      </c>
      <c r="J183" s="189">
        <v>0.0</v>
      </c>
      <c r="K183" s="179" t="b">
        <v>0</v>
      </c>
      <c r="L183" s="180"/>
    </row>
    <row r="184" ht="22.5" customHeight="1">
      <c r="A184" s="189">
        <v>12.0</v>
      </c>
      <c r="B184" s="190">
        <v>45948.0</v>
      </c>
      <c r="C184" s="191" t="s">
        <v>484</v>
      </c>
      <c r="D184" s="192" t="s">
        <v>662</v>
      </c>
      <c r="E184" s="193">
        <v>0.11</v>
      </c>
      <c r="F184" s="193">
        <v>15.0</v>
      </c>
      <c r="G184" s="189">
        <v>0.0</v>
      </c>
      <c r="H184" s="189">
        <v>0.0</v>
      </c>
      <c r="I184" s="189">
        <v>0.0</v>
      </c>
      <c r="J184" s="189">
        <v>0.0</v>
      </c>
      <c r="K184" s="179" t="b">
        <v>0</v>
      </c>
      <c r="L184" s="180"/>
    </row>
    <row r="185" ht="22.5" customHeight="1">
      <c r="A185" s="199">
        <v>7.0</v>
      </c>
      <c r="B185" s="200">
        <v>45946.0</v>
      </c>
      <c r="C185" s="201" t="s">
        <v>505</v>
      </c>
      <c r="D185" s="202" t="s">
        <v>663</v>
      </c>
      <c r="E185" s="203">
        <v>0.11</v>
      </c>
      <c r="F185" s="203">
        <v>15.0</v>
      </c>
      <c r="G185" s="199">
        <v>22.0</v>
      </c>
      <c r="H185" s="199">
        <v>0.0</v>
      </c>
      <c r="I185" s="199">
        <v>0.0</v>
      </c>
      <c r="J185" s="199">
        <v>0.0</v>
      </c>
      <c r="K185" s="204" t="b">
        <v>0</v>
      </c>
      <c r="L185" s="205"/>
    </row>
    <row r="186" ht="22.5" customHeight="1">
      <c r="A186" s="189">
        <v>10.0</v>
      </c>
      <c r="B186" s="190">
        <v>45946.0</v>
      </c>
      <c r="C186" s="191" t="s">
        <v>484</v>
      </c>
      <c r="D186" s="192" t="s">
        <v>664</v>
      </c>
      <c r="E186" s="193">
        <v>0.11</v>
      </c>
      <c r="F186" s="193">
        <v>17.6</v>
      </c>
      <c r="G186" s="189">
        <v>2.0</v>
      </c>
      <c r="H186" s="189">
        <v>0.0</v>
      </c>
      <c r="I186" s="189">
        <v>0.0</v>
      </c>
      <c r="J186" s="189">
        <v>0.0</v>
      </c>
      <c r="K186" s="179" t="b">
        <v>0</v>
      </c>
      <c r="L186" s="180"/>
    </row>
    <row r="187" ht="22.5" customHeight="1">
      <c r="A187" s="189">
        <v>10.0</v>
      </c>
      <c r="B187" s="190">
        <v>45946.0</v>
      </c>
      <c r="C187" s="191" t="s">
        <v>484</v>
      </c>
      <c r="D187" s="192" t="s">
        <v>665</v>
      </c>
      <c r="E187" s="193">
        <v>0.11</v>
      </c>
      <c r="F187" s="193">
        <v>15.0</v>
      </c>
      <c r="G187" s="189">
        <v>1.0</v>
      </c>
      <c r="H187" s="189">
        <v>0.0</v>
      </c>
      <c r="I187" s="189">
        <v>0.0</v>
      </c>
      <c r="J187" s="189">
        <v>0.0</v>
      </c>
      <c r="K187" s="179" t="b">
        <v>0</v>
      </c>
      <c r="L187" s="180"/>
    </row>
    <row r="188" ht="22.5" customHeight="1">
      <c r="A188" s="189">
        <v>10.0</v>
      </c>
      <c r="B188" s="190">
        <v>45946.0</v>
      </c>
      <c r="C188" s="191" t="s">
        <v>484</v>
      </c>
      <c r="D188" s="192" t="s">
        <v>666</v>
      </c>
      <c r="E188" s="193">
        <v>0.11</v>
      </c>
      <c r="F188" s="193">
        <v>15.0</v>
      </c>
      <c r="G188" s="189">
        <v>1.0</v>
      </c>
      <c r="H188" s="189">
        <v>0.0</v>
      </c>
      <c r="I188" s="189">
        <v>0.0</v>
      </c>
      <c r="J188" s="189">
        <v>0.0</v>
      </c>
      <c r="K188" s="179" t="b">
        <v>0</v>
      </c>
      <c r="L188" s="180"/>
    </row>
    <row r="189" ht="22.5" customHeight="1">
      <c r="A189" s="189">
        <v>10.0</v>
      </c>
      <c r="B189" s="190">
        <v>45946.0</v>
      </c>
      <c r="C189" s="191" t="s">
        <v>484</v>
      </c>
      <c r="D189" s="192" t="s">
        <v>667</v>
      </c>
      <c r="E189" s="193">
        <v>0.11</v>
      </c>
      <c r="F189" s="193">
        <v>15.0</v>
      </c>
      <c r="G189" s="189">
        <v>1.0</v>
      </c>
      <c r="H189" s="189">
        <v>0.0</v>
      </c>
      <c r="I189" s="189">
        <v>0.0</v>
      </c>
      <c r="J189" s="189">
        <v>0.0</v>
      </c>
      <c r="K189" s="179" t="b">
        <v>0</v>
      </c>
      <c r="L189" s="180"/>
    </row>
    <row r="190" ht="22.5" customHeight="1">
      <c r="A190" s="189">
        <v>10.0</v>
      </c>
      <c r="B190" s="190">
        <v>45946.0</v>
      </c>
      <c r="C190" s="191" t="s">
        <v>484</v>
      </c>
      <c r="D190" s="192" t="s">
        <v>668</v>
      </c>
      <c r="E190" s="193">
        <v>0.11</v>
      </c>
      <c r="F190" s="193">
        <v>19.0</v>
      </c>
      <c r="G190" s="189">
        <v>1.0</v>
      </c>
      <c r="H190" s="189">
        <v>0.0</v>
      </c>
      <c r="I190" s="189">
        <v>0.0</v>
      </c>
      <c r="J190" s="189">
        <v>0.0</v>
      </c>
      <c r="K190" s="179" t="b">
        <v>0</v>
      </c>
      <c r="L190" s="180"/>
    </row>
    <row r="191" ht="22.5" customHeight="1">
      <c r="A191" s="189">
        <v>10.0</v>
      </c>
      <c r="B191" s="190">
        <v>45946.0</v>
      </c>
      <c r="C191" s="191" t="s">
        <v>484</v>
      </c>
      <c r="D191" s="192" t="s">
        <v>669</v>
      </c>
      <c r="E191" s="193">
        <v>0.11</v>
      </c>
      <c r="F191" s="193">
        <v>15.0</v>
      </c>
      <c r="G191" s="189">
        <v>0.0</v>
      </c>
      <c r="H191" s="189">
        <v>0.0</v>
      </c>
      <c r="I191" s="189">
        <v>0.0</v>
      </c>
      <c r="J191" s="189">
        <v>0.0</v>
      </c>
      <c r="K191" s="179" t="b">
        <v>0</v>
      </c>
      <c r="L191" s="180"/>
    </row>
    <row r="192" ht="22.5" customHeight="1">
      <c r="A192" s="189">
        <v>10.0</v>
      </c>
      <c r="B192" s="190">
        <v>45946.0</v>
      </c>
      <c r="C192" s="191" t="s">
        <v>484</v>
      </c>
      <c r="D192" s="192" t="s">
        <v>670</v>
      </c>
      <c r="E192" s="193">
        <v>0.11</v>
      </c>
      <c r="F192" s="193">
        <v>19.0</v>
      </c>
      <c r="G192" s="189">
        <v>0.0</v>
      </c>
      <c r="H192" s="189">
        <v>0.0</v>
      </c>
      <c r="I192" s="189">
        <v>0.0</v>
      </c>
      <c r="J192" s="189">
        <v>0.0</v>
      </c>
      <c r="K192" s="179" t="b">
        <v>0</v>
      </c>
      <c r="L192" s="180"/>
    </row>
    <row r="193" ht="22.5" customHeight="1">
      <c r="A193" s="206">
        <v>1.0</v>
      </c>
      <c r="B193" s="207">
        <v>45945.0</v>
      </c>
      <c r="C193" s="208" t="s">
        <v>22</v>
      </c>
      <c r="D193" s="209" t="s">
        <v>671</v>
      </c>
      <c r="E193" s="210">
        <v>0.22</v>
      </c>
      <c r="F193" s="210">
        <v>84.15</v>
      </c>
      <c r="G193" s="206">
        <v>59.0</v>
      </c>
      <c r="H193" s="206">
        <v>0.0</v>
      </c>
      <c r="I193" s="206">
        <v>0.0</v>
      </c>
      <c r="J193" s="206">
        <v>0.0</v>
      </c>
      <c r="K193" s="211" t="b">
        <v>0</v>
      </c>
      <c r="L193" s="212"/>
    </row>
    <row r="194" ht="22.5" customHeight="1">
      <c r="A194" s="220">
        <v>4.0</v>
      </c>
      <c r="B194" s="221">
        <v>45945.0</v>
      </c>
      <c r="C194" s="201" t="s">
        <v>593</v>
      </c>
      <c r="D194" s="222" t="s">
        <v>672</v>
      </c>
      <c r="E194" s="223">
        <v>0.11</v>
      </c>
      <c r="F194" s="223">
        <v>11.0</v>
      </c>
      <c r="G194" s="220">
        <v>41.0</v>
      </c>
      <c r="H194" s="220">
        <v>0.0</v>
      </c>
      <c r="I194" s="220">
        <v>0.0</v>
      </c>
      <c r="J194" s="220">
        <v>0.0</v>
      </c>
      <c r="K194" s="224" t="b">
        <v>0</v>
      </c>
      <c r="L194" s="205"/>
    </row>
    <row r="195" ht="22.5" customHeight="1">
      <c r="A195" s="189">
        <v>10.0</v>
      </c>
      <c r="B195" s="190">
        <v>45945.0</v>
      </c>
      <c r="C195" s="191" t="s">
        <v>484</v>
      </c>
      <c r="D195" s="192" t="s">
        <v>673</v>
      </c>
      <c r="E195" s="193">
        <v>0.11</v>
      </c>
      <c r="F195" s="193">
        <v>17.0</v>
      </c>
      <c r="G195" s="189">
        <v>2.0</v>
      </c>
      <c r="H195" s="189">
        <v>0.0</v>
      </c>
      <c r="I195" s="189">
        <v>0.0</v>
      </c>
      <c r="J195" s="189">
        <v>0.0</v>
      </c>
      <c r="K195" s="179" t="b">
        <v>0</v>
      </c>
      <c r="L195" s="180"/>
    </row>
    <row r="196" ht="22.5" customHeight="1">
      <c r="A196" s="189">
        <v>10.0</v>
      </c>
      <c r="B196" s="190">
        <v>45945.0</v>
      </c>
      <c r="C196" s="191" t="s">
        <v>484</v>
      </c>
      <c r="D196" s="192" t="s">
        <v>674</v>
      </c>
      <c r="E196" s="193">
        <v>0.11</v>
      </c>
      <c r="F196" s="193">
        <v>20.0</v>
      </c>
      <c r="G196" s="189">
        <v>2.0</v>
      </c>
      <c r="H196" s="189">
        <v>0.0</v>
      </c>
      <c r="I196" s="189">
        <v>0.0</v>
      </c>
      <c r="J196" s="189">
        <v>0.0</v>
      </c>
      <c r="K196" s="179" t="b">
        <v>0</v>
      </c>
      <c r="L196" s="180"/>
    </row>
    <row r="197" ht="22.5" customHeight="1">
      <c r="A197" s="199">
        <v>7.0</v>
      </c>
      <c r="B197" s="200">
        <v>45944.0</v>
      </c>
      <c r="C197" s="201" t="s">
        <v>505</v>
      </c>
      <c r="D197" s="202" t="s">
        <v>675</v>
      </c>
      <c r="E197" s="203">
        <v>0.11</v>
      </c>
      <c r="F197" s="203">
        <v>14.0</v>
      </c>
      <c r="G197" s="199">
        <v>20.0</v>
      </c>
      <c r="H197" s="199">
        <v>0.0</v>
      </c>
      <c r="I197" s="199">
        <v>0.0</v>
      </c>
      <c r="J197" s="199">
        <v>0.0</v>
      </c>
      <c r="K197" s="204" t="b">
        <v>0</v>
      </c>
      <c r="L197" s="205"/>
    </row>
    <row r="198" ht="22.5" customHeight="1">
      <c r="A198" s="189">
        <v>10.0</v>
      </c>
      <c r="B198" s="190">
        <v>45943.0</v>
      </c>
      <c r="C198" s="191" t="s">
        <v>484</v>
      </c>
      <c r="D198" s="192" t="s">
        <v>676</v>
      </c>
      <c r="E198" s="193">
        <v>0.11</v>
      </c>
      <c r="F198" s="193">
        <v>16.0</v>
      </c>
      <c r="G198" s="189">
        <v>2.0</v>
      </c>
      <c r="H198" s="189">
        <v>0.0</v>
      </c>
      <c r="I198" s="189">
        <v>0.0</v>
      </c>
      <c r="J198" s="189">
        <v>0.0</v>
      </c>
      <c r="K198" s="179" t="b">
        <v>0</v>
      </c>
      <c r="L198" s="180"/>
    </row>
    <row r="199" ht="22.5" customHeight="1">
      <c r="A199" s="189">
        <v>10.0</v>
      </c>
      <c r="B199" s="190">
        <v>45943.0</v>
      </c>
      <c r="C199" s="191" t="s">
        <v>484</v>
      </c>
      <c r="D199" s="192" t="s">
        <v>677</v>
      </c>
      <c r="E199" s="193">
        <v>0.11</v>
      </c>
      <c r="F199" s="193">
        <v>16.0</v>
      </c>
      <c r="G199" s="189">
        <v>1.0</v>
      </c>
      <c r="H199" s="189">
        <v>0.0</v>
      </c>
      <c r="I199" s="189">
        <v>0.0</v>
      </c>
      <c r="J199" s="189">
        <v>0.0</v>
      </c>
      <c r="K199" s="179" t="b">
        <v>0</v>
      </c>
      <c r="L199" s="180"/>
    </row>
    <row r="200" ht="22.5" customHeight="1">
      <c r="A200" s="189">
        <v>10.0</v>
      </c>
      <c r="B200" s="190">
        <v>45943.0</v>
      </c>
      <c r="C200" s="191" t="s">
        <v>484</v>
      </c>
      <c r="D200" s="192" t="s">
        <v>678</v>
      </c>
      <c r="E200" s="193">
        <v>0.11</v>
      </c>
      <c r="F200" s="193">
        <v>15.0</v>
      </c>
      <c r="G200" s="189">
        <v>0.0</v>
      </c>
      <c r="H200" s="189">
        <v>0.0</v>
      </c>
      <c r="I200" s="189">
        <v>0.0</v>
      </c>
      <c r="J200" s="189">
        <v>0.0</v>
      </c>
      <c r="K200" s="179" t="b">
        <v>0</v>
      </c>
      <c r="L200" s="180"/>
    </row>
    <row r="201" ht="22.5" customHeight="1">
      <c r="A201" s="189">
        <v>10.0</v>
      </c>
      <c r="B201" s="190">
        <v>45943.0</v>
      </c>
      <c r="C201" s="191" t="s">
        <v>484</v>
      </c>
      <c r="D201" s="192" t="s">
        <v>679</v>
      </c>
      <c r="E201" s="193">
        <v>0.11</v>
      </c>
      <c r="F201" s="193">
        <v>19.8</v>
      </c>
      <c r="G201" s="189">
        <v>0.0</v>
      </c>
      <c r="H201" s="189">
        <v>0.0</v>
      </c>
      <c r="I201" s="189">
        <v>0.0</v>
      </c>
      <c r="J201" s="189">
        <v>0.0</v>
      </c>
      <c r="K201" s="179" t="b">
        <v>0</v>
      </c>
      <c r="L201" s="180"/>
    </row>
    <row r="202" ht="22.5" customHeight="1">
      <c r="A202" s="189">
        <v>10.0</v>
      </c>
      <c r="B202" s="190">
        <v>45942.0</v>
      </c>
      <c r="C202" s="191" t="s">
        <v>484</v>
      </c>
      <c r="D202" s="192" t="s">
        <v>680</v>
      </c>
      <c r="E202" s="193">
        <v>0.11</v>
      </c>
      <c r="F202" s="193">
        <v>17.6</v>
      </c>
      <c r="G202" s="189">
        <v>1.0</v>
      </c>
      <c r="H202" s="189">
        <v>0.0</v>
      </c>
      <c r="I202" s="189">
        <v>0.0</v>
      </c>
      <c r="J202" s="189">
        <v>0.0</v>
      </c>
      <c r="K202" s="179" t="b">
        <v>0</v>
      </c>
      <c r="L202" s="180"/>
    </row>
    <row r="203" ht="22.5" customHeight="1">
      <c r="A203" s="189">
        <v>10.0</v>
      </c>
      <c r="B203" s="190">
        <v>45942.0</v>
      </c>
      <c r="C203" s="191" t="s">
        <v>484</v>
      </c>
      <c r="D203" s="192" t="s">
        <v>681</v>
      </c>
      <c r="E203" s="193">
        <v>0.11</v>
      </c>
      <c r="F203" s="193">
        <v>16.0</v>
      </c>
      <c r="G203" s="189">
        <v>1.0</v>
      </c>
      <c r="H203" s="189">
        <v>0.0</v>
      </c>
      <c r="I203" s="189">
        <v>0.0</v>
      </c>
      <c r="J203" s="189">
        <v>0.0</v>
      </c>
      <c r="K203" s="179" t="b">
        <v>0</v>
      </c>
      <c r="L203" s="180"/>
    </row>
    <row r="204" ht="22.5" customHeight="1">
      <c r="A204" s="189">
        <v>10.0</v>
      </c>
      <c r="B204" s="190">
        <v>45942.0</v>
      </c>
      <c r="C204" s="191" t="s">
        <v>484</v>
      </c>
      <c r="D204" s="192" t="s">
        <v>682</v>
      </c>
      <c r="E204" s="193">
        <v>0.11</v>
      </c>
      <c r="F204" s="193">
        <v>19.0</v>
      </c>
      <c r="G204" s="189">
        <v>0.0</v>
      </c>
      <c r="H204" s="189">
        <v>0.0</v>
      </c>
      <c r="I204" s="189">
        <v>0.0</v>
      </c>
      <c r="J204" s="189">
        <v>0.0</v>
      </c>
      <c r="K204" s="179" t="b">
        <v>0</v>
      </c>
      <c r="L204" s="180"/>
    </row>
    <row r="205" ht="22.5" customHeight="1">
      <c r="A205" s="199">
        <v>7.0</v>
      </c>
      <c r="B205" s="200">
        <v>45941.0</v>
      </c>
      <c r="C205" s="201" t="s">
        <v>505</v>
      </c>
      <c r="D205" s="202" t="s">
        <v>683</v>
      </c>
      <c r="E205" s="203">
        <v>0.11</v>
      </c>
      <c r="F205" s="203">
        <v>16.0</v>
      </c>
      <c r="G205" s="199">
        <v>17.0</v>
      </c>
      <c r="H205" s="199">
        <v>0.0</v>
      </c>
      <c r="I205" s="199">
        <v>0.0</v>
      </c>
      <c r="J205" s="199">
        <v>0.0</v>
      </c>
      <c r="K205" s="204" t="b">
        <v>0</v>
      </c>
      <c r="L205" s="205"/>
    </row>
    <row r="206" ht="22.5" customHeight="1">
      <c r="A206" s="189">
        <v>10.0</v>
      </c>
      <c r="B206" s="190">
        <v>45941.0</v>
      </c>
      <c r="C206" s="191" t="s">
        <v>484</v>
      </c>
      <c r="D206" s="192" t="s">
        <v>684</v>
      </c>
      <c r="E206" s="193">
        <v>0.11</v>
      </c>
      <c r="F206" s="193">
        <v>22.0</v>
      </c>
      <c r="G206" s="189">
        <v>0.0</v>
      </c>
      <c r="H206" s="189">
        <v>0.0</v>
      </c>
      <c r="I206" s="189">
        <v>0.0</v>
      </c>
      <c r="J206" s="189">
        <v>0.0</v>
      </c>
      <c r="K206" s="179" t="b">
        <v>0</v>
      </c>
      <c r="L206" s="180"/>
    </row>
    <row r="207" ht="22.5" customHeight="1">
      <c r="A207" s="189">
        <v>10.0</v>
      </c>
      <c r="B207" s="190">
        <v>45941.0</v>
      </c>
      <c r="C207" s="191" t="s">
        <v>484</v>
      </c>
      <c r="D207" s="192" t="s">
        <v>685</v>
      </c>
      <c r="E207" s="193">
        <v>0.11</v>
      </c>
      <c r="F207" s="193">
        <v>21.0</v>
      </c>
      <c r="G207" s="189">
        <v>0.0</v>
      </c>
      <c r="H207" s="189">
        <v>0.0</v>
      </c>
      <c r="I207" s="189">
        <v>0.0</v>
      </c>
      <c r="J207" s="189">
        <v>0.0</v>
      </c>
      <c r="K207" s="179" t="b">
        <v>0</v>
      </c>
      <c r="L207" s="180"/>
    </row>
    <row r="208" ht="22.5" customHeight="1">
      <c r="A208" s="189">
        <v>10.0</v>
      </c>
      <c r="B208" s="190">
        <v>45941.0</v>
      </c>
      <c r="C208" s="191" t="s">
        <v>484</v>
      </c>
      <c r="D208" s="192" t="s">
        <v>686</v>
      </c>
      <c r="E208" s="193">
        <v>0.11</v>
      </c>
      <c r="F208" s="193">
        <v>20.0</v>
      </c>
      <c r="G208" s="189">
        <v>0.0</v>
      </c>
      <c r="H208" s="189">
        <v>0.0</v>
      </c>
      <c r="I208" s="189">
        <v>0.0</v>
      </c>
      <c r="J208" s="189">
        <v>0.0</v>
      </c>
      <c r="K208" s="179" t="b">
        <v>0</v>
      </c>
      <c r="L208" s="180"/>
    </row>
    <row r="209" ht="22.5" customHeight="1">
      <c r="A209" s="189">
        <v>10.0</v>
      </c>
      <c r="B209" s="190">
        <v>45941.0</v>
      </c>
      <c r="C209" s="191" t="s">
        <v>484</v>
      </c>
      <c r="D209" s="192" t="s">
        <v>687</v>
      </c>
      <c r="E209" s="193">
        <v>0.11</v>
      </c>
      <c r="F209" s="193">
        <v>19.0</v>
      </c>
      <c r="G209" s="189">
        <v>0.0</v>
      </c>
      <c r="H209" s="189">
        <v>0.0</v>
      </c>
      <c r="I209" s="189">
        <v>0.0</v>
      </c>
      <c r="J209" s="189">
        <v>0.0</v>
      </c>
      <c r="K209" s="179" t="b">
        <v>0</v>
      </c>
      <c r="L209" s="180"/>
    </row>
    <row r="210" ht="22.5" customHeight="1">
      <c r="A210" s="199">
        <v>7.0</v>
      </c>
      <c r="B210" s="200">
        <v>45940.0</v>
      </c>
      <c r="C210" s="201" t="s">
        <v>505</v>
      </c>
      <c r="D210" s="202" t="s">
        <v>688</v>
      </c>
      <c r="E210" s="203">
        <v>0.11</v>
      </c>
      <c r="F210" s="203">
        <v>10.0</v>
      </c>
      <c r="G210" s="199">
        <v>16.0</v>
      </c>
      <c r="H210" s="199">
        <v>0.0</v>
      </c>
      <c r="I210" s="199">
        <v>0.0</v>
      </c>
      <c r="J210" s="199">
        <v>0.0</v>
      </c>
      <c r="K210" s="204" t="b">
        <v>0</v>
      </c>
      <c r="L210" s="205"/>
    </row>
    <row r="211" ht="22.5" customHeight="1">
      <c r="A211" s="220">
        <v>4.0</v>
      </c>
      <c r="B211" s="221">
        <v>45939.0</v>
      </c>
      <c r="C211" s="201" t="s">
        <v>593</v>
      </c>
      <c r="D211" s="222" t="s">
        <v>689</v>
      </c>
      <c r="E211" s="223">
        <v>0.11</v>
      </c>
      <c r="F211" s="223">
        <v>14.0</v>
      </c>
      <c r="G211" s="220">
        <v>35.0</v>
      </c>
      <c r="H211" s="220">
        <v>0.0</v>
      </c>
      <c r="I211" s="220">
        <v>0.0</v>
      </c>
      <c r="J211" s="220">
        <v>0.0</v>
      </c>
      <c r="K211" s="224" t="b">
        <v>0</v>
      </c>
      <c r="L211" s="205"/>
    </row>
    <row r="212" ht="22.5" customHeight="1">
      <c r="A212" s="220">
        <v>4.0</v>
      </c>
      <c r="B212" s="221">
        <v>45938.0</v>
      </c>
      <c r="C212" s="201" t="s">
        <v>593</v>
      </c>
      <c r="D212" s="222" t="s">
        <v>690</v>
      </c>
      <c r="E212" s="223">
        <v>0.11</v>
      </c>
      <c r="F212" s="223">
        <v>20.0</v>
      </c>
      <c r="G212" s="220">
        <v>34.0</v>
      </c>
      <c r="H212" s="220">
        <v>0.0</v>
      </c>
      <c r="I212" s="220">
        <v>0.0</v>
      </c>
      <c r="J212" s="220">
        <v>0.0</v>
      </c>
      <c r="K212" s="224" t="b">
        <v>0</v>
      </c>
      <c r="L212" s="205"/>
    </row>
    <row r="213" ht="22.5" customHeight="1">
      <c r="A213" s="206">
        <v>1.0</v>
      </c>
      <c r="B213" s="207">
        <v>45937.0</v>
      </c>
      <c r="C213" s="208" t="s">
        <v>22</v>
      </c>
      <c r="D213" s="209" t="s">
        <v>691</v>
      </c>
      <c r="E213" s="210">
        <v>0.22</v>
      </c>
      <c r="F213" s="210">
        <v>42.8</v>
      </c>
      <c r="G213" s="206">
        <v>82.0</v>
      </c>
      <c r="H213" s="206">
        <v>0.0</v>
      </c>
      <c r="I213" s="206">
        <v>0.0</v>
      </c>
      <c r="J213" s="206">
        <v>0.0</v>
      </c>
      <c r="K213" s="211" t="b">
        <v>0</v>
      </c>
      <c r="L213" s="212"/>
    </row>
    <row r="214" ht="22.5" customHeight="1">
      <c r="A214" s="206">
        <v>1.0</v>
      </c>
      <c r="B214" s="207">
        <v>45937.0</v>
      </c>
      <c r="C214" s="208" t="s">
        <v>22</v>
      </c>
      <c r="D214" s="209" t="s">
        <v>692</v>
      </c>
      <c r="E214" s="210">
        <v>0.22</v>
      </c>
      <c r="F214" s="210">
        <v>79.08</v>
      </c>
      <c r="G214" s="206">
        <v>51.0</v>
      </c>
      <c r="H214" s="206">
        <v>0.0</v>
      </c>
      <c r="I214" s="206">
        <v>0.0</v>
      </c>
      <c r="J214" s="206">
        <v>0.0</v>
      </c>
      <c r="K214" s="211" t="b">
        <v>0</v>
      </c>
      <c r="L214" s="212"/>
    </row>
    <row r="215" ht="22.5" customHeight="1">
      <c r="A215" s="220">
        <v>4.0</v>
      </c>
      <c r="B215" s="221">
        <v>45937.0</v>
      </c>
      <c r="C215" s="201" t="s">
        <v>593</v>
      </c>
      <c r="D215" s="222" t="s">
        <v>693</v>
      </c>
      <c r="E215" s="223">
        <v>0.11</v>
      </c>
      <c r="F215" s="223">
        <v>15.0</v>
      </c>
      <c r="G215" s="220">
        <v>33.0</v>
      </c>
      <c r="H215" s="220">
        <v>0.0</v>
      </c>
      <c r="I215" s="220">
        <v>0.0</v>
      </c>
      <c r="J215" s="220">
        <v>0.0</v>
      </c>
      <c r="K215" s="224" t="b">
        <v>0</v>
      </c>
      <c r="L215" s="205"/>
    </row>
    <row r="216" ht="22.5" customHeight="1">
      <c r="A216" s="199">
        <v>7.0</v>
      </c>
      <c r="B216" s="200">
        <v>45937.0</v>
      </c>
      <c r="C216" s="201" t="s">
        <v>505</v>
      </c>
      <c r="D216" s="202" t="s">
        <v>694</v>
      </c>
      <c r="E216" s="203">
        <v>0.11</v>
      </c>
      <c r="F216" s="203">
        <v>16.0</v>
      </c>
      <c r="G216" s="199">
        <v>13.0</v>
      </c>
      <c r="H216" s="199">
        <v>0.0</v>
      </c>
      <c r="I216" s="199">
        <v>0.0</v>
      </c>
      <c r="J216" s="199">
        <v>0.0</v>
      </c>
      <c r="K216" s="204" t="b">
        <v>0</v>
      </c>
      <c r="L216" s="205"/>
    </row>
    <row r="217" ht="22.5" customHeight="1">
      <c r="A217" s="213">
        <v>5.0</v>
      </c>
      <c r="B217" s="214">
        <v>45935.0</v>
      </c>
      <c r="C217" s="215" t="s">
        <v>695</v>
      </c>
      <c r="D217" s="216" t="s">
        <v>696</v>
      </c>
      <c r="E217" s="217">
        <v>0.11</v>
      </c>
      <c r="F217" s="217">
        <v>6.0</v>
      </c>
      <c r="G217" s="213">
        <v>29.0</v>
      </c>
      <c r="H217" s="213">
        <v>0.0</v>
      </c>
      <c r="I217" s="213">
        <v>0.0</v>
      </c>
      <c r="J217" s="213">
        <v>0.0</v>
      </c>
      <c r="K217" s="218" t="b">
        <v>0</v>
      </c>
      <c r="L217" s="219"/>
    </row>
    <row r="218" ht="22.5" customHeight="1">
      <c r="A218" s="199">
        <v>7.0</v>
      </c>
      <c r="B218" s="200">
        <v>45935.0</v>
      </c>
      <c r="C218" s="201" t="s">
        <v>505</v>
      </c>
      <c r="D218" s="202" t="s">
        <v>697</v>
      </c>
      <c r="E218" s="203">
        <v>0.11</v>
      </c>
      <c r="F218" s="203">
        <v>15.0</v>
      </c>
      <c r="G218" s="199">
        <v>11.0</v>
      </c>
      <c r="H218" s="199">
        <v>0.0</v>
      </c>
      <c r="I218" s="199">
        <v>0.0</v>
      </c>
      <c r="J218" s="199">
        <v>0.0</v>
      </c>
      <c r="K218" s="204" t="b">
        <v>0</v>
      </c>
      <c r="L218" s="205"/>
    </row>
    <row r="219" ht="22.5" customHeight="1">
      <c r="A219" s="199">
        <v>7.0</v>
      </c>
      <c r="B219" s="200">
        <v>45935.0</v>
      </c>
      <c r="C219" s="201" t="s">
        <v>505</v>
      </c>
      <c r="D219" s="202" t="s">
        <v>698</v>
      </c>
      <c r="E219" s="203">
        <v>0.11</v>
      </c>
      <c r="F219" s="203">
        <v>18.53</v>
      </c>
      <c r="G219" s="199">
        <v>11.0</v>
      </c>
      <c r="H219" s="199">
        <v>0.0</v>
      </c>
      <c r="I219" s="199">
        <v>0.0</v>
      </c>
      <c r="J219" s="199">
        <v>0.0</v>
      </c>
      <c r="K219" s="204" t="b">
        <v>0</v>
      </c>
      <c r="L219" s="205"/>
    </row>
    <row r="220" ht="22.5" customHeight="1">
      <c r="A220" s="199">
        <v>7.0</v>
      </c>
      <c r="B220" s="200">
        <v>45935.0</v>
      </c>
      <c r="C220" s="201" t="s">
        <v>505</v>
      </c>
      <c r="D220" s="202" t="s">
        <v>699</v>
      </c>
      <c r="E220" s="203">
        <v>0.11</v>
      </c>
      <c r="F220" s="203">
        <v>20.0</v>
      </c>
      <c r="G220" s="199">
        <v>11.0</v>
      </c>
      <c r="H220" s="199">
        <v>0.0</v>
      </c>
      <c r="I220" s="199">
        <v>0.0</v>
      </c>
      <c r="J220" s="199">
        <v>0.0</v>
      </c>
      <c r="K220" s="204" t="b">
        <v>0</v>
      </c>
      <c r="L220" s="205"/>
    </row>
    <row r="221" ht="22.5" customHeight="1">
      <c r="A221" s="199">
        <v>7.0</v>
      </c>
      <c r="B221" s="200">
        <v>45935.0</v>
      </c>
      <c r="C221" s="201" t="s">
        <v>505</v>
      </c>
      <c r="D221" s="202" t="s">
        <v>700</v>
      </c>
      <c r="E221" s="203">
        <v>0.11</v>
      </c>
      <c r="F221" s="203">
        <v>18.53</v>
      </c>
      <c r="G221" s="199">
        <v>11.0</v>
      </c>
      <c r="H221" s="199">
        <v>0.0</v>
      </c>
      <c r="I221" s="199">
        <v>0.0</v>
      </c>
      <c r="J221" s="199">
        <v>0.0</v>
      </c>
      <c r="K221" s="204" t="b">
        <v>0</v>
      </c>
      <c r="L221" s="205"/>
    </row>
    <row r="222" ht="22.5" customHeight="1">
      <c r="A222" s="199">
        <v>7.0</v>
      </c>
      <c r="B222" s="200">
        <v>45935.0</v>
      </c>
      <c r="C222" s="201" t="s">
        <v>505</v>
      </c>
      <c r="D222" s="202" t="s">
        <v>701</v>
      </c>
      <c r="E222" s="203">
        <v>0.11</v>
      </c>
      <c r="F222" s="203">
        <v>14.0</v>
      </c>
      <c r="G222" s="199">
        <v>11.0</v>
      </c>
      <c r="H222" s="199">
        <v>0.0</v>
      </c>
      <c r="I222" s="199">
        <v>0.0</v>
      </c>
      <c r="J222" s="199">
        <v>0.0</v>
      </c>
      <c r="K222" s="204" t="b">
        <v>0</v>
      </c>
      <c r="L222" s="205"/>
    </row>
    <row r="223" ht="22.5" customHeight="1">
      <c r="A223" s="199">
        <v>7.0</v>
      </c>
      <c r="B223" s="200">
        <v>45935.0</v>
      </c>
      <c r="C223" s="201" t="s">
        <v>505</v>
      </c>
      <c r="D223" s="202" t="s">
        <v>702</v>
      </c>
      <c r="E223" s="203">
        <v>0.11</v>
      </c>
      <c r="F223" s="203">
        <v>19.0</v>
      </c>
      <c r="G223" s="199">
        <v>11.0</v>
      </c>
      <c r="H223" s="199">
        <v>0.0</v>
      </c>
      <c r="I223" s="199">
        <v>0.0</v>
      </c>
      <c r="J223" s="199">
        <v>0.0</v>
      </c>
      <c r="K223" s="204" t="b">
        <v>0</v>
      </c>
      <c r="L223" s="205"/>
    </row>
    <row r="224" ht="22.5" customHeight="1">
      <c r="A224" s="220">
        <v>4.0</v>
      </c>
      <c r="B224" s="221">
        <v>45934.0</v>
      </c>
      <c r="C224" s="201" t="s">
        <v>593</v>
      </c>
      <c r="D224" s="222" t="s">
        <v>703</v>
      </c>
      <c r="E224" s="223">
        <v>0.11</v>
      </c>
      <c r="F224" s="223">
        <v>12.5</v>
      </c>
      <c r="G224" s="220">
        <v>30.0</v>
      </c>
      <c r="H224" s="220">
        <v>0.0</v>
      </c>
      <c r="I224" s="220">
        <v>0.0</v>
      </c>
      <c r="J224" s="220">
        <v>0.0</v>
      </c>
      <c r="K224" s="224" t="b">
        <v>0</v>
      </c>
      <c r="L224" s="205"/>
    </row>
    <row r="225" ht="22.5" customHeight="1">
      <c r="A225" s="199">
        <v>7.0</v>
      </c>
      <c r="B225" s="200">
        <v>45932.0</v>
      </c>
      <c r="C225" s="201" t="s">
        <v>505</v>
      </c>
      <c r="D225" s="202" t="s">
        <v>704</v>
      </c>
      <c r="E225" s="203">
        <v>0.11</v>
      </c>
      <c r="F225" s="203">
        <v>20.0</v>
      </c>
      <c r="G225" s="199">
        <v>8.0</v>
      </c>
      <c r="H225" s="199">
        <v>0.0</v>
      </c>
      <c r="I225" s="199">
        <v>0.0</v>
      </c>
      <c r="J225" s="199">
        <v>0.0</v>
      </c>
      <c r="K225" s="204" t="b">
        <v>0</v>
      </c>
      <c r="L225" s="205"/>
    </row>
    <row r="226" ht="22.5" customHeight="1">
      <c r="A226" s="199">
        <v>7.0</v>
      </c>
      <c r="B226" s="200">
        <v>45931.0</v>
      </c>
      <c r="C226" s="201" t="s">
        <v>505</v>
      </c>
      <c r="D226" s="202" t="s">
        <v>705</v>
      </c>
      <c r="E226" s="203">
        <v>0.11</v>
      </c>
      <c r="F226" s="203">
        <v>25.0</v>
      </c>
      <c r="G226" s="199">
        <v>7.0</v>
      </c>
      <c r="H226" s="199">
        <v>0.0</v>
      </c>
      <c r="I226" s="199">
        <v>0.0</v>
      </c>
      <c r="J226" s="199">
        <v>0.0</v>
      </c>
      <c r="K226" s="204" t="b">
        <v>0</v>
      </c>
      <c r="L226" s="205"/>
    </row>
    <row r="227" ht="22.5" customHeight="1">
      <c r="A227" s="199">
        <v>7.0</v>
      </c>
      <c r="B227" s="200">
        <v>45930.0</v>
      </c>
      <c r="C227" s="201" t="s">
        <v>505</v>
      </c>
      <c r="D227" s="202" t="s">
        <v>706</v>
      </c>
      <c r="E227" s="203">
        <v>0.11</v>
      </c>
      <c r="F227" s="203">
        <v>40.0</v>
      </c>
      <c r="G227" s="199">
        <v>6.0</v>
      </c>
      <c r="H227" s="199">
        <v>0.0</v>
      </c>
      <c r="I227" s="199">
        <v>0.0</v>
      </c>
      <c r="J227" s="199">
        <v>0.0</v>
      </c>
      <c r="K227" s="204" t="b">
        <v>0</v>
      </c>
      <c r="L227" s="205"/>
    </row>
    <row r="228" ht="22.5" customHeight="1">
      <c r="A228" s="220">
        <v>4.0</v>
      </c>
      <c r="B228" s="221">
        <v>45929.0</v>
      </c>
      <c r="C228" s="201" t="s">
        <v>593</v>
      </c>
      <c r="D228" s="222" t="s">
        <v>707</v>
      </c>
      <c r="E228" s="223">
        <v>0.11</v>
      </c>
      <c r="F228" s="223">
        <v>12.5</v>
      </c>
      <c r="G228" s="220">
        <v>25.0</v>
      </c>
      <c r="H228" s="220">
        <v>0.0</v>
      </c>
      <c r="I228" s="220">
        <v>0.0</v>
      </c>
      <c r="J228" s="220">
        <v>0.0</v>
      </c>
      <c r="K228" s="224" t="b">
        <v>0</v>
      </c>
      <c r="L228" s="205"/>
    </row>
    <row r="229" ht="22.5" customHeight="1">
      <c r="A229" s="220">
        <v>4.0</v>
      </c>
      <c r="B229" s="221">
        <v>45929.0</v>
      </c>
      <c r="C229" s="201" t="s">
        <v>593</v>
      </c>
      <c r="D229" s="222" t="s">
        <v>708</v>
      </c>
      <c r="E229" s="223">
        <v>0.11</v>
      </c>
      <c r="F229" s="223">
        <v>12.5</v>
      </c>
      <c r="G229" s="220">
        <v>25.0</v>
      </c>
      <c r="H229" s="220">
        <v>0.0</v>
      </c>
      <c r="I229" s="220">
        <v>0.0</v>
      </c>
      <c r="J229" s="220">
        <v>0.0</v>
      </c>
      <c r="K229" s="224" t="b">
        <v>0</v>
      </c>
      <c r="L229" s="205"/>
    </row>
    <row r="230" ht="22.5" customHeight="1">
      <c r="A230" s="199">
        <v>7.0</v>
      </c>
      <c r="B230" s="200">
        <v>45929.0</v>
      </c>
      <c r="C230" s="201" t="s">
        <v>505</v>
      </c>
      <c r="D230" s="202" t="s">
        <v>709</v>
      </c>
      <c r="E230" s="203">
        <v>0.11</v>
      </c>
      <c r="F230" s="203">
        <v>15.0</v>
      </c>
      <c r="G230" s="199">
        <v>5.0</v>
      </c>
      <c r="H230" s="199">
        <v>0.0</v>
      </c>
      <c r="I230" s="199">
        <v>0.0</v>
      </c>
      <c r="J230" s="199">
        <v>0.0</v>
      </c>
      <c r="K230" s="204" t="b">
        <v>0</v>
      </c>
      <c r="L230" s="205"/>
    </row>
    <row r="231" ht="22.5" customHeight="1">
      <c r="A231" s="199">
        <v>7.0</v>
      </c>
      <c r="B231" s="200">
        <v>45929.0</v>
      </c>
      <c r="C231" s="201" t="s">
        <v>505</v>
      </c>
      <c r="D231" s="202" t="s">
        <v>710</v>
      </c>
      <c r="E231" s="203">
        <v>0.11</v>
      </c>
      <c r="F231" s="203">
        <v>24.0</v>
      </c>
      <c r="G231" s="199">
        <v>5.0</v>
      </c>
      <c r="H231" s="199">
        <v>0.0</v>
      </c>
      <c r="I231" s="199">
        <v>0.0</v>
      </c>
      <c r="J231" s="199">
        <v>0.0</v>
      </c>
      <c r="K231" s="204" t="b">
        <v>0</v>
      </c>
      <c r="L231" s="205"/>
    </row>
    <row r="232" ht="22.5" customHeight="1">
      <c r="A232" s="199">
        <v>7.0</v>
      </c>
      <c r="B232" s="200">
        <v>45929.0</v>
      </c>
      <c r="C232" s="201" t="s">
        <v>505</v>
      </c>
      <c r="D232" s="202" t="s">
        <v>711</v>
      </c>
      <c r="E232" s="203">
        <v>0.11</v>
      </c>
      <c r="F232" s="203">
        <v>19.0</v>
      </c>
      <c r="G232" s="199">
        <v>5.0</v>
      </c>
      <c r="H232" s="199">
        <v>0.0</v>
      </c>
      <c r="I232" s="199">
        <v>0.0</v>
      </c>
      <c r="J232" s="199">
        <v>0.0</v>
      </c>
      <c r="K232" s="204" t="b">
        <v>0</v>
      </c>
      <c r="L232" s="205"/>
    </row>
    <row r="233" ht="22.5" customHeight="1">
      <c r="A233" s="199">
        <v>7.0</v>
      </c>
      <c r="B233" s="200">
        <v>45929.0</v>
      </c>
      <c r="C233" s="201" t="s">
        <v>505</v>
      </c>
      <c r="D233" s="202" t="s">
        <v>712</v>
      </c>
      <c r="E233" s="203">
        <v>0.11</v>
      </c>
      <c r="F233" s="203">
        <v>23.0</v>
      </c>
      <c r="G233" s="199">
        <v>5.0</v>
      </c>
      <c r="H233" s="199">
        <v>0.0</v>
      </c>
      <c r="I233" s="199">
        <v>0.0</v>
      </c>
      <c r="J233" s="199">
        <v>0.0</v>
      </c>
      <c r="K233" s="204" t="b">
        <v>0</v>
      </c>
      <c r="L233" s="205"/>
    </row>
    <row r="234" ht="22.5" customHeight="1">
      <c r="A234" s="213">
        <v>5.0</v>
      </c>
      <c r="B234" s="214">
        <v>45928.0</v>
      </c>
      <c r="C234" s="215" t="s">
        <v>713</v>
      </c>
      <c r="D234" s="216" t="s">
        <v>714</v>
      </c>
      <c r="E234" s="217">
        <v>0.11</v>
      </c>
      <c r="F234" s="217">
        <v>8.0</v>
      </c>
      <c r="G234" s="213">
        <v>22.0</v>
      </c>
      <c r="H234" s="213">
        <v>0.0</v>
      </c>
      <c r="I234" s="213">
        <v>0.0</v>
      </c>
      <c r="J234" s="213">
        <v>0.0</v>
      </c>
      <c r="K234" s="218" t="b">
        <v>0</v>
      </c>
      <c r="L234" s="219"/>
    </row>
    <row r="235" ht="22.5" customHeight="1">
      <c r="A235" s="225">
        <v>6.0</v>
      </c>
      <c r="B235" s="226">
        <v>45928.0</v>
      </c>
      <c r="C235" s="227" t="s">
        <v>715</v>
      </c>
      <c r="D235" s="228" t="s">
        <v>716</v>
      </c>
      <c r="E235" s="229">
        <v>0.11</v>
      </c>
      <c r="F235" s="230">
        <v>9.0</v>
      </c>
      <c r="G235" s="225">
        <v>22.0</v>
      </c>
      <c r="H235" s="225">
        <v>0.0</v>
      </c>
      <c r="I235" s="225">
        <v>0.0</v>
      </c>
      <c r="J235" s="225">
        <v>0.0</v>
      </c>
      <c r="K235" s="231" t="b">
        <v>0</v>
      </c>
      <c r="L235" s="232"/>
    </row>
    <row r="236" ht="22.5" customHeight="1">
      <c r="A236" s="220">
        <v>4.0</v>
      </c>
      <c r="B236" s="221">
        <v>45928.0</v>
      </c>
      <c r="C236" s="201" t="s">
        <v>593</v>
      </c>
      <c r="D236" s="222" t="s">
        <v>717</v>
      </c>
      <c r="E236" s="223">
        <v>0.11</v>
      </c>
      <c r="F236" s="223">
        <v>15.2</v>
      </c>
      <c r="G236" s="220">
        <v>24.0</v>
      </c>
      <c r="H236" s="220">
        <v>0.0</v>
      </c>
      <c r="I236" s="220">
        <v>0.0</v>
      </c>
      <c r="J236" s="220">
        <v>0.0</v>
      </c>
      <c r="K236" s="224" t="b">
        <v>0</v>
      </c>
      <c r="L236" s="205"/>
    </row>
    <row r="237" ht="22.5" customHeight="1">
      <c r="A237" s="220">
        <v>4.0</v>
      </c>
      <c r="B237" s="221">
        <v>45928.0</v>
      </c>
      <c r="C237" s="201" t="s">
        <v>593</v>
      </c>
      <c r="D237" s="222" t="s">
        <v>718</v>
      </c>
      <c r="E237" s="223">
        <v>0.11</v>
      </c>
      <c r="F237" s="223">
        <v>13.5</v>
      </c>
      <c r="G237" s="220">
        <v>24.0</v>
      </c>
      <c r="H237" s="220">
        <v>0.0</v>
      </c>
      <c r="I237" s="220">
        <v>0.0</v>
      </c>
      <c r="J237" s="220">
        <v>0.0</v>
      </c>
      <c r="K237" s="224" t="b">
        <v>0</v>
      </c>
      <c r="L237" s="205"/>
    </row>
    <row r="238" ht="22.5" customHeight="1">
      <c r="A238" s="220">
        <v>4.0</v>
      </c>
      <c r="B238" s="221">
        <v>45928.0</v>
      </c>
      <c r="C238" s="201" t="s">
        <v>593</v>
      </c>
      <c r="D238" s="222" t="s">
        <v>719</v>
      </c>
      <c r="E238" s="223">
        <v>0.11</v>
      </c>
      <c r="F238" s="223">
        <v>15.0</v>
      </c>
      <c r="G238" s="220">
        <v>24.0</v>
      </c>
      <c r="H238" s="220">
        <v>0.0</v>
      </c>
      <c r="I238" s="220">
        <v>0.0</v>
      </c>
      <c r="J238" s="220">
        <v>0.0</v>
      </c>
      <c r="K238" s="224" t="b">
        <v>0</v>
      </c>
      <c r="L238" s="205"/>
    </row>
    <row r="239" ht="22.5" customHeight="1">
      <c r="A239" s="220">
        <v>4.0</v>
      </c>
      <c r="B239" s="221">
        <v>45928.0</v>
      </c>
      <c r="C239" s="201" t="s">
        <v>593</v>
      </c>
      <c r="D239" s="222" t="s">
        <v>720</v>
      </c>
      <c r="E239" s="223">
        <v>0.11</v>
      </c>
      <c r="F239" s="223">
        <v>15.2</v>
      </c>
      <c r="G239" s="220">
        <v>24.0</v>
      </c>
      <c r="H239" s="220">
        <v>0.0</v>
      </c>
      <c r="I239" s="220">
        <v>0.0</v>
      </c>
      <c r="J239" s="220">
        <v>0.0</v>
      </c>
      <c r="K239" s="224" t="b">
        <v>0</v>
      </c>
      <c r="L239" s="205"/>
    </row>
    <row r="240" ht="22.5" customHeight="1">
      <c r="A240" s="220">
        <v>4.0</v>
      </c>
      <c r="B240" s="221">
        <v>45928.0</v>
      </c>
      <c r="C240" s="201" t="s">
        <v>593</v>
      </c>
      <c r="D240" s="222" t="s">
        <v>721</v>
      </c>
      <c r="E240" s="223">
        <v>0.11</v>
      </c>
      <c r="F240" s="223">
        <v>15.2</v>
      </c>
      <c r="G240" s="220">
        <v>24.0</v>
      </c>
      <c r="H240" s="220">
        <v>0.0</v>
      </c>
      <c r="I240" s="220">
        <v>0.0</v>
      </c>
      <c r="J240" s="220">
        <v>0.0</v>
      </c>
      <c r="K240" s="224" t="b">
        <v>0</v>
      </c>
      <c r="L240" s="205"/>
    </row>
    <row r="241" ht="22.5" customHeight="1">
      <c r="A241" s="199">
        <v>7.0</v>
      </c>
      <c r="B241" s="200">
        <v>45928.0</v>
      </c>
      <c r="C241" s="201" t="s">
        <v>505</v>
      </c>
      <c r="D241" s="202" t="s">
        <v>722</v>
      </c>
      <c r="E241" s="203">
        <v>0.11</v>
      </c>
      <c r="F241" s="203">
        <v>20.0</v>
      </c>
      <c r="G241" s="199">
        <v>4.0</v>
      </c>
      <c r="H241" s="199">
        <v>0.0</v>
      </c>
      <c r="I241" s="199">
        <v>0.0</v>
      </c>
      <c r="J241" s="199">
        <v>0.0</v>
      </c>
      <c r="K241" s="204" t="b">
        <v>0</v>
      </c>
      <c r="L241" s="205"/>
    </row>
    <row r="242" ht="22.5" customHeight="1">
      <c r="A242" s="199">
        <v>7.0</v>
      </c>
      <c r="B242" s="200">
        <v>45928.0</v>
      </c>
      <c r="C242" s="201" t="s">
        <v>505</v>
      </c>
      <c r="D242" s="202" t="s">
        <v>723</v>
      </c>
      <c r="E242" s="203">
        <v>0.11</v>
      </c>
      <c r="F242" s="203">
        <v>25.0</v>
      </c>
      <c r="G242" s="199">
        <v>4.0</v>
      </c>
      <c r="H242" s="199">
        <v>0.0</v>
      </c>
      <c r="I242" s="199">
        <v>0.0</v>
      </c>
      <c r="J242" s="199">
        <v>0.0</v>
      </c>
      <c r="K242" s="204" t="b">
        <v>0</v>
      </c>
      <c r="L242" s="205"/>
    </row>
    <row r="243" ht="22.5" customHeight="1">
      <c r="A243" s="199">
        <v>7.0</v>
      </c>
      <c r="B243" s="200">
        <v>45928.0</v>
      </c>
      <c r="C243" s="201" t="s">
        <v>505</v>
      </c>
      <c r="D243" s="202" t="s">
        <v>724</v>
      </c>
      <c r="E243" s="203">
        <v>0.11</v>
      </c>
      <c r="F243" s="203">
        <v>17.0</v>
      </c>
      <c r="G243" s="199">
        <v>4.0</v>
      </c>
      <c r="H243" s="199">
        <v>0.0</v>
      </c>
      <c r="I243" s="199">
        <v>0.0</v>
      </c>
      <c r="J243" s="199">
        <v>0.0</v>
      </c>
      <c r="K243" s="204" t="b">
        <v>0</v>
      </c>
      <c r="L243" s="205"/>
    </row>
    <row r="244" ht="22.5" customHeight="1">
      <c r="A244" s="199">
        <v>7.0</v>
      </c>
      <c r="B244" s="200">
        <v>45928.0</v>
      </c>
      <c r="C244" s="201" t="s">
        <v>505</v>
      </c>
      <c r="D244" s="202" t="s">
        <v>725</v>
      </c>
      <c r="E244" s="203">
        <v>0.11</v>
      </c>
      <c r="F244" s="203">
        <v>20.0</v>
      </c>
      <c r="G244" s="199">
        <v>4.0</v>
      </c>
      <c r="H244" s="199">
        <v>0.0</v>
      </c>
      <c r="I244" s="199">
        <v>0.0</v>
      </c>
      <c r="J244" s="199">
        <v>0.0</v>
      </c>
      <c r="K244" s="204" t="b">
        <v>0</v>
      </c>
      <c r="L244" s="205"/>
    </row>
    <row r="245" ht="22.5" customHeight="1">
      <c r="A245" s="206">
        <v>1.0</v>
      </c>
      <c r="B245" s="207">
        <v>45927.0</v>
      </c>
      <c r="C245" s="208" t="s">
        <v>22</v>
      </c>
      <c r="D245" s="209" t="s">
        <v>726</v>
      </c>
      <c r="E245" s="210">
        <v>0.22</v>
      </c>
      <c r="F245" s="210">
        <v>32.0</v>
      </c>
      <c r="G245" s="206">
        <v>41.0</v>
      </c>
      <c r="H245" s="206">
        <v>0.0</v>
      </c>
      <c r="I245" s="206">
        <v>0.0</v>
      </c>
      <c r="J245" s="206">
        <v>0.0</v>
      </c>
      <c r="K245" s="211" t="b">
        <v>0</v>
      </c>
      <c r="L245" s="212"/>
    </row>
    <row r="246" ht="22.5" customHeight="1">
      <c r="A246" s="220">
        <v>4.0</v>
      </c>
      <c r="B246" s="221">
        <v>45927.0</v>
      </c>
      <c r="C246" s="201" t="s">
        <v>593</v>
      </c>
      <c r="D246" s="222" t="s">
        <v>727</v>
      </c>
      <c r="E246" s="223">
        <v>0.11</v>
      </c>
      <c r="F246" s="223">
        <v>12.4</v>
      </c>
      <c r="G246" s="220">
        <v>23.0</v>
      </c>
      <c r="H246" s="220">
        <v>0.0</v>
      </c>
      <c r="I246" s="220">
        <v>0.0</v>
      </c>
      <c r="J246" s="220">
        <v>0.0</v>
      </c>
      <c r="K246" s="224" t="b">
        <v>0</v>
      </c>
      <c r="L246" s="205"/>
    </row>
    <row r="247" ht="22.5" customHeight="1">
      <c r="A247" s="220">
        <v>4.0</v>
      </c>
      <c r="B247" s="221">
        <v>45927.0</v>
      </c>
      <c r="C247" s="201" t="s">
        <v>593</v>
      </c>
      <c r="D247" s="222" t="s">
        <v>728</v>
      </c>
      <c r="E247" s="223">
        <v>0.11</v>
      </c>
      <c r="F247" s="223">
        <v>12.4</v>
      </c>
      <c r="G247" s="220">
        <v>23.0</v>
      </c>
      <c r="H247" s="220">
        <v>0.0</v>
      </c>
      <c r="I247" s="220">
        <v>0.0</v>
      </c>
      <c r="J247" s="220">
        <v>0.0</v>
      </c>
      <c r="K247" s="224" t="b">
        <v>0</v>
      </c>
      <c r="L247" s="205"/>
    </row>
    <row r="248" ht="22.5" customHeight="1">
      <c r="A248" s="199">
        <v>7.0</v>
      </c>
      <c r="B248" s="200">
        <v>45927.0</v>
      </c>
      <c r="C248" s="201" t="s">
        <v>505</v>
      </c>
      <c r="D248" s="202" t="s">
        <v>729</v>
      </c>
      <c r="E248" s="203">
        <v>0.11</v>
      </c>
      <c r="F248" s="203">
        <v>16.8</v>
      </c>
      <c r="G248" s="199">
        <v>3.0</v>
      </c>
      <c r="H248" s="199">
        <v>0.0</v>
      </c>
      <c r="I248" s="199">
        <v>0.0</v>
      </c>
      <c r="J248" s="199">
        <v>0.0</v>
      </c>
      <c r="K248" s="204" t="b">
        <v>0</v>
      </c>
      <c r="L248" s="205"/>
    </row>
    <row r="249" ht="22.5" customHeight="1">
      <c r="A249" s="199">
        <v>7.0</v>
      </c>
      <c r="B249" s="200">
        <v>45927.0</v>
      </c>
      <c r="C249" s="201" t="s">
        <v>505</v>
      </c>
      <c r="D249" s="202" t="s">
        <v>730</v>
      </c>
      <c r="E249" s="203">
        <v>0.11</v>
      </c>
      <c r="F249" s="203">
        <v>22.0</v>
      </c>
      <c r="G249" s="199">
        <v>3.0</v>
      </c>
      <c r="H249" s="199">
        <v>0.0</v>
      </c>
      <c r="I249" s="199">
        <v>0.0</v>
      </c>
      <c r="J249" s="199">
        <v>0.0</v>
      </c>
      <c r="K249" s="204" t="b">
        <v>0</v>
      </c>
      <c r="L249" s="205"/>
    </row>
    <row r="250" ht="22.5" customHeight="1">
      <c r="A250" s="199">
        <v>7.0</v>
      </c>
      <c r="B250" s="200">
        <v>45927.0</v>
      </c>
      <c r="C250" s="201" t="s">
        <v>505</v>
      </c>
      <c r="D250" s="202" t="s">
        <v>731</v>
      </c>
      <c r="E250" s="203">
        <v>0.11</v>
      </c>
      <c r="F250" s="203">
        <v>9.0</v>
      </c>
      <c r="G250" s="199">
        <v>3.0</v>
      </c>
      <c r="H250" s="199">
        <v>0.0</v>
      </c>
      <c r="I250" s="199">
        <v>0.0</v>
      </c>
      <c r="J250" s="199">
        <v>0.0</v>
      </c>
      <c r="K250" s="204" t="b">
        <v>0</v>
      </c>
      <c r="L250" s="205"/>
    </row>
    <row r="251" ht="22.5" customHeight="1">
      <c r="A251" s="199">
        <v>7.0</v>
      </c>
      <c r="B251" s="200">
        <v>45927.0</v>
      </c>
      <c r="C251" s="201" t="s">
        <v>505</v>
      </c>
      <c r="D251" s="202" t="s">
        <v>732</v>
      </c>
      <c r="E251" s="203">
        <v>0.11</v>
      </c>
      <c r="F251" s="203">
        <v>25.0</v>
      </c>
      <c r="G251" s="199">
        <v>3.0</v>
      </c>
      <c r="H251" s="199">
        <v>0.0</v>
      </c>
      <c r="I251" s="199">
        <v>0.0</v>
      </c>
      <c r="J251" s="199">
        <v>0.0</v>
      </c>
      <c r="K251" s="204" t="b">
        <v>0</v>
      </c>
      <c r="L251" s="205"/>
    </row>
    <row r="252" ht="22.5" customHeight="1">
      <c r="A252" s="199">
        <v>7.0</v>
      </c>
      <c r="B252" s="200">
        <v>45927.0</v>
      </c>
      <c r="C252" s="201" t="s">
        <v>505</v>
      </c>
      <c r="D252" s="202" t="s">
        <v>733</v>
      </c>
      <c r="E252" s="203">
        <v>0.11</v>
      </c>
      <c r="F252" s="203">
        <v>18.0</v>
      </c>
      <c r="G252" s="199">
        <v>3.0</v>
      </c>
      <c r="H252" s="199">
        <v>0.0</v>
      </c>
      <c r="I252" s="199">
        <v>0.0</v>
      </c>
      <c r="J252" s="199">
        <v>0.0</v>
      </c>
      <c r="K252" s="204" t="b">
        <v>0</v>
      </c>
      <c r="L252" s="205"/>
    </row>
    <row r="253" ht="22.5" customHeight="1">
      <c r="A253" s="220">
        <v>4.0</v>
      </c>
      <c r="B253" s="221">
        <v>45926.0</v>
      </c>
      <c r="C253" s="201" t="s">
        <v>593</v>
      </c>
      <c r="D253" s="222" t="s">
        <v>734</v>
      </c>
      <c r="E253" s="223">
        <v>0.11</v>
      </c>
      <c r="F253" s="223">
        <v>13.5</v>
      </c>
      <c r="G253" s="220">
        <v>22.0</v>
      </c>
      <c r="H253" s="220">
        <v>0.0</v>
      </c>
      <c r="I253" s="220">
        <v>0.0</v>
      </c>
      <c r="J253" s="220">
        <v>0.0</v>
      </c>
      <c r="K253" s="224" t="b">
        <v>0</v>
      </c>
      <c r="L253" s="205"/>
    </row>
    <row r="254" ht="22.5" customHeight="1">
      <c r="A254" s="199">
        <v>7.0</v>
      </c>
      <c r="B254" s="200">
        <v>45925.0</v>
      </c>
      <c r="C254" s="201" t="s">
        <v>505</v>
      </c>
      <c r="D254" s="202" t="s">
        <v>735</v>
      </c>
      <c r="E254" s="203">
        <v>0.11</v>
      </c>
      <c r="F254" s="203">
        <v>18.0</v>
      </c>
      <c r="G254" s="199">
        <v>1.0</v>
      </c>
      <c r="H254" s="199">
        <v>0.0</v>
      </c>
      <c r="I254" s="199">
        <v>0.0</v>
      </c>
      <c r="J254" s="199">
        <v>0.0</v>
      </c>
      <c r="K254" s="204" t="b">
        <v>0</v>
      </c>
      <c r="L254" s="205"/>
    </row>
    <row r="255" ht="22.5" customHeight="1">
      <c r="A255" s="206">
        <v>1.0</v>
      </c>
      <c r="B255" s="207">
        <v>45924.0</v>
      </c>
      <c r="C255" s="208" t="s">
        <v>22</v>
      </c>
      <c r="D255" s="209" t="s">
        <v>736</v>
      </c>
      <c r="E255" s="210">
        <v>0.22</v>
      </c>
      <c r="F255" s="210">
        <v>37.0</v>
      </c>
      <c r="G255" s="206">
        <v>38.0</v>
      </c>
      <c r="H255" s="206">
        <v>0.0</v>
      </c>
      <c r="I255" s="206">
        <v>0.0</v>
      </c>
      <c r="J255" s="206">
        <v>0.0</v>
      </c>
      <c r="K255" s="211" t="b">
        <v>0</v>
      </c>
      <c r="L255" s="212"/>
    </row>
    <row r="256" ht="22.5" customHeight="1">
      <c r="A256" s="225">
        <v>6.0</v>
      </c>
      <c r="B256" s="226">
        <v>45924.0</v>
      </c>
      <c r="C256" s="227" t="s">
        <v>737</v>
      </c>
      <c r="D256" s="228" t="s">
        <v>738</v>
      </c>
      <c r="E256" s="229">
        <v>0.11</v>
      </c>
      <c r="F256" s="230">
        <v>4.0</v>
      </c>
      <c r="G256" s="225">
        <v>18.0</v>
      </c>
      <c r="H256" s="225">
        <v>0.0</v>
      </c>
      <c r="I256" s="225">
        <v>0.0</v>
      </c>
      <c r="J256" s="225">
        <v>0.0</v>
      </c>
      <c r="K256" s="231" t="b">
        <v>0</v>
      </c>
      <c r="L256" s="232"/>
    </row>
    <row r="257" ht="22.5" customHeight="1">
      <c r="A257" s="225">
        <v>6.0</v>
      </c>
      <c r="B257" s="226">
        <v>45924.0</v>
      </c>
      <c r="C257" s="227" t="s">
        <v>739</v>
      </c>
      <c r="D257" s="228" t="s">
        <v>740</v>
      </c>
      <c r="E257" s="229">
        <v>0.11</v>
      </c>
      <c r="F257" s="230">
        <v>3.0</v>
      </c>
      <c r="G257" s="225">
        <v>18.0</v>
      </c>
      <c r="H257" s="225">
        <v>0.0</v>
      </c>
      <c r="I257" s="225">
        <v>0.0</v>
      </c>
      <c r="J257" s="225">
        <v>0.0</v>
      </c>
      <c r="K257" s="231" t="b">
        <v>0</v>
      </c>
      <c r="L257" s="232"/>
    </row>
    <row r="258" ht="22.5" customHeight="1">
      <c r="A258" s="220">
        <v>4.0</v>
      </c>
      <c r="B258" s="221">
        <v>45924.0</v>
      </c>
      <c r="C258" s="201" t="s">
        <v>593</v>
      </c>
      <c r="D258" s="222" t="s">
        <v>741</v>
      </c>
      <c r="E258" s="223">
        <v>0.11</v>
      </c>
      <c r="F258" s="223">
        <v>15.0</v>
      </c>
      <c r="G258" s="220">
        <v>20.0</v>
      </c>
      <c r="H258" s="220">
        <v>0.0</v>
      </c>
      <c r="I258" s="220">
        <v>0.0</v>
      </c>
      <c r="J258" s="220">
        <v>0.0</v>
      </c>
      <c r="K258" s="224" t="b">
        <v>0</v>
      </c>
      <c r="L258" s="205"/>
    </row>
    <row r="259" ht="22.5" customHeight="1">
      <c r="A259" s="199">
        <v>7.0</v>
      </c>
      <c r="B259" s="200">
        <v>45924.0</v>
      </c>
      <c r="C259" s="201" t="s">
        <v>505</v>
      </c>
      <c r="D259" s="202" t="s">
        <v>742</v>
      </c>
      <c r="E259" s="203">
        <v>0.11</v>
      </c>
      <c r="F259" s="203">
        <v>22.0</v>
      </c>
      <c r="G259" s="199">
        <v>0.0</v>
      </c>
      <c r="H259" s="199">
        <v>0.0</v>
      </c>
      <c r="I259" s="199">
        <v>0.0</v>
      </c>
      <c r="J259" s="199">
        <v>0.0</v>
      </c>
      <c r="K259" s="204" t="b">
        <v>0</v>
      </c>
      <c r="L259" s="205"/>
    </row>
    <row r="260" ht="22.5" customHeight="1">
      <c r="A260" s="225">
        <v>6.0</v>
      </c>
      <c r="B260" s="226">
        <v>45923.0</v>
      </c>
      <c r="C260" s="227" t="s">
        <v>743</v>
      </c>
      <c r="D260" s="228" t="s">
        <v>744</v>
      </c>
      <c r="E260" s="229">
        <v>0.11</v>
      </c>
      <c r="F260" s="230">
        <v>6.0</v>
      </c>
      <c r="G260" s="225">
        <v>17.0</v>
      </c>
      <c r="H260" s="225">
        <v>0.0</v>
      </c>
      <c r="I260" s="225">
        <v>0.0</v>
      </c>
      <c r="J260" s="225">
        <v>0.0</v>
      </c>
      <c r="K260" s="231" t="b">
        <v>0</v>
      </c>
      <c r="L260" s="232"/>
    </row>
    <row r="261" ht="22.5" customHeight="1">
      <c r="A261" s="213">
        <v>5.0</v>
      </c>
      <c r="B261" s="214">
        <v>45922.0</v>
      </c>
      <c r="C261" s="215" t="s">
        <v>745</v>
      </c>
      <c r="D261" s="216" t="s">
        <v>746</v>
      </c>
      <c r="E261" s="217">
        <v>0.11</v>
      </c>
      <c r="F261" s="217">
        <v>6.0</v>
      </c>
      <c r="G261" s="213">
        <v>16.0</v>
      </c>
      <c r="H261" s="213">
        <v>0.0</v>
      </c>
      <c r="I261" s="213">
        <v>0.0</v>
      </c>
      <c r="J261" s="213">
        <v>0.0</v>
      </c>
      <c r="K261" s="218" t="b">
        <v>0</v>
      </c>
      <c r="L261" s="219"/>
    </row>
    <row r="262" ht="22.5" customHeight="1">
      <c r="A262" s="213">
        <v>5.0</v>
      </c>
      <c r="B262" s="214">
        <v>45922.0</v>
      </c>
      <c r="C262" s="215" t="s">
        <v>747</v>
      </c>
      <c r="D262" s="216" t="s">
        <v>748</v>
      </c>
      <c r="E262" s="217">
        <v>0.11</v>
      </c>
      <c r="F262" s="217">
        <v>6.0</v>
      </c>
      <c r="G262" s="213">
        <v>16.0</v>
      </c>
      <c r="H262" s="213">
        <v>0.0</v>
      </c>
      <c r="I262" s="213">
        <v>0.0</v>
      </c>
      <c r="J262" s="213">
        <v>0.0</v>
      </c>
      <c r="K262" s="218" t="b">
        <v>0</v>
      </c>
      <c r="L262" s="219"/>
    </row>
    <row r="263" ht="22.5" customHeight="1">
      <c r="A263" s="225">
        <v>6.0</v>
      </c>
      <c r="B263" s="226">
        <v>45922.0</v>
      </c>
      <c r="C263" s="227" t="s">
        <v>749</v>
      </c>
      <c r="D263" s="228" t="s">
        <v>750</v>
      </c>
      <c r="E263" s="229">
        <v>0.11</v>
      </c>
      <c r="F263" s="230">
        <v>5.4</v>
      </c>
      <c r="G263" s="225">
        <v>16.0</v>
      </c>
      <c r="H263" s="225">
        <v>0.0</v>
      </c>
      <c r="I263" s="225">
        <v>0.0</v>
      </c>
      <c r="J263" s="225">
        <v>0.0</v>
      </c>
      <c r="K263" s="231" t="b">
        <v>0</v>
      </c>
      <c r="L263" s="232"/>
    </row>
    <row r="264" ht="22.5" customHeight="1">
      <c r="A264" s="220">
        <v>4.0</v>
      </c>
      <c r="B264" s="221">
        <v>45922.0</v>
      </c>
      <c r="C264" s="201" t="s">
        <v>593</v>
      </c>
      <c r="D264" s="222" t="s">
        <v>751</v>
      </c>
      <c r="E264" s="223">
        <v>0.11</v>
      </c>
      <c r="F264" s="223">
        <v>13.5</v>
      </c>
      <c r="G264" s="220">
        <v>18.0</v>
      </c>
      <c r="H264" s="220">
        <v>0.0</v>
      </c>
      <c r="I264" s="220">
        <v>0.0</v>
      </c>
      <c r="J264" s="220">
        <v>0.0</v>
      </c>
      <c r="K264" s="224" t="b">
        <v>0</v>
      </c>
      <c r="L264" s="205"/>
    </row>
    <row r="265" ht="22.5" customHeight="1">
      <c r="A265" s="220">
        <v>4.0</v>
      </c>
      <c r="B265" s="221">
        <v>45922.0</v>
      </c>
      <c r="C265" s="201" t="s">
        <v>593</v>
      </c>
      <c r="D265" s="222" t="s">
        <v>752</v>
      </c>
      <c r="E265" s="223">
        <v>0.11</v>
      </c>
      <c r="F265" s="223">
        <v>17.5</v>
      </c>
      <c r="G265" s="220">
        <v>18.0</v>
      </c>
      <c r="H265" s="220">
        <v>0.0</v>
      </c>
      <c r="I265" s="220">
        <v>0.0</v>
      </c>
      <c r="J265" s="220">
        <v>0.0</v>
      </c>
      <c r="K265" s="224" t="b">
        <v>0</v>
      </c>
      <c r="L265" s="205"/>
    </row>
    <row r="266" ht="22.5" customHeight="1">
      <c r="A266" s="220">
        <v>4.0</v>
      </c>
      <c r="B266" s="221">
        <v>45922.0</v>
      </c>
      <c r="C266" s="201" t="s">
        <v>593</v>
      </c>
      <c r="D266" s="222" t="s">
        <v>753</v>
      </c>
      <c r="E266" s="223">
        <v>0.11</v>
      </c>
      <c r="F266" s="223">
        <v>13.5</v>
      </c>
      <c r="G266" s="220">
        <v>18.0</v>
      </c>
      <c r="H266" s="220">
        <v>0.0</v>
      </c>
      <c r="I266" s="220">
        <v>0.0</v>
      </c>
      <c r="J266" s="220">
        <v>0.0</v>
      </c>
      <c r="K266" s="224" t="b">
        <v>0</v>
      </c>
      <c r="L266" s="205"/>
    </row>
    <row r="267" ht="22.5" customHeight="1">
      <c r="A267" s="213">
        <v>5.0</v>
      </c>
      <c r="B267" s="214">
        <v>45921.0</v>
      </c>
      <c r="C267" s="215" t="s">
        <v>754</v>
      </c>
      <c r="D267" s="216" t="s">
        <v>755</v>
      </c>
      <c r="E267" s="217">
        <v>0.11</v>
      </c>
      <c r="F267" s="217">
        <v>6.0</v>
      </c>
      <c r="G267" s="213">
        <v>15.0</v>
      </c>
      <c r="H267" s="213">
        <v>0.0</v>
      </c>
      <c r="I267" s="213">
        <v>0.0</v>
      </c>
      <c r="J267" s="213">
        <v>0.0</v>
      </c>
      <c r="K267" s="218" t="b">
        <v>0</v>
      </c>
      <c r="L267" s="219"/>
    </row>
    <row r="268" ht="22.5" customHeight="1">
      <c r="A268" s="220">
        <v>4.0</v>
      </c>
      <c r="B268" s="221">
        <v>45920.0</v>
      </c>
      <c r="C268" s="201" t="s">
        <v>593</v>
      </c>
      <c r="D268" s="222" t="s">
        <v>756</v>
      </c>
      <c r="E268" s="223">
        <v>0.11</v>
      </c>
      <c r="F268" s="223">
        <v>15.5</v>
      </c>
      <c r="G268" s="220">
        <v>16.0</v>
      </c>
      <c r="H268" s="220">
        <v>0.0</v>
      </c>
      <c r="I268" s="220">
        <v>0.0</v>
      </c>
      <c r="J268" s="220">
        <v>0.0</v>
      </c>
      <c r="K268" s="224" t="b">
        <v>0</v>
      </c>
      <c r="L268" s="205"/>
    </row>
    <row r="269" ht="22.5" customHeight="1">
      <c r="A269" s="213">
        <v>5.0</v>
      </c>
      <c r="B269" s="214">
        <v>45918.0</v>
      </c>
      <c r="C269" s="215" t="s">
        <v>757</v>
      </c>
      <c r="D269" s="216" t="s">
        <v>758</v>
      </c>
      <c r="E269" s="217">
        <v>0.11</v>
      </c>
      <c r="F269" s="217">
        <v>22.0</v>
      </c>
      <c r="G269" s="213">
        <v>12.0</v>
      </c>
      <c r="H269" s="213">
        <v>0.0</v>
      </c>
      <c r="I269" s="213">
        <v>0.0</v>
      </c>
      <c r="J269" s="213">
        <v>0.0</v>
      </c>
      <c r="K269" s="218" t="b">
        <v>0</v>
      </c>
      <c r="L269" s="219"/>
    </row>
    <row r="270" ht="22.5" customHeight="1">
      <c r="A270" s="213">
        <v>5.0</v>
      </c>
      <c r="B270" s="214">
        <v>45917.0</v>
      </c>
      <c r="C270" s="215" t="s">
        <v>759</v>
      </c>
      <c r="D270" s="216" t="s">
        <v>760</v>
      </c>
      <c r="E270" s="217">
        <v>0.11</v>
      </c>
      <c r="F270" s="217">
        <v>17.0</v>
      </c>
      <c r="G270" s="213">
        <v>11.0</v>
      </c>
      <c r="H270" s="213">
        <v>0.0</v>
      </c>
      <c r="I270" s="213">
        <v>0.0</v>
      </c>
      <c r="J270" s="213">
        <v>0.0</v>
      </c>
      <c r="K270" s="218" t="b">
        <v>0</v>
      </c>
      <c r="L270" s="219"/>
    </row>
    <row r="271" ht="22.5" customHeight="1">
      <c r="A271" s="220">
        <v>4.0</v>
      </c>
      <c r="B271" s="221">
        <v>45916.0</v>
      </c>
      <c r="C271" s="201" t="s">
        <v>593</v>
      </c>
      <c r="D271" s="222" t="s">
        <v>761</v>
      </c>
      <c r="E271" s="223">
        <v>0.11</v>
      </c>
      <c r="F271" s="223">
        <v>14.0</v>
      </c>
      <c r="G271" s="220">
        <v>12.0</v>
      </c>
      <c r="H271" s="220">
        <v>0.0</v>
      </c>
      <c r="I271" s="220">
        <v>0.0</v>
      </c>
      <c r="J271" s="220">
        <v>0.0</v>
      </c>
      <c r="K271" s="224" t="b">
        <v>0</v>
      </c>
      <c r="L271" s="205"/>
    </row>
    <row r="272" ht="22.5" customHeight="1">
      <c r="A272" s="206">
        <v>1.0</v>
      </c>
      <c r="B272" s="207">
        <v>45915.0</v>
      </c>
      <c r="C272" s="208" t="s">
        <v>22</v>
      </c>
      <c r="D272" s="209" t="s">
        <v>762</v>
      </c>
      <c r="E272" s="210">
        <v>0.22</v>
      </c>
      <c r="F272" s="210">
        <v>45.0</v>
      </c>
      <c r="G272" s="206">
        <v>29.0</v>
      </c>
      <c r="H272" s="206">
        <v>0.0</v>
      </c>
      <c r="I272" s="206">
        <v>0.0</v>
      </c>
      <c r="J272" s="206">
        <v>0.0</v>
      </c>
      <c r="K272" s="211" t="b">
        <v>0</v>
      </c>
      <c r="L272" s="212"/>
    </row>
    <row r="273" ht="22.5" customHeight="1">
      <c r="A273" s="206">
        <v>1.0</v>
      </c>
      <c r="B273" s="207">
        <v>45915.0</v>
      </c>
      <c r="C273" s="208" t="s">
        <v>22</v>
      </c>
      <c r="D273" s="209" t="s">
        <v>763</v>
      </c>
      <c r="E273" s="210">
        <v>0.22</v>
      </c>
      <c r="F273" s="210">
        <v>200.0</v>
      </c>
      <c r="G273" s="206">
        <v>29.0</v>
      </c>
      <c r="H273" s="206">
        <v>0.0</v>
      </c>
      <c r="I273" s="206">
        <v>0.0</v>
      </c>
      <c r="J273" s="206">
        <v>0.0</v>
      </c>
      <c r="K273" s="211" t="b">
        <v>0</v>
      </c>
      <c r="L273" s="212"/>
    </row>
    <row r="274" ht="22.5" customHeight="1">
      <c r="A274" s="220">
        <v>4.0</v>
      </c>
      <c r="B274" s="221">
        <v>45915.0</v>
      </c>
      <c r="C274" s="201" t="s">
        <v>593</v>
      </c>
      <c r="D274" s="222" t="s">
        <v>764</v>
      </c>
      <c r="E274" s="223">
        <v>0.11</v>
      </c>
      <c r="F274" s="223">
        <v>14.0</v>
      </c>
      <c r="G274" s="220">
        <v>11.0</v>
      </c>
      <c r="H274" s="220">
        <v>0.0</v>
      </c>
      <c r="I274" s="220">
        <v>0.0</v>
      </c>
      <c r="J274" s="220">
        <v>0.0</v>
      </c>
      <c r="K274" s="224" t="b">
        <v>0</v>
      </c>
      <c r="L274" s="205"/>
    </row>
    <row r="275" ht="22.5" customHeight="1">
      <c r="A275" s="220">
        <v>4.0</v>
      </c>
      <c r="B275" s="221">
        <v>45915.0</v>
      </c>
      <c r="C275" s="201" t="s">
        <v>593</v>
      </c>
      <c r="D275" s="222" t="s">
        <v>765</v>
      </c>
      <c r="E275" s="223">
        <v>0.11</v>
      </c>
      <c r="F275" s="223">
        <v>14.0</v>
      </c>
      <c r="G275" s="220">
        <v>11.0</v>
      </c>
      <c r="H275" s="220">
        <v>0.0</v>
      </c>
      <c r="I275" s="220">
        <v>0.0</v>
      </c>
      <c r="J275" s="220">
        <v>0.0</v>
      </c>
      <c r="K275" s="224" t="b">
        <v>0</v>
      </c>
      <c r="L275" s="205"/>
    </row>
    <row r="276" ht="22.5" customHeight="1">
      <c r="A276" s="220">
        <v>4.0</v>
      </c>
      <c r="B276" s="221">
        <v>45915.0</v>
      </c>
      <c r="C276" s="201" t="s">
        <v>593</v>
      </c>
      <c r="D276" s="222" t="s">
        <v>766</v>
      </c>
      <c r="E276" s="223">
        <v>0.11</v>
      </c>
      <c r="F276" s="223">
        <v>19.0</v>
      </c>
      <c r="G276" s="220">
        <v>11.0</v>
      </c>
      <c r="H276" s="220">
        <v>0.0</v>
      </c>
      <c r="I276" s="220">
        <v>0.0</v>
      </c>
      <c r="J276" s="220">
        <v>0.0</v>
      </c>
      <c r="K276" s="224" t="b">
        <v>0</v>
      </c>
      <c r="L276" s="205"/>
    </row>
    <row r="277" ht="22.5" customHeight="1">
      <c r="A277" s="220">
        <v>4.0</v>
      </c>
      <c r="B277" s="221">
        <v>45915.0</v>
      </c>
      <c r="C277" s="201" t="s">
        <v>593</v>
      </c>
      <c r="D277" s="222" t="s">
        <v>767</v>
      </c>
      <c r="E277" s="223">
        <v>0.11</v>
      </c>
      <c r="F277" s="223">
        <v>14.0</v>
      </c>
      <c r="G277" s="220">
        <v>11.0</v>
      </c>
      <c r="H277" s="220">
        <v>0.0</v>
      </c>
      <c r="I277" s="220">
        <v>0.0</v>
      </c>
      <c r="J277" s="220">
        <v>0.0</v>
      </c>
      <c r="K277" s="224" t="b">
        <v>0</v>
      </c>
      <c r="L277" s="205"/>
    </row>
    <row r="278" ht="22.5" customHeight="1">
      <c r="A278" s="206">
        <v>1.0</v>
      </c>
      <c r="B278" s="207">
        <v>45914.0</v>
      </c>
      <c r="C278" s="208" t="s">
        <v>22</v>
      </c>
      <c r="D278" s="209" t="s">
        <v>768</v>
      </c>
      <c r="E278" s="210">
        <v>0.22</v>
      </c>
      <c r="F278" s="210">
        <v>31.0</v>
      </c>
      <c r="G278" s="206">
        <v>28.0</v>
      </c>
      <c r="H278" s="206">
        <v>0.0</v>
      </c>
      <c r="I278" s="206">
        <v>0.0</v>
      </c>
      <c r="J278" s="206">
        <v>0.0</v>
      </c>
      <c r="K278" s="211" t="b">
        <v>0</v>
      </c>
      <c r="L278" s="212"/>
    </row>
    <row r="279" ht="22.5" customHeight="1">
      <c r="A279" s="220">
        <v>4.0</v>
      </c>
      <c r="B279" s="221">
        <v>45914.0</v>
      </c>
      <c r="C279" s="201" t="s">
        <v>593</v>
      </c>
      <c r="D279" s="222" t="s">
        <v>769</v>
      </c>
      <c r="E279" s="223">
        <v>0.11</v>
      </c>
      <c r="F279" s="223">
        <v>14.0</v>
      </c>
      <c r="G279" s="220">
        <v>10.0</v>
      </c>
      <c r="H279" s="220">
        <v>0.0</v>
      </c>
      <c r="I279" s="220">
        <v>0.0</v>
      </c>
      <c r="J279" s="220">
        <v>0.0</v>
      </c>
      <c r="K279" s="224" t="b">
        <v>0</v>
      </c>
      <c r="L279" s="205"/>
    </row>
    <row r="280" ht="22.5" customHeight="1">
      <c r="A280" s="220">
        <v>4.0</v>
      </c>
      <c r="B280" s="221">
        <v>45914.0</v>
      </c>
      <c r="C280" s="201" t="s">
        <v>593</v>
      </c>
      <c r="D280" s="222" t="s">
        <v>770</v>
      </c>
      <c r="E280" s="223">
        <v>0.11</v>
      </c>
      <c r="F280" s="223">
        <v>13.0</v>
      </c>
      <c r="G280" s="220">
        <v>10.0</v>
      </c>
      <c r="H280" s="220">
        <v>0.0</v>
      </c>
      <c r="I280" s="220">
        <v>0.0</v>
      </c>
      <c r="J280" s="220">
        <v>0.0</v>
      </c>
      <c r="K280" s="224" t="b">
        <v>0</v>
      </c>
      <c r="L280" s="205"/>
    </row>
    <row r="281" ht="22.5" customHeight="1">
      <c r="A281" s="220">
        <v>4.0</v>
      </c>
      <c r="B281" s="221">
        <v>45914.0</v>
      </c>
      <c r="C281" s="201" t="s">
        <v>593</v>
      </c>
      <c r="D281" s="222" t="s">
        <v>771</v>
      </c>
      <c r="E281" s="223">
        <v>0.11</v>
      </c>
      <c r="F281" s="223">
        <v>20.0</v>
      </c>
      <c r="G281" s="220">
        <v>10.0</v>
      </c>
      <c r="H281" s="220">
        <v>0.0</v>
      </c>
      <c r="I281" s="220">
        <v>0.0</v>
      </c>
      <c r="J281" s="220">
        <v>0.0</v>
      </c>
      <c r="K281" s="224" t="b">
        <v>0</v>
      </c>
      <c r="L281" s="205"/>
    </row>
    <row r="282" ht="22.5" customHeight="1">
      <c r="A282" s="220">
        <v>4.0</v>
      </c>
      <c r="B282" s="221">
        <v>45914.0</v>
      </c>
      <c r="C282" s="201" t="s">
        <v>593</v>
      </c>
      <c r="D282" s="222" t="s">
        <v>772</v>
      </c>
      <c r="E282" s="223">
        <v>0.11</v>
      </c>
      <c r="F282" s="223">
        <v>14.0</v>
      </c>
      <c r="G282" s="220">
        <v>10.0</v>
      </c>
      <c r="H282" s="220">
        <v>0.0</v>
      </c>
      <c r="I282" s="220">
        <v>0.0</v>
      </c>
      <c r="J282" s="220">
        <v>0.0</v>
      </c>
      <c r="K282" s="224" t="b">
        <v>0</v>
      </c>
      <c r="L282" s="205"/>
    </row>
    <row r="283" ht="22.5" customHeight="1">
      <c r="A283" s="220">
        <v>4.0</v>
      </c>
      <c r="B283" s="221">
        <v>45913.0</v>
      </c>
      <c r="C283" s="201" t="s">
        <v>593</v>
      </c>
      <c r="D283" s="222" t="s">
        <v>773</v>
      </c>
      <c r="E283" s="223">
        <v>0.11</v>
      </c>
      <c r="F283" s="223">
        <v>15.0</v>
      </c>
      <c r="G283" s="220">
        <v>9.0</v>
      </c>
      <c r="H283" s="220">
        <v>0.0</v>
      </c>
      <c r="I283" s="220">
        <v>0.0</v>
      </c>
      <c r="J283" s="220">
        <v>0.0</v>
      </c>
      <c r="K283" s="224" t="b">
        <v>0</v>
      </c>
      <c r="L283" s="205"/>
    </row>
    <row r="284" ht="22.5" customHeight="1">
      <c r="A284" s="220">
        <v>4.0</v>
      </c>
      <c r="B284" s="221">
        <v>45913.0</v>
      </c>
      <c r="C284" s="201" t="s">
        <v>593</v>
      </c>
      <c r="D284" s="222" t="s">
        <v>774</v>
      </c>
      <c r="E284" s="223">
        <v>0.11</v>
      </c>
      <c r="F284" s="223">
        <v>12.0</v>
      </c>
      <c r="G284" s="220">
        <v>9.0</v>
      </c>
      <c r="H284" s="220">
        <v>0.0</v>
      </c>
      <c r="I284" s="220">
        <v>0.0</v>
      </c>
      <c r="J284" s="220">
        <v>0.0</v>
      </c>
      <c r="K284" s="224" t="b">
        <v>0</v>
      </c>
      <c r="L284" s="205"/>
    </row>
    <row r="285" ht="22.5" customHeight="1">
      <c r="A285" s="233">
        <v>3.0</v>
      </c>
      <c r="B285" s="234">
        <v>45911.0</v>
      </c>
      <c r="C285" s="175" t="s">
        <v>775</v>
      </c>
      <c r="D285" s="235" t="s">
        <v>776</v>
      </c>
      <c r="E285" s="236">
        <v>0.11</v>
      </c>
      <c r="F285" s="236">
        <v>5.0</v>
      </c>
      <c r="G285" s="237">
        <v>10.0</v>
      </c>
      <c r="H285" s="238">
        <v>0.0</v>
      </c>
      <c r="I285" s="238">
        <v>0.0</v>
      </c>
      <c r="J285" s="238">
        <v>0.0</v>
      </c>
      <c r="K285" s="239" t="b">
        <v>0</v>
      </c>
      <c r="L285" s="180"/>
    </row>
    <row r="286" ht="22.5" customHeight="1">
      <c r="A286" s="220">
        <v>4.0</v>
      </c>
      <c r="B286" s="221">
        <v>45911.0</v>
      </c>
      <c r="C286" s="201" t="s">
        <v>593</v>
      </c>
      <c r="D286" s="222" t="s">
        <v>777</v>
      </c>
      <c r="E286" s="223">
        <v>0.11</v>
      </c>
      <c r="F286" s="223">
        <v>17.58</v>
      </c>
      <c r="G286" s="220">
        <v>7.0</v>
      </c>
      <c r="H286" s="220">
        <v>0.0</v>
      </c>
      <c r="I286" s="220">
        <v>0.0</v>
      </c>
      <c r="J286" s="220">
        <v>0.0</v>
      </c>
      <c r="K286" s="224" t="b">
        <v>0</v>
      </c>
      <c r="L286" s="205"/>
    </row>
    <row r="287" ht="22.5" customHeight="1">
      <c r="A287" s="220">
        <v>4.0</v>
      </c>
      <c r="B287" s="221">
        <v>45911.0</v>
      </c>
      <c r="C287" s="201" t="s">
        <v>593</v>
      </c>
      <c r="D287" s="222" t="s">
        <v>778</v>
      </c>
      <c r="E287" s="223">
        <v>0.11</v>
      </c>
      <c r="F287" s="223">
        <v>17.58</v>
      </c>
      <c r="G287" s="220">
        <v>7.0</v>
      </c>
      <c r="H287" s="220">
        <v>0.0</v>
      </c>
      <c r="I287" s="220">
        <v>0.0</v>
      </c>
      <c r="J287" s="220">
        <v>0.0</v>
      </c>
      <c r="K287" s="224" t="b">
        <v>0</v>
      </c>
      <c r="L287" s="205"/>
    </row>
    <row r="288" ht="22.5" customHeight="1">
      <c r="A288" s="220">
        <v>4.0</v>
      </c>
      <c r="B288" s="221">
        <v>45910.0</v>
      </c>
      <c r="C288" s="201" t="s">
        <v>593</v>
      </c>
      <c r="D288" s="222" t="s">
        <v>779</v>
      </c>
      <c r="E288" s="223">
        <v>0.11</v>
      </c>
      <c r="F288" s="223">
        <v>14.95</v>
      </c>
      <c r="G288" s="220">
        <v>6.0</v>
      </c>
      <c r="H288" s="220">
        <v>0.0</v>
      </c>
      <c r="I288" s="220">
        <v>0.0</v>
      </c>
      <c r="J288" s="220">
        <v>0.0</v>
      </c>
      <c r="K288" s="224" t="b">
        <v>0</v>
      </c>
      <c r="L288" s="205"/>
    </row>
    <row r="289" ht="22.5" customHeight="1">
      <c r="A289" s="220">
        <v>4.0</v>
      </c>
      <c r="B289" s="221">
        <v>45910.0</v>
      </c>
      <c r="C289" s="201" t="s">
        <v>593</v>
      </c>
      <c r="D289" s="222" t="s">
        <v>780</v>
      </c>
      <c r="E289" s="223">
        <v>0.11</v>
      </c>
      <c r="F289" s="223">
        <v>14.95</v>
      </c>
      <c r="G289" s="220">
        <v>6.0</v>
      </c>
      <c r="H289" s="220">
        <v>0.0</v>
      </c>
      <c r="I289" s="220">
        <v>0.0</v>
      </c>
      <c r="J289" s="220">
        <v>0.0</v>
      </c>
      <c r="K289" s="224" t="b">
        <v>0</v>
      </c>
      <c r="L289" s="205"/>
    </row>
    <row r="290" ht="22.5" customHeight="1">
      <c r="A290" s="220">
        <v>4.0</v>
      </c>
      <c r="B290" s="221">
        <v>45910.0</v>
      </c>
      <c r="C290" s="201" t="s">
        <v>593</v>
      </c>
      <c r="D290" s="222" t="s">
        <v>781</v>
      </c>
      <c r="E290" s="223">
        <v>0.11</v>
      </c>
      <c r="F290" s="223">
        <v>17.0</v>
      </c>
      <c r="G290" s="220">
        <v>6.0</v>
      </c>
      <c r="H290" s="220">
        <v>0.0</v>
      </c>
      <c r="I290" s="220">
        <v>0.0</v>
      </c>
      <c r="J290" s="220">
        <v>0.0</v>
      </c>
      <c r="K290" s="224" t="b">
        <v>0</v>
      </c>
      <c r="L290" s="205"/>
    </row>
    <row r="291" ht="22.5" customHeight="1">
      <c r="A291" s="220">
        <v>4.0</v>
      </c>
      <c r="B291" s="221">
        <v>45909.0</v>
      </c>
      <c r="C291" s="201" t="s">
        <v>593</v>
      </c>
      <c r="D291" s="222" t="s">
        <v>782</v>
      </c>
      <c r="E291" s="223">
        <v>0.11</v>
      </c>
      <c r="F291" s="223">
        <v>15.0</v>
      </c>
      <c r="G291" s="220">
        <v>5.0</v>
      </c>
      <c r="H291" s="220">
        <v>0.0</v>
      </c>
      <c r="I291" s="220">
        <v>0.0</v>
      </c>
      <c r="J291" s="220">
        <v>0.0</v>
      </c>
      <c r="K291" s="224" t="b">
        <v>0</v>
      </c>
      <c r="L291" s="205"/>
    </row>
    <row r="292" ht="22.5" customHeight="1">
      <c r="A292" s="220">
        <v>4.0</v>
      </c>
      <c r="B292" s="221">
        <v>45909.0</v>
      </c>
      <c r="C292" s="201" t="s">
        <v>593</v>
      </c>
      <c r="D292" s="222" t="s">
        <v>783</v>
      </c>
      <c r="E292" s="223">
        <v>0.11</v>
      </c>
      <c r="F292" s="223">
        <v>16.0</v>
      </c>
      <c r="G292" s="220">
        <v>5.0</v>
      </c>
      <c r="H292" s="220">
        <v>0.0</v>
      </c>
      <c r="I292" s="220">
        <v>0.0</v>
      </c>
      <c r="J292" s="220">
        <v>0.0</v>
      </c>
      <c r="K292" s="224" t="b">
        <v>0</v>
      </c>
      <c r="L292" s="205"/>
    </row>
    <row r="293" ht="22.5" customHeight="1">
      <c r="A293" s="220">
        <v>4.0</v>
      </c>
      <c r="B293" s="221">
        <v>45909.0</v>
      </c>
      <c r="C293" s="201" t="s">
        <v>593</v>
      </c>
      <c r="D293" s="222" t="s">
        <v>784</v>
      </c>
      <c r="E293" s="223">
        <v>0.11</v>
      </c>
      <c r="F293" s="223">
        <v>15.0</v>
      </c>
      <c r="G293" s="220">
        <v>5.0</v>
      </c>
      <c r="H293" s="220">
        <v>0.0</v>
      </c>
      <c r="I293" s="220">
        <v>0.0</v>
      </c>
      <c r="J293" s="220">
        <v>0.0</v>
      </c>
      <c r="K293" s="224" t="b">
        <v>0</v>
      </c>
      <c r="L293" s="205"/>
    </row>
    <row r="294" ht="22.5" customHeight="1">
      <c r="A294" s="206">
        <v>1.0</v>
      </c>
      <c r="B294" s="207">
        <v>45906.0</v>
      </c>
      <c r="C294" s="208" t="s">
        <v>22</v>
      </c>
      <c r="D294" s="209" t="s">
        <v>785</v>
      </c>
      <c r="E294" s="210">
        <v>0.22</v>
      </c>
      <c r="F294" s="210">
        <v>45.0</v>
      </c>
      <c r="G294" s="206">
        <v>20.0</v>
      </c>
      <c r="H294" s="206">
        <v>0.0</v>
      </c>
      <c r="I294" s="206">
        <v>0.0</v>
      </c>
      <c r="J294" s="206">
        <v>0.0</v>
      </c>
      <c r="K294" s="211" t="b">
        <v>0</v>
      </c>
      <c r="L294" s="212"/>
    </row>
    <row r="295" ht="22.5" customHeight="1">
      <c r="A295" s="220">
        <v>4.0</v>
      </c>
      <c r="B295" s="221">
        <v>45906.0</v>
      </c>
      <c r="C295" s="201" t="s">
        <v>593</v>
      </c>
      <c r="D295" s="222" t="s">
        <v>786</v>
      </c>
      <c r="E295" s="223">
        <v>0.11</v>
      </c>
      <c r="F295" s="223">
        <v>22.99</v>
      </c>
      <c r="G295" s="220">
        <v>2.0</v>
      </c>
      <c r="H295" s="220">
        <v>0.0</v>
      </c>
      <c r="I295" s="220">
        <v>0.0</v>
      </c>
      <c r="J295" s="220">
        <v>0.0</v>
      </c>
      <c r="K295" s="224" t="b">
        <v>0</v>
      </c>
      <c r="L295" s="205"/>
    </row>
    <row r="296" ht="22.5" customHeight="1">
      <c r="A296" s="240">
        <v>2.0</v>
      </c>
      <c r="B296" s="241">
        <v>45905.0</v>
      </c>
      <c r="C296" s="242" t="s">
        <v>787</v>
      </c>
      <c r="D296" s="243" t="s">
        <v>788</v>
      </c>
      <c r="E296" s="244">
        <v>0.11</v>
      </c>
      <c r="F296" s="244">
        <v>13.0</v>
      </c>
      <c r="G296" s="240">
        <v>79.0</v>
      </c>
      <c r="H296" s="240">
        <v>0.0</v>
      </c>
      <c r="I296" s="240">
        <v>0.0</v>
      </c>
      <c r="J296" s="240">
        <v>0.0</v>
      </c>
      <c r="K296" s="245" t="b">
        <v>0</v>
      </c>
      <c r="L296" s="246"/>
    </row>
    <row r="297" ht="22.5" customHeight="1">
      <c r="A297" s="240">
        <v>2.0</v>
      </c>
      <c r="B297" s="241">
        <v>45905.0</v>
      </c>
      <c r="C297" s="242" t="s">
        <v>787</v>
      </c>
      <c r="D297" s="243" t="s">
        <v>789</v>
      </c>
      <c r="E297" s="244">
        <v>0.11</v>
      </c>
      <c r="F297" s="244">
        <v>17.6</v>
      </c>
      <c r="G297" s="240">
        <v>47.0</v>
      </c>
      <c r="H297" s="240">
        <v>0.0</v>
      </c>
      <c r="I297" s="240">
        <v>0.0</v>
      </c>
      <c r="J297" s="240">
        <v>0.0</v>
      </c>
      <c r="K297" s="245" t="b">
        <v>0</v>
      </c>
      <c r="L297" s="246"/>
    </row>
    <row r="298" ht="22.5" customHeight="1">
      <c r="A298" s="206">
        <v>1.0</v>
      </c>
      <c r="B298" s="207">
        <v>45904.0</v>
      </c>
      <c r="C298" s="208" t="s">
        <v>22</v>
      </c>
      <c r="D298" s="209" t="s">
        <v>790</v>
      </c>
      <c r="E298" s="210">
        <v>0.22</v>
      </c>
      <c r="F298" s="210">
        <v>40.0</v>
      </c>
      <c r="G298" s="206">
        <v>18.0</v>
      </c>
      <c r="H298" s="206">
        <v>0.0</v>
      </c>
      <c r="I298" s="206">
        <v>0.0</v>
      </c>
      <c r="J298" s="206">
        <v>0.0</v>
      </c>
      <c r="K298" s="211" t="b">
        <v>0</v>
      </c>
      <c r="L298" s="212"/>
    </row>
    <row r="299" ht="22.5" customHeight="1">
      <c r="A299" s="240">
        <v>2.0</v>
      </c>
      <c r="B299" s="241">
        <v>45904.0</v>
      </c>
      <c r="C299" s="242" t="s">
        <v>787</v>
      </c>
      <c r="D299" s="243" t="s">
        <v>791</v>
      </c>
      <c r="E299" s="244">
        <v>0.11</v>
      </c>
      <c r="F299" s="244">
        <v>23.0</v>
      </c>
      <c r="G299" s="240">
        <v>18.0</v>
      </c>
      <c r="H299" s="240">
        <v>0.0</v>
      </c>
      <c r="I299" s="240">
        <v>0.0</v>
      </c>
      <c r="J299" s="240">
        <v>0.0</v>
      </c>
      <c r="K299" s="245" t="b">
        <v>0</v>
      </c>
      <c r="L299" s="246"/>
    </row>
    <row r="300" ht="22.5" customHeight="1">
      <c r="A300" s="206">
        <v>1.0</v>
      </c>
      <c r="B300" s="207">
        <v>45903.0</v>
      </c>
      <c r="C300" s="208" t="s">
        <v>22</v>
      </c>
      <c r="D300" s="209" t="s">
        <v>792</v>
      </c>
      <c r="E300" s="210">
        <v>0.22</v>
      </c>
      <c r="F300" s="210">
        <v>90.0</v>
      </c>
      <c r="G300" s="206">
        <v>5.0</v>
      </c>
      <c r="H300" s="206">
        <v>0.0</v>
      </c>
      <c r="I300" s="206">
        <v>0.0</v>
      </c>
      <c r="J300" s="206">
        <v>0.0</v>
      </c>
      <c r="K300" s="211" t="b">
        <v>0</v>
      </c>
      <c r="L300" s="212"/>
    </row>
    <row r="301" ht="22.5" customHeight="1">
      <c r="A301" s="206">
        <v>1.0</v>
      </c>
      <c r="B301" s="207">
        <v>45903.0</v>
      </c>
      <c r="C301" s="208" t="s">
        <v>22</v>
      </c>
      <c r="D301" s="209" t="s">
        <v>793</v>
      </c>
      <c r="E301" s="210">
        <v>0.22</v>
      </c>
      <c r="F301" s="210">
        <v>30.0</v>
      </c>
      <c r="G301" s="206">
        <v>2.0</v>
      </c>
      <c r="H301" s="206">
        <v>0.0</v>
      </c>
      <c r="I301" s="206">
        <v>0.0</v>
      </c>
      <c r="J301" s="206">
        <v>0.0</v>
      </c>
      <c r="K301" s="211" t="b">
        <v>0</v>
      </c>
      <c r="L301" s="212"/>
    </row>
    <row r="302" ht="22.5" customHeight="1">
      <c r="A302" s="240">
        <v>2.0</v>
      </c>
      <c r="B302" s="241">
        <v>45903.0</v>
      </c>
      <c r="C302" s="242" t="s">
        <v>787</v>
      </c>
      <c r="D302" s="243" t="s">
        <v>794</v>
      </c>
      <c r="E302" s="244">
        <v>0.11</v>
      </c>
      <c r="F302" s="244">
        <v>5.0</v>
      </c>
      <c r="G302" s="240">
        <v>17.0</v>
      </c>
      <c r="H302" s="240">
        <v>0.0</v>
      </c>
      <c r="I302" s="240">
        <v>0.0</v>
      </c>
      <c r="J302" s="240">
        <v>0.0</v>
      </c>
      <c r="K302" s="245" t="b">
        <v>0</v>
      </c>
      <c r="L302" s="246"/>
    </row>
    <row r="303" ht="22.5" customHeight="1">
      <c r="A303" s="240">
        <v>2.0</v>
      </c>
      <c r="B303" s="241">
        <v>45903.0</v>
      </c>
      <c r="C303" s="242" t="s">
        <v>787</v>
      </c>
      <c r="D303" s="243" t="s">
        <v>795</v>
      </c>
      <c r="E303" s="244">
        <v>0.11</v>
      </c>
      <c r="F303" s="244">
        <v>5.0</v>
      </c>
      <c r="G303" s="240">
        <v>17.0</v>
      </c>
      <c r="H303" s="240">
        <v>0.0</v>
      </c>
      <c r="I303" s="240">
        <v>0.0</v>
      </c>
      <c r="J303" s="240">
        <v>0.0</v>
      </c>
      <c r="K303" s="245" t="b">
        <v>0</v>
      </c>
      <c r="L303" s="246"/>
    </row>
    <row r="304" ht="22.5" customHeight="1">
      <c r="A304" s="240">
        <v>2.0</v>
      </c>
      <c r="B304" s="241">
        <v>45903.0</v>
      </c>
      <c r="C304" s="242" t="s">
        <v>787</v>
      </c>
      <c r="D304" s="243" t="s">
        <v>796</v>
      </c>
      <c r="E304" s="244">
        <v>0.11</v>
      </c>
      <c r="F304" s="244">
        <v>4.0</v>
      </c>
      <c r="G304" s="240">
        <v>17.0</v>
      </c>
      <c r="H304" s="240">
        <v>0.0</v>
      </c>
      <c r="I304" s="240">
        <v>0.0</v>
      </c>
      <c r="J304" s="240">
        <v>0.0</v>
      </c>
      <c r="K304" s="245" t="b">
        <v>0</v>
      </c>
      <c r="L304" s="246"/>
    </row>
    <row r="305" ht="22.5" customHeight="1">
      <c r="A305" s="240">
        <v>2.0</v>
      </c>
      <c r="B305" s="241">
        <v>45903.0</v>
      </c>
      <c r="C305" s="242" t="s">
        <v>787</v>
      </c>
      <c r="D305" s="243" t="s">
        <v>797</v>
      </c>
      <c r="E305" s="244">
        <v>0.11</v>
      </c>
      <c r="F305" s="244">
        <v>12.0</v>
      </c>
      <c r="G305" s="240">
        <v>77.0</v>
      </c>
      <c r="H305" s="240">
        <v>0.0</v>
      </c>
      <c r="I305" s="240">
        <v>0.0</v>
      </c>
      <c r="J305" s="240">
        <v>0.0</v>
      </c>
      <c r="K305" s="245" t="b">
        <v>0</v>
      </c>
      <c r="L305" s="246"/>
    </row>
    <row r="306" ht="22.5" customHeight="1">
      <c r="A306" s="206">
        <v>1.0</v>
      </c>
      <c r="B306" s="207">
        <v>45901.0</v>
      </c>
      <c r="C306" s="208" t="s">
        <v>22</v>
      </c>
      <c r="D306" s="209" t="s">
        <v>798</v>
      </c>
      <c r="E306" s="210">
        <v>0.22</v>
      </c>
      <c r="F306" s="210">
        <v>55.0</v>
      </c>
      <c r="G306" s="206">
        <v>3.0</v>
      </c>
      <c r="H306" s="206">
        <v>1.0</v>
      </c>
      <c r="I306" s="206">
        <v>1.0</v>
      </c>
      <c r="J306" s="206">
        <v>1.0</v>
      </c>
      <c r="K306" s="211" t="b">
        <v>0</v>
      </c>
      <c r="L306" s="212"/>
    </row>
    <row r="307" ht="22.5" customHeight="1">
      <c r="A307" s="233">
        <v>3.0</v>
      </c>
      <c r="B307" s="234">
        <v>45901.0</v>
      </c>
      <c r="C307" s="175" t="s">
        <v>799</v>
      </c>
      <c r="D307" s="235" t="s">
        <v>800</v>
      </c>
      <c r="E307" s="236">
        <v>0.11</v>
      </c>
      <c r="F307" s="236">
        <v>25.0</v>
      </c>
      <c r="G307" s="237">
        <v>1.0</v>
      </c>
      <c r="H307" s="238">
        <v>0.0</v>
      </c>
      <c r="I307" s="238">
        <v>0.0</v>
      </c>
      <c r="J307" s="238">
        <v>0.0</v>
      </c>
      <c r="K307" s="239" t="b">
        <v>0</v>
      </c>
      <c r="L307" s="180"/>
    </row>
  </sheetData>
  <conditionalFormatting sqref="A2:K307">
    <cfRule type="expression" dxfId="7" priority="1">
      <formula>COUNTIF($A2:$K2,"*VPHB*")&gt;0</formula>
    </cfRule>
  </conditionalFormatting>
  <conditionalFormatting sqref="A2:K307">
    <cfRule type="expression" dxfId="16" priority="2">
      <formula>COUNTIF($A2:$K2,"*JLF*")&gt;0</formula>
    </cfRule>
  </conditionalFormatting>
  <conditionalFormatting sqref="A2:K307">
    <cfRule type="expression" dxfId="17" priority="3">
      <formula>COUNTIF($A2:$K2,"*JMHF*")&gt;0</formula>
    </cfRule>
  </conditionalFormatting>
  <conditionalFormatting sqref="A2:K307">
    <cfRule type="expression" dxfId="8" priority="4">
      <formula>COUNTIF($A2:$K2,"*PCF*")&gt;0</formula>
    </cfRule>
  </conditionalFormatting>
  <conditionalFormatting sqref="A2:K307">
    <cfRule type="expression" dxfId="9" priority="5">
      <formula>COUNTIF($A2:$K2,"*PTNFF*")&gt;0</formula>
    </cfRule>
  </conditionalFormatting>
  <conditionalFormatting sqref="A2:K307">
    <cfRule type="expression" dxfId="18" priority="6">
      <formula>COUNTIF($A2:$K2,"*PTF*")&gt;0</formula>
    </cfRule>
  </conditionalFormatting>
  <conditionalFormatting sqref="A2:K307">
    <cfRule type="expression" dxfId="19" priority="7">
      <formula>COUNTIF($A2:$K2,"*SMHF*")&gt;0</formula>
    </cfRule>
  </conditionalFormatting>
  <conditionalFormatting sqref="A2:K307">
    <cfRule type="expression" dxfId="7" priority="8">
      <formula>COUNTIF($A2:$K2,"*VTHF*")&gt;0</formula>
    </cfRule>
  </conditionalFormatting>
  <conditionalFormatting sqref="A2:K307">
    <cfRule type="expression" dxfId="12" priority="9">
      <formula>COUNTIF($A2:$K2,"*JMB*")&gt;0</formula>
    </cfRule>
  </conditionalFormatting>
  <conditionalFormatting sqref="A2:K307">
    <cfRule type="expression" dxfId="20" priority="10">
      <formula>COUNTIF($A2:$K2,"*VTH*")&gt;0</formula>
    </cfRule>
  </conditionalFormatting>
  <conditionalFormatting sqref="A2:K307">
    <cfRule type="expression" dxfId="11" priority="11">
      <formula>COUNTIF($A2:$K2,"*VTF*")&gt;0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47" t="s">
        <v>7</v>
      </c>
      <c r="B1" s="247" t="s">
        <v>67</v>
      </c>
      <c r="C1" s="247" t="s">
        <v>801</v>
      </c>
      <c r="D1" s="248" t="s">
        <v>460</v>
      </c>
      <c r="E1" s="249" t="s">
        <v>802</v>
      </c>
      <c r="F1" s="250" t="s">
        <v>803</v>
      </c>
      <c r="G1" s="251" t="s">
        <v>804</v>
      </c>
    </row>
    <row r="2">
      <c r="A2" s="252" t="s">
        <v>805</v>
      </c>
      <c r="B2" s="253"/>
      <c r="C2" s="253"/>
      <c r="D2" s="254"/>
      <c r="E2" s="255"/>
      <c r="F2" s="256"/>
      <c r="G2" s="257"/>
    </row>
    <row r="3">
      <c r="A3" s="258">
        <v>1.0</v>
      </c>
      <c r="B3" s="258" t="s">
        <v>798</v>
      </c>
      <c r="C3" s="259" t="s">
        <v>22</v>
      </c>
      <c r="D3" s="260">
        <v>45901.0</v>
      </c>
      <c r="E3" s="261">
        <v>7.44</v>
      </c>
      <c r="F3" s="262">
        <v>1.16</v>
      </c>
      <c r="G3" s="263">
        <v>1.0</v>
      </c>
    </row>
    <row r="4">
      <c r="A4" s="264">
        <v>3.0</v>
      </c>
      <c r="B4" s="264" t="s">
        <v>800</v>
      </c>
      <c r="C4" s="265" t="s">
        <v>799</v>
      </c>
      <c r="D4" s="266">
        <v>45901.0</v>
      </c>
      <c r="E4" s="267">
        <v>25.0</v>
      </c>
      <c r="F4" s="268"/>
      <c r="G4" s="269">
        <v>1.0</v>
      </c>
    </row>
    <row r="5">
      <c r="A5" s="258">
        <v>1.0</v>
      </c>
      <c r="B5" s="258" t="s">
        <v>792</v>
      </c>
      <c r="C5" s="259" t="s">
        <v>22</v>
      </c>
      <c r="D5" s="260">
        <v>45903.0</v>
      </c>
      <c r="E5" s="261">
        <v>42.44</v>
      </c>
      <c r="F5" s="262">
        <v>1.89</v>
      </c>
      <c r="G5" s="263">
        <v>1.0</v>
      </c>
    </row>
    <row r="6">
      <c r="A6" s="258">
        <v>1.0</v>
      </c>
      <c r="B6" s="258" t="s">
        <v>793</v>
      </c>
      <c r="C6" s="259" t="s">
        <v>22</v>
      </c>
      <c r="D6" s="260">
        <v>45903.0</v>
      </c>
      <c r="E6" s="261">
        <v>-17.56</v>
      </c>
      <c r="F6" s="262">
        <v>0.63</v>
      </c>
      <c r="G6" s="263">
        <v>1.0</v>
      </c>
    </row>
    <row r="7">
      <c r="A7" s="270">
        <v>2.0</v>
      </c>
      <c r="B7" s="270" t="s">
        <v>794</v>
      </c>
      <c r="C7" s="271" t="s">
        <v>787</v>
      </c>
      <c r="D7" s="272">
        <v>45903.0</v>
      </c>
      <c r="E7" s="273">
        <v>-0.55</v>
      </c>
      <c r="F7" s="274">
        <v>0.9</v>
      </c>
      <c r="G7" s="275">
        <v>1.0</v>
      </c>
    </row>
    <row r="8">
      <c r="A8" s="270">
        <v>2.0</v>
      </c>
      <c r="B8" s="270" t="s">
        <v>795</v>
      </c>
      <c r="C8" s="271" t="s">
        <v>787</v>
      </c>
      <c r="D8" s="272">
        <v>45903.0</v>
      </c>
      <c r="E8" s="273">
        <v>-0.55</v>
      </c>
      <c r="F8" s="274">
        <v>0.9</v>
      </c>
      <c r="G8" s="275">
        <v>1.0</v>
      </c>
    </row>
    <row r="9">
      <c r="A9" s="270">
        <v>2.0</v>
      </c>
      <c r="B9" s="270" t="s">
        <v>796</v>
      </c>
      <c r="C9" s="271" t="s">
        <v>787</v>
      </c>
      <c r="D9" s="272">
        <v>45903.0</v>
      </c>
      <c r="E9" s="273">
        <v>-1.55</v>
      </c>
      <c r="F9" s="274">
        <v>0.72</v>
      </c>
      <c r="G9" s="275">
        <v>1.0</v>
      </c>
    </row>
    <row r="10">
      <c r="A10" s="270">
        <v>2.0</v>
      </c>
      <c r="B10" s="270" t="s">
        <v>797</v>
      </c>
      <c r="C10" s="271" t="s">
        <v>787</v>
      </c>
      <c r="D10" s="272">
        <v>45903.0</v>
      </c>
      <c r="E10" s="273">
        <v>6.45</v>
      </c>
      <c r="F10" s="274">
        <v>2.16</v>
      </c>
      <c r="G10" s="275">
        <v>1.0</v>
      </c>
    </row>
    <row r="11">
      <c r="A11" s="258">
        <v>1.0</v>
      </c>
      <c r="B11" s="258" t="s">
        <v>790</v>
      </c>
      <c r="C11" s="259" t="s">
        <v>22</v>
      </c>
      <c r="D11" s="260">
        <v>45904.0</v>
      </c>
      <c r="E11" s="261">
        <v>-7.56</v>
      </c>
      <c r="F11" s="262">
        <v>0.84</v>
      </c>
      <c r="G11" s="263">
        <v>1.0</v>
      </c>
    </row>
    <row r="12">
      <c r="A12" s="270">
        <v>2.0</v>
      </c>
      <c r="B12" s="270" t="s">
        <v>791</v>
      </c>
      <c r="C12" s="271" t="s">
        <v>787</v>
      </c>
      <c r="D12" s="272">
        <v>45904.0</v>
      </c>
      <c r="E12" s="273">
        <v>17.45</v>
      </c>
      <c r="F12" s="274">
        <v>4.15</v>
      </c>
      <c r="G12" s="275">
        <v>1.0</v>
      </c>
    </row>
    <row r="13">
      <c r="A13" s="270">
        <v>2.0</v>
      </c>
      <c r="B13" s="270" t="s">
        <v>788</v>
      </c>
      <c r="C13" s="271" t="s">
        <v>787</v>
      </c>
      <c r="D13" s="272">
        <v>45905.0</v>
      </c>
      <c r="E13" s="273">
        <v>7.45</v>
      </c>
      <c r="F13" s="274">
        <v>2.34</v>
      </c>
      <c r="G13" s="275">
        <v>1.0</v>
      </c>
    </row>
    <row r="14">
      <c r="A14" s="270">
        <v>2.0</v>
      </c>
      <c r="B14" s="270" t="s">
        <v>789</v>
      </c>
      <c r="C14" s="271" t="s">
        <v>787</v>
      </c>
      <c r="D14" s="272">
        <v>45905.0</v>
      </c>
      <c r="E14" s="273">
        <v>12.05</v>
      </c>
      <c r="F14" s="274">
        <v>3.17</v>
      </c>
      <c r="G14" s="275">
        <v>1.0</v>
      </c>
    </row>
    <row r="15">
      <c r="A15" s="258">
        <v>1.0</v>
      </c>
      <c r="B15" s="258" t="s">
        <v>785</v>
      </c>
      <c r="C15" s="259" t="s">
        <v>22</v>
      </c>
      <c r="D15" s="260">
        <v>45906.0</v>
      </c>
      <c r="E15" s="261">
        <v>-2.56</v>
      </c>
      <c r="F15" s="262">
        <v>0.95</v>
      </c>
      <c r="G15" s="263">
        <v>1.0</v>
      </c>
    </row>
    <row r="16">
      <c r="A16" s="276">
        <v>4.0</v>
      </c>
      <c r="B16" s="276" t="s">
        <v>786</v>
      </c>
      <c r="C16" s="277" t="s">
        <v>593</v>
      </c>
      <c r="D16" s="278">
        <v>45906.0</v>
      </c>
      <c r="E16" s="279">
        <v>15.92</v>
      </c>
      <c r="F16" s="280">
        <v>3.25</v>
      </c>
      <c r="G16" s="281">
        <v>1.0</v>
      </c>
    </row>
    <row r="17">
      <c r="A17" s="252" t="s">
        <v>806</v>
      </c>
      <c r="B17" s="253"/>
      <c r="C17" s="253"/>
      <c r="D17" s="254"/>
      <c r="E17" s="282">
        <v>103.87</v>
      </c>
      <c r="F17" s="283">
        <v>1.77</v>
      </c>
      <c r="G17" s="284">
        <v>14.0</v>
      </c>
    </row>
    <row r="18">
      <c r="A18" s="285"/>
      <c r="B18" s="285"/>
      <c r="C18" s="285"/>
      <c r="D18" s="286"/>
      <c r="E18" s="287"/>
      <c r="F18" s="288"/>
      <c r="G18" s="289"/>
    </row>
    <row r="19">
      <c r="A19" s="252" t="s">
        <v>807</v>
      </c>
      <c r="B19" s="253"/>
      <c r="C19" s="253"/>
      <c r="D19" s="254"/>
      <c r="E19" s="255"/>
      <c r="F19" s="256"/>
      <c r="G19" s="257"/>
    </row>
    <row r="20">
      <c r="A20" s="276">
        <v>4.0</v>
      </c>
      <c r="B20" s="276" t="s">
        <v>782</v>
      </c>
      <c r="C20" s="277" t="s">
        <v>593</v>
      </c>
      <c r="D20" s="278">
        <v>45909.0</v>
      </c>
      <c r="E20" s="279">
        <v>7.93</v>
      </c>
      <c r="F20" s="280">
        <v>2.12</v>
      </c>
      <c r="G20" s="281">
        <v>1.0</v>
      </c>
    </row>
    <row r="21">
      <c r="A21" s="276">
        <v>4.0</v>
      </c>
      <c r="B21" s="276" t="s">
        <v>783</v>
      </c>
      <c r="C21" s="277" t="s">
        <v>593</v>
      </c>
      <c r="D21" s="278">
        <v>45909.0</v>
      </c>
      <c r="E21" s="279">
        <v>8.93</v>
      </c>
      <c r="F21" s="280">
        <v>2.26</v>
      </c>
      <c r="G21" s="281">
        <v>1.0</v>
      </c>
    </row>
    <row r="22">
      <c r="A22" s="276">
        <v>4.0</v>
      </c>
      <c r="B22" s="276" t="s">
        <v>784</v>
      </c>
      <c r="C22" s="277" t="s">
        <v>593</v>
      </c>
      <c r="D22" s="278">
        <v>45909.0</v>
      </c>
      <c r="E22" s="279">
        <v>7.93</v>
      </c>
      <c r="F22" s="280">
        <v>2.12</v>
      </c>
      <c r="G22" s="281">
        <v>1.0</v>
      </c>
    </row>
    <row r="23">
      <c r="A23" s="276">
        <v>4.0</v>
      </c>
      <c r="B23" s="276" t="s">
        <v>779</v>
      </c>
      <c r="C23" s="277" t="s">
        <v>593</v>
      </c>
      <c r="D23" s="278">
        <v>45910.0</v>
      </c>
      <c r="E23" s="279">
        <v>7.88</v>
      </c>
      <c r="F23" s="280">
        <v>2.11</v>
      </c>
      <c r="G23" s="281">
        <v>1.0</v>
      </c>
    </row>
    <row r="24">
      <c r="A24" s="276">
        <v>4.0</v>
      </c>
      <c r="B24" s="276" t="s">
        <v>780</v>
      </c>
      <c r="C24" s="277" t="s">
        <v>593</v>
      </c>
      <c r="D24" s="278">
        <v>45910.0</v>
      </c>
      <c r="E24" s="279">
        <v>7.88</v>
      </c>
      <c r="F24" s="280">
        <v>2.11</v>
      </c>
      <c r="G24" s="281">
        <v>1.0</v>
      </c>
    </row>
    <row r="25">
      <c r="A25" s="276">
        <v>4.0</v>
      </c>
      <c r="B25" s="276" t="s">
        <v>781</v>
      </c>
      <c r="C25" s="277" t="s">
        <v>593</v>
      </c>
      <c r="D25" s="278">
        <v>45910.0</v>
      </c>
      <c r="E25" s="279">
        <v>9.93</v>
      </c>
      <c r="F25" s="280">
        <v>2.4</v>
      </c>
      <c r="G25" s="281">
        <v>1.0</v>
      </c>
    </row>
    <row r="26">
      <c r="A26" s="264">
        <v>3.0</v>
      </c>
      <c r="B26" s="264" t="s">
        <v>776</v>
      </c>
      <c r="C26" s="265" t="s">
        <v>775</v>
      </c>
      <c r="D26" s="266">
        <v>45911.0</v>
      </c>
      <c r="E26" s="267">
        <v>5.0</v>
      </c>
      <c r="F26" s="268"/>
      <c r="G26" s="269">
        <v>1.0</v>
      </c>
    </row>
    <row r="27">
      <c r="A27" s="276">
        <v>4.0</v>
      </c>
      <c r="B27" s="276" t="s">
        <v>777</v>
      </c>
      <c r="C27" s="277" t="s">
        <v>593</v>
      </c>
      <c r="D27" s="278">
        <v>45911.0</v>
      </c>
      <c r="E27" s="279">
        <v>10.51</v>
      </c>
      <c r="F27" s="280">
        <v>2.49</v>
      </c>
      <c r="G27" s="281">
        <v>1.0</v>
      </c>
    </row>
    <row r="28">
      <c r="A28" s="276">
        <v>4.0</v>
      </c>
      <c r="B28" s="276" t="s">
        <v>778</v>
      </c>
      <c r="C28" s="277" t="s">
        <v>593</v>
      </c>
      <c r="D28" s="278">
        <v>45911.0</v>
      </c>
      <c r="E28" s="279">
        <v>10.51</v>
      </c>
      <c r="F28" s="280">
        <v>2.49</v>
      </c>
      <c r="G28" s="281">
        <v>1.0</v>
      </c>
    </row>
    <row r="29">
      <c r="A29" s="276">
        <v>4.0</v>
      </c>
      <c r="B29" s="276" t="s">
        <v>773</v>
      </c>
      <c r="C29" s="277" t="s">
        <v>593</v>
      </c>
      <c r="D29" s="278">
        <v>45913.0</v>
      </c>
      <c r="E29" s="279">
        <v>7.93</v>
      </c>
      <c r="F29" s="280">
        <v>2.12</v>
      </c>
      <c r="G29" s="281">
        <v>1.0</v>
      </c>
    </row>
    <row r="30">
      <c r="A30" s="276">
        <v>4.0</v>
      </c>
      <c r="B30" s="276" t="s">
        <v>774</v>
      </c>
      <c r="C30" s="277" t="s">
        <v>593</v>
      </c>
      <c r="D30" s="278">
        <v>45913.0</v>
      </c>
      <c r="E30" s="279">
        <v>4.93</v>
      </c>
      <c r="F30" s="280">
        <v>1.7</v>
      </c>
      <c r="G30" s="281">
        <v>1.0</v>
      </c>
    </row>
    <row r="31">
      <c r="A31" s="258">
        <v>1.0</v>
      </c>
      <c r="B31" s="258" t="s">
        <v>768</v>
      </c>
      <c r="C31" s="259" t="s">
        <v>22</v>
      </c>
      <c r="D31" s="260">
        <v>45914.0</v>
      </c>
      <c r="E31" s="261">
        <v>-16.56</v>
      </c>
      <c r="F31" s="262">
        <v>0.65</v>
      </c>
      <c r="G31" s="263">
        <v>1.0</v>
      </c>
    </row>
    <row r="32">
      <c r="A32" s="276">
        <v>4.0</v>
      </c>
      <c r="B32" s="276" t="s">
        <v>769</v>
      </c>
      <c r="C32" s="277" t="s">
        <v>593</v>
      </c>
      <c r="D32" s="278">
        <v>45914.0</v>
      </c>
      <c r="E32" s="279">
        <v>6.93</v>
      </c>
      <c r="F32" s="280">
        <v>1.98</v>
      </c>
      <c r="G32" s="281">
        <v>1.0</v>
      </c>
    </row>
    <row r="33">
      <c r="A33" s="276">
        <v>4.0</v>
      </c>
      <c r="B33" s="276" t="s">
        <v>770</v>
      </c>
      <c r="C33" s="277" t="s">
        <v>593</v>
      </c>
      <c r="D33" s="278">
        <v>45914.0</v>
      </c>
      <c r="E33" s="279">
        <v>5.93</v>
      </c>
      <c r="F33" s="280">
        <v>1.84</v>
      </c>
      <c r="G33" s="281">
        <v>1.0</v>
      </c>
    </row>
    <row r="34">
      <c r="A34" s="276">
        <v>4.0</v>
      </c>
      <c r="B34" s="276" t="s">
        <v>771</v>
      </c>
      <c r="C34" s="277" t="s">
        <v>593</v>
      </c>
      <c r="D34" s="278">
        <v>45914.0</v>
      </c>
      <c r="E34" s="279">
        <v>12.93</v>
      </c>
      <c r="F34" s="280">
        <v>2.83</v>
      </c>
      <c r="G34" s="281">
        <v>1.0</v>
      </c>
    </row>
    <row r="35">
      <c r="A35" s="276">
        <v>4.0</v>
      </c>
      <c r="B35" s="276" t="s">
        <v>772</v>
      </c>
      <c r="C35" s="277" t="s">
        <v>593</v>
      </c>
      <c r="D35" s="278">
        <v>45914.0</v>
      </c>
      <c r="E35" s="279">
        <v>6.93</v>
      </c>
      <c r="F35" s="280">
        <v>1.98</v>
      </c>
      <c r="G35" s="281">
        <v>1.0</v>
      </c>
    </row>
    <row r="36">
      <c r="A36" s="252" t="s">
        <v>808</v>
      </c>
      <c r="B36" s="253"/>
      <c r="C36" s="253"/>
      <c r="D36" s="254"/>
      <c r="E36" s="282">
        <v>105.52</v>
      </c>
      <c r="F36" s="283">
        <v>2.08</v>
      </c>
      <c r="G36" s="284">
        <v>16.0</v>
      </c>
    </row>
    <row r="37">
      <c r="A37" s="285"/>
      <c r="B37" s="285"/>
      <c r="C37" s="285"/>
      <c r="D37" s="286"/>
      <c r="E37" s="287"/>
      <c r="F37" s="288"/>
      <c r="G37" s="289"/>
    </row>
    <row r="38">
      <c r="A38" s="252" t="s">
        <v>809</v>
      </c>
      <c r="B38" s="253"/>
      <c r="C38" s="253"/>
      <c r="D38" s="254"/>
      <c r="E38" s="255"/>
      <c r="F38" s="256"/>
      <c r="G38" s="257"/>
    </row>
    <row r="39">
      <c r="A39" s="258">
        <v>1.0</v>
      </c>
      <c r="B39" s="258" t="s">
        <v>762</v>
      </c>
      <c r="C39" s="259" t="s">
        <v>22</v>
      </c>
      <c r="D39" s="260">
        <v>45915.0</v>
      </c>
      <c r="E39" s="261">
        <v>-2.56</v>
      </c>
      <c r="F39" s="262">
        <v>0.95</v>
      </c>
      <c r="G39" s="263">
        <v>1.0</v>
      </c>
    </row>
    <row r="40">
      <c r="A40" s="258">
        <v>1.0</v>
      </c>
      <c r="B40" s="258" t="s">
        <v>763</v>
      </c>
      <c r="C40" s="259" t="s">
        <v>22</v>
      </c>
      <c r="D40" s="260">
        <v>45915.0</v>
      </c>
      <c r="E40" s="261">
        <v>152.44</v>
      </c>
      <c r="F40" s="262">
        <v>4.2</v>
      </c>
      <c r="G40" s="263">
        <v>1.0</v>
      </c>
    </row>
    <row r="41">
      <c r="A41" s="276">
        <v>4.0</v>
      </c>
      <c r="B41" s="276" t="s">
        <v>764</v>
      </c>
      <c r="C41" s="277" t="s">
        <v>593</v>
      </c>
      <c r="D41" s="278">
        <v>45915.0</v>
      </c>
      <c r="E41" s="279">
        <v>6.93</v>
      </c>
      <c r="F41" s="280">
        <v>1.98</v>
      </c>
      <c r="G41" s="281">
        <v>1.0</v>
      </c>
    </row>
    <row r="42">
      <c r="A42" s="276">
        <v>4.0</v>
      </c>
      <c r="B42" s="276" t="s">
        <v>765</v>
      </c>
      <c r="C42" s="277" t="s">
        <v>593</v>
      </c>
      <c r="D42" s="278">
        <v>45915.0</v>
      </c>
      <c r="E42" s="279">
        <v>6.93</v>
      </c>
      <c r="F42" s="280">
        <v>1.98</v>
      </c>
      <c r="G42" s="281">
        <v>1.0</v>
      </c>
    </row>
    <row r="43">
      <c r="A43" s="276">
        <v>4.0</v>
      </c>
      <c r="B43" s="276" t="s">
        <v>766</v>
      </c>
      <c r="C43" s="277" t="s">
        <v>593</v>
      </c>
      <c r="D43" s="278">
        <v>45915.0</v>
      </c>
      <c r="E43" s="279">
        <v>11.93</v>
      </c>
      <c r="F43" s="280">
        <v>2.69</v>
      </c>
      <c r="G43" s="281">
        <v>1.0</v>
      </c>
    </row>
    <row r="44">
      <c r="A44" s="276">
        <v>4.0</v>
      </c>
      <c r="B44" s="276" t="s">
        <v>767</v>
      </c>
      <c r="C44" s="277" t="s">
        <v>593</v>
      </c>
      <c r="D44" s="278">
        <v>45915.0</v>
      </c>
      <c r="E44" s="279">
        <v>6.93</v>
      </c>
      <c r="F44" s="280">
        <v>1.98</v>
      </c>
      <c r="G44" s="281">
        <v>1.0</v>
      </c>
    </row>
    <row r="45">
      <c r="A45" s="276">
        <v>4.0</v>
      </c>
      <c r="B45" s="276" t="s">
        <v>761</v>
      </c>
      <c r="C45" s="277" t="s">
        <v>593</v>
      </c>
      <c r="D45" s="278">
        <v>45916.0</v>
      </c>
      <c r="E45" s="279">
        <v>6.93</v>
      </c>
      <c r="F45" s="280">
        <v>1.98</v>
      </c>
      <c r="G45" s="281">
        <v>1.0</v>
      </c>
    </row>
    <row r="46">
      <c r="A46" s="290">
        <v>5.0</v>
      </c>
      <c r="B46" s="290" t="s">
        <v>760</v>
      </c>
      <c r="C46" s="291" t="s">
        <v>759</v>
      </c>
      <c r="D46" s="292">
        <v>45917.0</v>
      </c>
      <c r="E46" s="293">
        <v>15.58</v>
      </c>
      <c r="F46" s="294">
        <v>11.97</v>
      </c>
      <c r="G46" s="295">
        <v>1.0</v>
      </c>
    </row>
    <row r="47">
      <c r="A47" s="290">
        <v>5.0</v>
      </c>
      <c r="B47" s="290" t="s">
        <v>758</v>
      </c>
      <c r="C47" s="291" t="s">
        <v>757</v>
      </c>
      <c r="D47" s="292">
        <v>45918.0</v>
      </c>
      <c r="E47" s="293">
        <v>20.58</v>
      </c>
      <c r="F47" s="294">
        <v>15.49</v>
      </c>
      <c r="G47" s="295">
        <v>1.0</v>
      </c>
    </row>
    <row r="48">
      <c r="A48" s="276">
        <v>4.0</v>
      </c>
      <c r="B48" s="276" t="s">
        <v>756</v>
      </c>
      <c r="C48" s="277" t="s">
        <v>593</v>
      </c>
      <c r="D48" s="278">
        <v>45920.0</v>
      </c>
      <c r="E48" s="279">
        <v>8.43</v>
      </c>
      <c r="F48" s="280">
        <v>2.19</v>
      </c>
      <c r="G48" s="281">
        <v>1.0</v>
      </c>
    </row>
    <row r="49">
      <c r="A49" s="290">
        <v>5.0</v>
      </c>
      <c r="B49" s="290" t="s">
        <v>755</v>
      </c>
      <c r="C49" s="291" t="s">
        <v>754</v>
      </c>
      <c r="D49" s="292">
        <v>45921.0</v>
      </c>
      <c r="E49" s="293">
        <v>4.58</v>
      </c>
      <c r="F49" s="294">
        <v>4.23</v>
      </c>
      <c r="G49" s="295">
        <v>1.0</v>
      </c>
    </row>
    <row r="50">
      <c r="A50" s="252" t="s">
        <v>810</v>
      </c>
      <c r="B50" s="253"/>
      <c r="C50" s="253"/>
      <c r="D50" s="254"/>
      <c r="E50" s="282">
        <v>238.7</v>
      </c>
      <c r="F50" s="283">
        <v>4.51</v>
      </c>
      <c r="G50" s="284">
        <v>11.0</v>
      </c>
    </row>
    <row r="51">
      <c r="A51" s="285"/>
      <c r="B51" s="285"/>
      <c r="C51" s="285"/>
      <c r="D51" s="286"/>
      <c r="E51" s="287"/>
      <c r="F51" s="288"/>
      <c r="G51" s="289"/>
    </row>
    <row r="52">
      <c r="A52" s="252" t="s">
        <v>811</v>
      </c>
      <c r="B52" s="253"/>
      <c r="C52" s="253"/>
      <c r="D52" s="254"/>
      <c r="E52" s="255"/>
      <c r="F52" s="256"/>
      <c r="G52" s="257"/>
    </row>
    <row r="53">
      <c r="A53" s="290">
        <v>5.0</v>
      </c>
      <c r="B53" s="290" t="s">
        <v>746</v>
      </c>
      <c r="C53" s="291" t="s">
        <v>745</v>
      </c>
      <c r="D53" s="292">
        <v>45922.0</v>
      </c>
      <c r="E53" s="293">
        <v>4.58</v>
      </c>
      <c r="F53" s="294">
        <v>4.23</v>
      </c>
      <c r="G53" s="295">
        <v>1.0</v>
      </c>
    </row>
    <row r="54">
      <c r="A54" s="290">
        <v>5.0</v>
      </c>
      <c r="B54" s="290" t="s">
        <v>748</v>
      </c>
      <c r="C54" s="291" t="s">
        <v>747</v>
      </c>
      <c r="D54" s="292">
        <v>45922.0</v>
      </c>
      <c r="E54" s="293">
        <v>4.58</v>
      </c>
      <c r="F54" s="294">
        <v>4.23</v>
      </c>
      <c r="G54" s="295">
        <v>1.0</v>
      </c>
    </row>
    <row r="55">
      <c r="A55" s="296">
        <v>6.0</v>
      </c>
      <c r="B55" s="296" t="s">
        <v>750</v>
      </c>
      <c r="C55" s="297" t="s">
        <v>749</v>
      </c>
      <c r="D55" s="298">
        <v>45922.0</v>
      </c>
      <c r="E55" s="299">
        <v>3.98</v>
      </c>
      <c r="F55" s="300">
        <v>3.8</v>
      </c>
      <c r="G55" s="301">
        <v>1.0</v>
      </c>
    </row>
    <row r="56">
      <c r="A56" s="276">
        <v>4.0</v>
      </c>
      <c r="B56" s="276" t="s">
        <v>751</v>
      </c>
      <c r="C56" s="277" t="s">
        <v>593</v>
      </c>
      <c r="D56" s="278">
        <v>45922.0</v>
      </c>
      <c r="E56" s="279">
        <v>6.43</v>
      </c>
      <c r="F56" s="280">
        <v>1.91</v>
      </c>
      <c r="G56" s="281">
        <v>1.0</v>
      </c>
    </row>
    <row r="57">
      <c r="A57" s="276">
        <v>4.0</v>
      </c>
      <c r="B57" s="276" t="s">
        <v>752</v>
      </c>
      <c r="C57" s="277" t="s">
        <v>593</v>
      </c>
      <c r="D57" s="278">
        <v>45922.0</v>
      </c>
      <c r="E57" s="279">
        <v>10.43</v>
      </c>
      <c r="F57" s="280">
        <v>2.47</v>
      </c>
      <c r="G57" s="281">
        <v>1.0</v>
      </c>
    </row>
    <row r="58">
      <c r="A58" s="276">
        <v>4.0</v>
      </c>
      <c r="B58" s="276" t="s">
        <v>753</v>
      </c>
      <c r="C58" s="277" t="s">
        <v>593</v>
      </c>
      <c r="D58" s="278">
        <v>45922.0</v>
      </c>
      <c r="E58" s="279">
        <v>6.43</v>
      </c>
      <c r="F58" s="280">
        <v>1.91</v>
      </c>
      <c r="G58" s="281">
        <v>1.0</v>
      </c>
    </row>
    <row r="59">
      <c r="A59" s="296">
        <v>6.0</v>
      </c>
      <c r="B59" s="296" t="s">
        <v>744</v>
      </c>
      <c r="C59" s="297" t="s">
        <v>743</v>
      </c>
      <c r="D59" s="298">
        <v>45923.0</v>
      </c>
      <c r="E59" s="299">
        <v>4.58</v>
      </c>
      <c r="F59" s="300">
        <v>4.23</v>
      </c>
      <c r="G59" s="301">
        <v>1.0</v>
      </c>
    </row>
    <row r="60">
      <c r="A60" s="258">
        <v>1.0</v>
      </c>
      <c r="B60" s="258" t="s">
        <v>736</v>
      </c>
      <c r="C60" s="259" t="s">
        <v>22</v>
      </c>
      <c r="D60" s="260">
        <v>45924.0</v>
      </c>
      <c r="E60" s="261">
        <v>-10.56</v>
      </c>
      <c r="F60" s="262">
        <v>0.78</v>
      </c>
      <c r="G60" s="263">
        <v>1.0</v>
      </c>
    </row>
    <row r="61">
      <c r="A61" s="296">
        <v>6.0</v>
      </c>
      <c r="B61" s="296" t="s">
        <v>738</v>
      </c>
      <c r="C61" s="297" t="s">
        <v>737</v>
      </c>
      <c r="D61" s="298">
        <v>45924.0</v>
      </c>
      <c r="E61" s="299">
        <v>2.58</v>
      </c>
      <c r="F61" s="300">
        <v>2.82</v>
      </c>
      <c r="G61" s="301">
        <v>1.0</v>
      </c>
    </row>
    <row r="62">
      <c r="A62" s="296">
        <v>6.0</v>
      </c>
      <c r="B62" s="296" t="s">
        <v>740</v>
      </c>
      <c r="C62" s="297" t="s">
        <v>739</v>
      </c>
      <c r="D62" s="298">
        <v>45924.0</v>
      </c>
      <c r="E62" s="299">
        <v>1.58</v>
      </c>
      <c r="F62" s="300">
        <v>2.11</v>
      </c>
      <c r="G62" s="301">
        <v>1.0</v>
      </c>
    </row>
    <row r="63">
      <c r="A63" s="276">
        <v>4.0</v>
      </c>
      <c r="B63" s="276" t="s">
        <v>741</v>
      </c>
      <c r="C63" s="277" t="s">
        <v>593</v>
      </c>
      <c r="D63" s="278">
        <v>45924.0</v>
      </c>
      <c r="E63" s="279">
        <v>7.93</v>
      </c>
      <c r="F63" s="280">
        <v>2.12</v>
      </c>
      <c r="G63" s="281">
        <v>1.0</v>
      </c>
    </row>
    <row r="64">
      <c r="A64" s="276">
        <v>7.0</v>
      </c>
      <c r="B64" s="276" t="s">
        <v>742</v>
      </c>
      <c r="C64" s="277" t="s">
        <v>505</v>
      </c>
      <c r="D64" s="278">
        <v>45924.0</v>
      </c>
      <c r="E64" s="279">
        <v>17.25</v>
      </c>
      <c r="F64" s="280">
        <v>4.63</v>
      </c>
      <c r="G64" s="281">
        <v>1.0</v>
      </c>
    </row>
    <row r="65">
      <c r="A65" s="276">
        <v>7.0</v>
      </c>
      <c r="B65" s="276" t="s">
        <v>735</v>
      </c>
      <c r="C65" s="277" t="s">
        <v>505</v>
      </c>
      <c r="D65" s="278">
        <v>45925.0</v>
      </c>
      <c r="E65" s="279">
        <v>13.25</v>
      </c>
      <c r="F65" s="280">
        <v>3.79</v>
      </c>
      <c r="G65" s="281">
        <v>1.0</v>
      </c>
    </row>
    <row r="66">
      <c r="A66" s="276">
        <v>4.0</v>
      </c>
      <c r="B66" s="276" t="s">
        <v>734</v>
      </c>
      <c r="C66" s="277" t="s">
        <v>593</v>
      </c>
      <c r="D66" s="278">
        <v>45926.0</v>
      </c>
      <c r="E66" s="279">
        <v>6.43</v>
      </c>
      <c r="F66" s="280">
        <v>1.91</v>
      </c>
      <c r="G66" s="281">
        <v>1.0</v>
      </c>
    </row>
    <row r="67">
      <c r="A67" s="258">
        <v>1.0</v>
      </c>
      <c r="B67" s="258" t="s">
        <v>726</v>
      </c>
      <c r="C67" s="259" t="s">
        <v>22</v>
      </c>
      <c r="D67" s="260">
        <v>45927.0</v>
      </c>
      <c r="E67" s="261">
        <v>-15.56</v>
      </c>
      <c r="F67" s="262">
        <v>0.67</v>
      </c>
      <c r="G67" s="263">
        <v>1.0</v>
      </c>
    </row>
    <row r="68">
      <c r="A68" s="276">
        <v>4.0</v>
      </c>
      <c r="B68" s="276" t="s">
        <v>727</v>
      </c>
      <c r="C68" s="277" t="s">
        <v>593</v>
      </c>
      <c r="D68" s="278">
        <v>45927.0</v>
      </c>
      <c r="E68" s="279">
        <v>5.33</v>
      </c>
      <c r="F68" s="280">
        <v>1.75</v>
      </c>
      <c r="G68" s="281">
        <v>1.0</v>
      </c>
    </row>
    <row r="69">
      <c r="A69" s="276">
        <v>4.0</v>
      </c>
      <c r="B69" s="276" t="s">
        <v>728</v>
      </c>
      <c r="C69" s="277" t="s">
        <v>593</v>
      </c>
      <c r="D69" s="278">
        <v>45927.0</v>
      </c>
      <c r="E69" s="279">
        <v>5.33</v>
      </c>
      <c r="F69" s="280">
        <v>1.75</v>
      </c>
      <c r="G69" s="281">
        <v>1.0</v>
      </c>
    </row>
    <row r="70">
      <c r="A70" s="276">
        <v>7.0</v>
      </c>
      <c r="B70" s="276" t="s">
        <v>729</v>
      </c>
      <c r="C70" s="277" t="s">
        <v>505</v>
      </c>
      <c r="D70" s="278">
        <v>45927.0</v>
      </c>
      <c r="E70" s="279">
        <v>12.05</v>
      </c>
      <c r="F70" s="280">
        <v>3.54</v>
      </c>
      <c r="G70" s="281">
        <v>1.0</v>
      </c>
    </row>
    <row r="71">
      <c r="A71" s="276">
        <v>7.0</v>
      </c>
      <c r="B71" s="276" t="s">
        <v>730</v>
      </c>
      <c r="C71" s="277" t="s">
        <v>505</v>
      </c>
      <c r="D71" s="278">
        <v>45927.0</v>
      </c>
      <c r="E71" s="279">
        <v>17.25</v>
      </c>
      <c r="F71" s="280">
        <v>4.63</v>
      </c>
      <c r="G71" s="281">
        <v>1.0</v>
      </c>
    </row>
    <row r="72">
      <c r="A72" s="276">
        <v>7.0</v>
      </c>
      <c r="B72" s="276" t="s">
        <v>731</v>
      </c>
      <c r="C72" s="277" t="s">
        <v>505</v>
      </c>
      <c r="D72" s="278">
        <v>45927.0</v>
      </c>
      <c r="E72" s="279">
        <v>4.25</v>
      </c>
      <c r="F72" s="280">
        <v>1.89</v>
      </c>
      <c r="G72" s="281">
        <v>1.0</v>
      </c>
    </row>
    <row r="73">
      <c r="A73" s="276">
        <v>7.0</v>
      </c>
      <c r="B73" s="276" t="s">
        <v>732</v>
      </c>
      <c r="C73" s="277" t="s">
        <v>505</v>
      </c>
      <c r="D73" s="278">
        <v>45927.0</v>
      </c>
      <c r="E73" s="279">
        <v>20.25</v>
      </c>
      <c r="F73" s="280">
        <v>5.26</v>
      </c>
      <c r="G73" s="281">
        <v>1.0</v>
      </c>
    </row>
    <row r="74">
      <c r="A74" s="276">
        <v>7.0</v>
      </c>
      <c r="B74" s="276" t="s">
        <v>733</v>
      </c>
      <c r="C74" s="277" t="s">
        <v>505</v>
      </c>
      <c r="D74" s="278">
        <v>45927.0</v>
      </c>
      <c r="E74" s="279">
        <v>13.25</v>
      </c>
      <c r="F74" s="280">
        <v>3.79</v>
      </c>
      <c r="G74" s="281">
        <v>1.0</v>
      </c>
    </row>
    <row r="75">
      <c r="A75" s="290">
        <v>5.0</v>
      </c>
      <c r="B75" s="290" t="s">
        <v>714</v>
      </c>
      <c r="C75" s="291" t="s">
        <v>713</v>
      </c>
      <c r="D75" s="292">
        <v>45928.0</v>
      </c>
      <c r="E75" s="293">
        <v>6.58</v>
      </c>
      <c r="F75" s="294">
        <v>5.63</v>
      </c>
      <c r="G75" s="295">
        <v>1.0</v>
      </c>
    </row>
    <row r="76">
      <c r="A76" s="296">
        <v>6.0</v>
      </c>
      <c r="B76" s="296" t="s">
        <v>716</v>
      </c>
      <c r="C76" s="297" t="s">
        <v>715</v>
      </c>
      <c r="D76" s="298">
        <v>45928.0</v>
      </c>
      <c r="E76" s="299">
        <v>7.58</v>
      </c>
      <c r="F76" s="300">
        <v>6.34</v>
      </c>
      <c r="G76" s="301">
        <v>1.0</v>
      </c>
    </row>
    <row r="77">
      <c r="A77" s="276">
        <v>4.0</v>
      </c>
      <c r="B77" s="276" t="s">
        <v>717</v>
      </c>
      <c r="C77" s="277" t="s">
        <v>593</v>
      </c>
      <c r="D77" s="278">
        <v>45928.0</v>
      </c>
      <c r="E77" s="279">
        <v>8.13</v>
      </c>
      <c r="F77" s="280">
        <v>2.15</v>
      </c>
      <c r="G77" s="281">
        <v>1.0</v>
      </c>
    </row>
    <row r="78">
      <c r="A78" s="276">
        <v>4.0</v>
      </c>
      <c r="B78" s="276" t="s">
        <v>718</v>
      </c>
      <c r="C78" s="277" t="s">
        <v>593</v>
      </c>
      <c r="D78" s="278">
        <v>45928.0</v>
      </c>
      <c r="E78" s="279">
        <v>6.43</v>
      </c>
      <c r="F78" s="280">
        <v>1.91</v>
      </c>
      <c r="G78" s="281">
        <v>1.0</v>
      </c>
    </row>
    <row r="79">
      <c r="A79" s="276">
        <v>4.0</v>
      </c>
      <c r="B79" s="276" t="s">
        <v>719</v>
      </c>
      <c r="C79" s="277" t="s">
        <v>593</v>
      </c>
      <c r="D79" s="278">
        <v>45928.0</v>
      </c>
      <c r="E79" s="279">
        <v>7.93</v>
      </c>
      <c r="F79" s="280">
        <v>2.12</v>
      </c>
      <c r="G79" s="281">
        <v>1.0</v>
      </c>
    </row>
    <row r="80">
      <c r="A80" s="276">
        <v>4.0</v>
      </c>
      <c r="B80" s="276" t="s">
        <v>720</v>
      </c>
      <c r="C80" s="277" t="s">
        <v>593</v>
      </c>
      <c r="D80" s="278">
        <v>45928.0</v>
      </c>
      <c r="E80" s="279">
        <v>8.13</v>
      </c>
      <c r="F80" s="280">
        <v>2.15</v>
      </c>
      <c r="G80" s="281">
        <v>1.0</v>
      </c>
    </row>
    <row r="81">
      <c r="A81" s="276">
        <v>4.0</v>
      </c>
      <c r="B81" s="276" t="s">
        <v>721</v>
      </c>
      <c r="C81" s="277" t="s">
        <v>593</v>
      </c>
      <c r="D81" s="278">
        <v>45928.0</v>
      </c>
      <c r="E81" s="279">
        <v>8.13</v>
      </c>
      <c r="F81" s="280">
        <v>2.15</v>
      </c>
      <c r="G81" s="281">
        <v>1.0</v>
      </c>
    </row>
    <row r="82">
      <c r="A82" s="276">
        <v>7.0</v>
      </c>
      <c r="B82" s="276" t="s">
        <v>722</v>
      </c>
      <c r="C82" s="277" t="s">
        <v>505</v>
      </c>
      <c r="D82" s="278">
        <v>45928.0</v>
      </c>
      <c r="E82" s="279">
        <v>15.25</v>
      </c>
      <c r="F82" s="280">
        <v>4.21</v>
      </c>
      <c r="G82" s="281">
        <v>1.0</v>
      </c>
    </row>
    <row r="83">
      <c r="A83" s="276">
        <v>7.0</v>
      </c>
      <c r="B83" s="276" t="s">
        <v>723</v>
      </c>
      <c r="C83" s="277" t="s">
        <v>505</v>
      </c>
      <c r="D83" s="278">
        <v>45928.0</v>
      </c>
      <c r="E83" s="279">
        <v>20.25</v>
      </c>
      <c r="F83" s="280">
        <v>5.26</v>
      </c>
      <c r="G83" s="281">
        <v>1.0</v>
      </c>
    </row>
    <row r="84">
      <c r="A84" s="276">
        <v>7.0</v>
      </c>
      <c r="B84" s="276" t="s">
        <v>724</v>
      </c>
      <c r="C84" s="277" t="s">
        <v>505</v>
      </c>
      <c r="D84" s="278">
        <v>45928.0</v>
      </c>
      <c r="E84" s="279">
        <v>12.25</v>
      </c>
      <c r="F84" s="280">
        <v>3.58</v>
      </c>
      <c r="G84" s="281">
        <v>1.0</v>
      </c>
    </row>
    <row r="85">
      <c r="A85" s="276">
        <v>7.0</v>
      </c>
      <c r="B85" s="276" t="s">
        <v>725</v>
      </c>
      <c r="C85" s="277" t="s">
        <v>505</v>
      </c>
      <c r="D85" s="278">
        <v>45928.0</v>
      </c>
      <c r="E85" s="279">
        <v>15.25</v>
      </c>
      <c r="F85" s="280">
        <v>4.21</v>
      </c>
      <c r="G85" s="281">
        <v>1.0</v>
      </c>
    </row>
    <row r="86">
      <c r="A86" s="252" t="s">
        <v>812</v>
      </c>
      <c r="B86" s="253"/>
      <c r="C86" s="253"/>
      <c r="D86" s="254"/>
      <c r="E86" s="282">
        <v>257.53</v>
      </c>
      <c r="F86" s="283">
        <v>3.15</v>
      </c>
      <c r="G86" s="284">
        <v>33.0</v>
      </c>
    </row>
    <row r="87">
      <c r="A87" s="285"/>
      <c r="B87" s="285"/>
      <c r="C87" s="285"/>
      <c r="D87" s="286"/>
      <c r="E87" s="287"/>
      <c r="F87" s="288"/>
      <c r="G87" s="289"/>
    </row>
    <row r="88">
      <c r="A88" s="252" t="s">
        <v>813</v>
      </c>
      <c r="B88" s="253"/>
      <c r="C88" s="253"/>
      <c r="D88" s="254"/>
      <c r="E88" s="255"/>
      <c r="F88" s="256"/>
      <c r="G88" s="257"/>
    </row>
    <row r="89">
      <c r="A89" s="276">
        <v>4.0</v>
      </c>
      <c r="B89" s="276" t="s">
        <v>707</v>
      </c>
      <c r="C89" s="277" t="s">
        <v>593</v>
      </c>
      <c r="D89" s="278">
        <v>45929.0</v>
      </c>
      <c r="E89" s="279">
        <v>5.43</v>
      </c>
      <c r="F89" s="280">
        <v>1.77</v>
      </c>
      <c r="G89" s="281">
        <v>1.0</v>
      </c>
    </row>
    <row r="90">
      <c r="A90" s="276">
        <v>4.0</v>
      </c>
      <c r="B90" s="276" t="s">
        <v>708</v>
      </c>
      <c r="C90" s="277" t="s">
        <v>593</v>
      </c>
      <c r="D90" s="278">
        <v>45929.0</v>
      </c>
      <c r="E90" s="279">
        <v>5.43</v>
      </c>
      <c r="F90" s="280">
        <v>1.77</v>
      </c>
      <c r="G90" s="281">
        <v>1.0</v>
      </c>
    </row>
    <row r="91">
      <c r="A91" s="276">
        <v>7.0</v>
      </c>
      <c r="B91" s="276" t="s">
        <v>709</v>
      </c>
      <c r="C91" s="277" t="s">
        <v>505</v>
      </c>
      <c r="D91" s="278">
        <v>45929.0</v>
      </c>
      <c r="E91" s="279">
        <v>10.25</v>
      </c>
      <c r="F91" s="280">
        <v>3.16</v>
      </c>
      <c r="G91" s="281">
        <v>1.0</v>
      </c>
    </row>
    <row r="92">
      <c r="A92" s="276">
        <v>7.0</v>
      </c>
      <c r="B92" s="276" t="s">
        <v>710</v>
      </c>
      <c r="C92" s="277" t="s">
        <v>505</v>
      </c>
      <c r="D92" s="278">
        <v>45929.0</v>
      </c>
      <c r="E92" s="279">
        <v>19.25</v>
      </c>
      <c r="F92" s="280">
        <v>5.05</v>
      </c>
      <c r="G92" s="281">
        <v>1.0</v>
      </c>
    </row>
    <row r="93">
      <c r="A93" s="276">
        <v>7.0</v>
      </c>
      <c r="B93" s="276" t="s">
        <v>711</v>
      </c>
      <c r="C93" s="277" t="s">
        <v>505</v>
      </c>
      <c r="D93" s="278">
        <v>45929.0</v>
      </c>
      <c r="E93" s="279">
        <v>14.25</v>
      </c>
      <c r="F93" s="280">
        <v>4.0</v>
      </c>
      <c r="G93" s="281">
        <v>1.0</v>
      </c>
    </row>
    <row r="94">
      <c r="A94" s="276">
        <v>7.0</v>
      </c>
      <c r="B94" s="276" t="s">
        <v>712</v>
      </c>
      <c r="C94" s="277" t="s">
        <v>505</v>
      </c>
      <c r="D94" s="278">
        <v>45929.0</v>
      </c>
      <c r="E94" s="279">
        <v>18.25</v>
      </c>
      <c r="F94" s="280">
        <v>4.84</v>
      </c>
      <c r="G94" s="281">
        <v>1.0</v>
      </c>
    </row>
    <row r="95">
      <c r="A95" s="276">
        <v>7.0</v>
      </c>
      <c r="B95" s="276" t="s">
        <v>706</v>
      </c>
      <c r="C95" s="277" t="s">
        <v>505</v>
      </c>
      <c r="D95" s="278">
        <v>45930.0</v>
      </c>
      <c r="E95" s="279">
        <v>35.25</v>
      </c>
      <c r="F95" s="280">
        <v>8.42</v>
      </c>
      <c r="G95" s="281">
        <v>1.0</v>
      </c>
    </row>
    <row r="96">
      <c r="A96" s="252" t="s">
        <v>814</v>
      </c>
      <c r="B96" s="253"/>
      <c r="C96" s="253"/>
      <c r="D96" s="254"/>
      <c r="E96" s="282">
        <v>108.11</v>
      </c>
      <c r="F96" s="283">
        <v>4.14</v>
      </c>
      <c r="G96" s="284">
        <v>7.0</v>
      </c>
    </row>
    <row r="97">
      <c r="A97" s="285"/>
      <c r="B97" s="285"/>
      <c r="C97" s="285"/>
      <c r="D97" s="286"/>
      <c r="E97" s="287"/>
      <c r="F97" s="288"/>
      <c r="G97" s="289"/>
    </row>
    <row r="98">
      <c r="A98" s="302" t="s">
        <v>815</v>
      </c>
      <c r="B98" s="303"/>
      <c r="C98" s="303"/>
      <c r="D98" s="304"/>
      <c r="E98" s="305">
        <v>813.73</v>
      </c>
      <c r="F98" s="306">
        <v>3.0</v>
      </c>
      <c r="G98" s="307">
        <v>81.0</v>
      </c>
    </row>
    <row r="99">
      <c r="D99" s="308"/>
      <c r="E99" s="309"/>
      <c r="F99" s="310"/>
      <c r="G99" s="311"/>
    </row>
    <row r="100">
      <c r="D100" s="308"/>
      <c r="E100" s="309"/>
      <c r="F100" s="310"/>
      <c r="G100" s="311"/>
    </row>
    <row r="101">
      <c r="D101" s="308"/>
      <c r="E101" s="309"/>
      <c r="F101" s="310"/>
      <c r="G101" s="311"/>
    </row>
    <row r="102">
      <c r="D102" s="308"/>
      <c r="E102" s="309"/>
      <c r="F102" s="310"/>
      <c r="G102" s="311"/>
    </row>
    <row r="103">
      <c r="D103" s="308"/>
      <c r="E103" s="309"/>
      <c r="F103" s="310"/>
      <c r="G103" s="311"/>
    </row>
    <row r="104">
      <c r="D104" s="308"/>
      <c r="E104" s="309"/>
      <c r="F104" s="310"/>
      <c r="G104" s="311"/>
    </row>
    <row r="105">
      <c r="D105" s="308"/>
      <c r="E105" s="309"/>
      <c r="F105" s="310"/>
      <c r="G105" s="311"/>
    </row>
    <row r="106">
      <c r="D106" s="308"/>
      <c r="E106" s="309"/>
      <c r="F106" s="310"/>
      <c r="G106" s="311"/>
    </row>
    <row r="107">
      <c r="D107" s="308"/>
      <c r="E107" s="309"/>
      <c r="F107" s="310"/>
      <c r="G107" s="311"/>
    </row>
    <row r="108">
      <c r="D108" s="308"/>
      <c r="E108" s="309"/>
      <c r="F108" s="310"/>
      <c r="G108" s="311"/>
    </row>
    <row r="109">
      <c r="D109" s="308"/>
      <c r="E109" s="309"/>
      <c r="F109" s="310"/>
      <c r="G109" s="311"/>
    </row>
    <row r="110">
      <c r="D110" s="308"/>
      <c r="E110" s="309"/>
      <c r="F110" s="310"/>
      <c r="G110" s="311"/>
    </row>
    <row r="111">
      <c r="D111" s="308"/>
      <c r="E111" s="309"/>
      <c r="F111" s="310"/>
      <c r="G111" s="311"/>
    </row>
    <row r="112">
      <c r="D112" s="308"/>
      <c r="E112" s="309"/>
      <c r="F112" s="310"/>
      <c r="G112" s="311"/>
    </row>
    <row r="113">
      <c r="D113" s="308"/>
      <c r="E113" s="309"/>
      <c r="F113" s="310"/>
      <c r="G113" s="311"/>
    </row>
    <row r="114">
      <c r="D114" s="308"/>
      <c r="E114" s="309"/>
      <c r="F114" s="310"/>
      <c r="G114" s="311"/>
    </row>
    <row r="115">
      <c r="D115" s="308"/>
      <c r="E115" s="309"/>
      <c r="F115" s="310"/>
      <c r="G115" s="311"/>
    </row>
    <row r="116">
      <c r="D116" s="308"/>
      <c r="E116" s="309"/>
      <c r="F116" s="310"/>
      <c r="G116" s="311"/>
    </row>
    <row r="117">
      <c r="D117" s="308"/>
      <c r="E117" s="309"/>
      <c r="F117" s="310"/>
      <c r="G117" s="311"/>
    </row>
    <row r="118">
      <c r="D118" s="308"/>
      <c r="E118" s="309"/>
      <c r="F118" s="310"/>
      <c r="G118" s="311"/>
    </row>
    <row r="119">
      <c r="D119" s="308"/>
      <c r="E119" s="309"/>
      <c r="F119" s="310"/>
      <c r="G119" s="311"/>
    </row>
    <row r="120">
      <c r="D120" s="308"/>
      <c r="E120" s="309"/>
      <c r="F120" s="310"/>
      <c r="G120" s="311"/>
    </row>
    <row r="121">
      <c r="D121" s="308"/>
      <c r="E121" s="309"/>
      <c r="F121" s="310"/>
      <c r="G121" s="311"/>
    </row>
    <row r="122">
      <c r="D122" s="308"/>
      <c r="E122" s="309"/>
      <c r="F122" s="310"/>
      <c r="G122" s="311"/>
    </row>
    <row r="123">
      <c r="D123" s="308"/>
      <c r="E123" s="309"/>
      <c r="F123" s="310"/>
      <c r="G123" s="311"/>
    </row>
    <row r="124">
      <c r="D124" s="308"/>
      <c r="E124" s="309"/>
      <c r="F124" s="310"/>
      <c r="G124" s="311"/>
    </row>
    <row r="125">
      <c r="D125" s="308"/>
      <c r="E125" s="309"/>
      <c r="F125" s="310"/>
      <c r="G125" s="311"/>
    </row>
    <row r="126">
      <c r="D126" s="308"/>
      <c r="E126" s="309"/>
      <c r="F126" s="310"/>
      <c r="G126" s="311"/>
    </row>
    <row r="127">
      <c r="D127" s="308"/>
      <c r="E127" s="309"/>
      <c r="F127" s="310"/>
      <c r="G127" s="311"/>
    </row>
    <row r="128">
      <c r="D128" s="308"/>
      <c r="E128" s="309"/>
      <c r="F128" s="310"/>
      <c r="G128" s="311"/>
    </row>
    <row r="129">
      <c r="D129" s="308"/>
      <c r="E129" s="309"/>
      <c r="F129" s="310"/>
      <c r="G129" s="311"/>
    </row>
    <row r="130">
      <c r="D130" s="308"/>
      <c r="E130" s="309"/>
      <c r="F130" s="310"/>
      <c r="G130" s="311"/>
    </row>
    <row r="131">
      <c r="D131" s="308"/>
      <c r="E131" s="309"/>
      <c r="F131" s="310"/>
      <c r="G131" s="311"/>
    </row>
    <row r="132">
      <c r="D132" s="308"/>
      <c r="E132" s="309"/>
      <c r="F132" s="310"/>
      <c r="G132" s="311"/>
    </row>
    <row r="133">
      <c r="D133" s="308"/>
      <c r="E133" s="309"/>
      <c r="F133" s="310"/>
      <c r="G133" s="311"/>
    </row>
    <row r="134">
      <c r="D134" s="308"/>
      <c r="E134" s="309"/>
      <c r="F134" s="310"/>
      <c r="G134" s="311"/>
    </row>
    <row r="135">
      <c r="D135" s="308"/>
      <c r="E135" s="309"/>
      <c r="F135" s="310"/>
      <c r="G135" s="311"/>
    </row>
    <row r="136">
      <c r="D136" s="308"/>
      <c r="E136" s="309"/>
      <c r="F136" s="310"/>
      <c r="G136" s="311"/>
    </row>
    <row r="137">
      <c r="D137" s="308"/>
      <c r="E137" s="309"/>
      <c r="F137" s="310"/>
      <c r="G137" s="311"/>
    </row>
    <row r="138">
      <c r="D138" s="308"/>
      <c r="E138" s="309"/>
      <c r="F138" s="310"/>
      <c r="G138" s="311"/>
    </row>
    <row r="139">
      <c r="D139" s="308"/>
      <c r="E139" s="309"/>
      <c r="F139" s="310"/>
      <c r="G139" s="311"/>
    </row>
    <row r="140">
      <c r="D140" s="308"/>
      <c r="E140" s="309"/>
      <c r="F140" s="310"/>
      <c r="G140" s="311"/>
    </row>
    <row r="141">
      <c r="D141" s="308"/>
      <c r="E141" s="309"/>
      <c r="F141" s="310"/>
      <c r="G141" s="311"/>
    </row>
    <row r="142">
      <c r="D142" s="308"/>
      <c r="E142" s="309"/>
      <c r="F142" s="310"/>
      <c r="G142" s="311"/>
    </row>
    <row r="143">
      <c r="D143" s="308"/>
      <c r="E143" s="309"/>
      <c r="F143" s="310"/>
      <c r="G143" s="311"/>
    </row>
    <row r="144">
      <c r="D144" s="308"/>
      <c r="E144" s="309"/>
      <c r="F144" s="310"/>
      <c r="G144" s="311"/>
    </row>
    <row r="145">
      <c r="D145" s="308"/>
      <c r="E145" s="309"/>
      <c r="F145" s="310"/>
      <c r="G145" s="311"/>
    </row>
    <row r="146">
      <c r="D146" s="308"/>
      <c r="E146" s="309"/>
      <c r="F146" s="310"/>
      <c r="G146" s="311"/>
    </row>
    <row r="147">
      <c r="D147" s="308"/>
      <c r="E147" s="309"/>
      <c r="F147" s="310"/>
      <c r="G147" s="311"/>
    </row>
    <row r="148">
      <c r="D148" s="308"/>
      <c r="E148" s="309"/>
      <c r="F148" s="310"/>
      <c r="G148" s="311"/>
    </row>
    <row r="149">
      <c r="D149" s="308"/>
      <c r="E149" s="309"/>
      <c r="F149" s="310"/>
      <c r="G149" s="311"/>
    </row>
    <row r="150">
      <c r="D150" s="308"/>
      <c r="E150" s="309"/>
      <c r="F150" s="310"/>
      <c r="G150" s="311"/>
    </row>
    <row r="151">
      <c r="D151" s="308"/>
      <c r="E151" s="309"/>
      <c r="F151" s="310"/>
      <c r="G151" s="311"/>
    </row>
    <row r="152">
      <c r="D152" s="308"/>
      <c r="E152" s="309"/>
      <c r="F152" s="310"/>
      <c r="G152" s="311"/>
    </row>
    <row r="153">
      <c r="D153" s="308"/>
      <c r="E153" s="309"/>
      <c r="F153" s="310"/>
      <c r="G153" s="311"/>
    </row>
    <row r="154">
      <c r="D154" s="308"/>
      <c r="E154" s="309"/>
      <c r="F154" s="310"/>
      <c r="G154" s="311"/>
    </row>
    <row r="155">
      <c r="D155" s="308"/>
      <c r="E155" s="309"/>
      <c r="F155" s="310"/>
      <c r="G155" s="311"/>
    </row>
    <row r="156">
      <c r="D156" s="308"/>
      <c r="E156" s="309"/>
      <c r="F156" s="310"/>
      <c r="G156" s="311"/>
    </row>
    <row r="157">
      <c r="D157" s="308"/>
      <c r="E157" s="309"/>
      <c r="F157" s="310"/>
      <c r="G157" s="311"/>
    </row>
    <row r="158">
      <c r="D158" s="308"/>
      <c r="E158" s="309"/>
      <c r="F158" s="310"/>
      <c r="G158" s="311"/>
    </row>
    <row r="159">
      <c r="D159" s="308"/>
      <c r="E159" s="309"/>
      <c r="F159" s="310"/>
      <c r="G159" s="311"/>
    </row>
    <row r="160">
      <c r="D160" s="308"/>
      <c r="E160" s="309"/>
      <c r="F160" s="310"/>
      <c r="G160" s="311"/>
    </row>
    <row r="161">
      <c r="D161" s="308"/>
      <c r="E161" s="309"/>
      <c r="F161" s="310"/>
      <c r="G161" s="311"/>
    </row>
    <row r="162">
      <c r="D162" s="308"/>
      <c r="E162" s="309"/>
      <c r="F162" s="310"/>
      <c r="G162" s="311"/>
    </row>
    <row r="163">
      <c r="D163" s="308"/>
      <c r="E163" s="309"/>
      <c r="F163" s="310"/>
      <c r="G163" s="311"/>
    </row>
    <row r="164">
      <c r="D164" s="308"/>
      <c r="E164" s="309"/>
      <c r="F164" s="310"/>
      <c r="G164" s="311"/>
    </row>
    <row r="165">
      <c r="D165" s="308"/>
      <c r="E165" s="309"/>
      <c r="F165" s="310"/>
      <c r="G165" s="311"/>
    </row>
    <row r="166">
      <c r="D166" s="308"/>
      <c r="E166" s="309"/>
      <c r="F166" s="310"/>
      <c r="G166" s="311"/>
    </row>
    <row r="167">
      <c r="D167" s="308"/>
      <c r="E167" s="309"/>
      <c r="F167" s="310"/>
      <c r="G167" s="311"/>
    </row>
    <row r="168">
      <c r="D168" s="308"/>
      <c r="E168" s="309"/>
      <c r="F168" s="310"/>
      <c r="G168" s="311"/>
    </row>
    <row r="169">
      <c r="D169" s="308"/>
      <c r="E169" s="309"/>
      <c r="F169" s="310"/>
      <c r="G169" s="311"/>
    </row>
    <row r="170">
      <c r="D170" s="308"/>
      <c r="E170" s="309"/>
      <c r="F170" s="310"/>
      <c r="G170" s="311"/>
    </row>
    <row r="171">
      <c r="D171" s="308"/>
      <c r="E171" s="309"/>
      <c r="F171" s="310"/>
      <c r="G171" s="311"/>
    </row>
    <row r="172">
      <c r="D172" s="308"/>
      <c r="E172" s="309"/>
      <c r="F172" s="310"/>
      <c r="G172" s="311"/>
    </row>
    <row r="173">
      <c r="D173" s="308"/>
      <c r="E173" s="309"/>
      <c r="F173" s="310"/>
      <c r="G173" s="311"/>
    </row>
    <row r="174">
      <c r="D174" s="308"/>
      <c r="E174" s="309"/>
      <c r="F174" s="310"/>
      <c r="G174" s="311"/>
    </row>
    <row r="175">
      <c r="D175" s="308"/>
      <c r="E175" s="309"/>
      <c r="F175" s="310"/>
      <c r="G175" s="311"/>
    </row>
    <row r="176">
      <c r="D176" s="308"/>
      <c r="E176" s="309"/>
      <c r="F176" s="310"/>
      <c r="G176" s="311"/>
    </row>
    <row r="177">
      <c r="D177" s="308"/>
      <c r="E177" s="309"/>
      <c r="F177" s="310"/>
      <c r="G177" s="311"/>
    </row>
    <row r="178">
      <c r="D178" s="308"/>
      <c r="E178" s="309"/>
      <c r="F178" s="310"/>
      <c r="G178" s="311"/>
    </row>
    <row r="179">
      <c r="D179" s="308"/>
      <c r="E179" s="309"/>
      <c r="F179" s="310"/>
      <c r="G179" s="311"/>
    </row>
    <row r="180">
      <c r="D180" s="308"/>
      <c r="E180" s="309"/>
      <c r="F180" s="310"/>
      <c r="G180" s="311"/>
    </row>
    <row r="181">
      <c r="D181" s="308"/>
      <c r="E181" s="309"/>
      <c r="F181" s="310"/>
      <c r="G181" s="311"/>
    </row>
    <row r="182">
      <c r="D182" s="308"/>
      <c r="E182" s="309"/>
      <c r="F182" s="310"/>
      <c r="G182" s="311"/>
    </row>
    <row r="183">
      <c r="D183" s="308"/>
      <c r="E183" s="309"/>
      <c r="F183" s="310"/>
      <c r="G183" s="311"/>
    </row>
    <row r="184">
      <c r="D184" s="308"/>
      <c r="E184" s="309"/>
      <c r="F184" s="310"/>
      <c r="G184" s="311"/>
    </row>
    <row r="185">
      <c r="D185" s="308"/>
      <c r="E185" s="309"/>
      <c r="F185" s="310"/>
      <c r="G185" s="311"/>
    </row>
    <row r="186">
      <c r="D186" s="308"/>
      <c r="E186" s="309"/>
      <c r="F186" s="310"/>
      <c r="G186" s="311"/>
    </row>
    <row r="187">
      <c r="D187" s="308"/>
      <c r="E187" s="309"/>
      <c r="F187" s="310"/>
      <c r="G187" s="311"/>
    </row>
    <row r="188">
      <c r="D188" s="308"/>
      <c r="E188" s="309"/>
      <c r="F188" s="310"/>
      <c r="G188" s="311"/>
    </row>
    <row r="189">
      <c r="D189" s="308"/>
      <c r="E189" s="309"/>
      <c r="F189" s="310"/>
      <c r="G189" s="311"/>
    </row>
    <row r="190">
      <c r="D190" s="308"/>
      <c r="E190" s="309"/>
      <c r="F190" s="310"/>
      <c r="G190" s="311"/>
    </row>
    <row r="191">
      <c r="D191" s="308"/>
      <c r="E191" s="309"/>
      <c r="F191" s="310"/>
      <c r="G191" s="311"/>
    </row>
    <row r="192">
      <c r="D192" s="308"/>
      <c r="E192" s="309"/>
      <c r="F192" s="310"/>
      <c r="G192" s="311"/>
    </row>
    <row r="193">
      <c r="D193" s="308"/>
      <c r="E193" s="309"/>
      <c r="F193" s="310"/>
      <c r="G193" s="311"/>
    </row>
    <row r="194">
      <c r="D194" s="308"/>
      <c r="E194" s="309"/>
      <c r="F194" s="310"/>
      <c r="G194" s="311"/>
    </row>
    <row r="195">
      <c r="D195" s="308"/>
      <c r="E195" s="309"/>
      <c r="F195" s="310"/>
      <c r="G195" s="311"/>
    </row>
    <row r="196">
      <c r="D196" s="308"/>
      <c r="E196" s="309"/>
      <c r="F196" s="310"/>
      <c r="G196" s="311"/>
    </row>
    <row r="197">
      <c r="D197" s="308"/>
      <c r="E197" s="309"/>
      <c r="F197" s="310"/>
      <c r="G197" s="311"/>
    </row>
    <row r="198">
      <c r="D198" s="308"/>
      <c r="E198" s="309"/>
      <c r="F198" s="310"/>
      <c r="G198" s="311"/>
    </row>
    <row r="199">
      <c r="D199" s="308"/>
      <c r="E199" s="309"/>
      <c r="F199" s="310"/>
      <c r="G199" s="311"/>
    </row>
    <row r="200">
      <c r="D200" s="308"/>
      <c r="E200" s="309"/>
      <c r="F200" s="310"/>
      <c r="G200" s="311"/>
    </row>
    <row r="201">
      <c r="D201" s="308"/>
      <c r="E201" s="309"/>
      <c r="F201" s="310"/>
      <c r="G201" s="311"/>
    </row>
    <row r="202">
      <c r="D202" s="308"/>
      <c r="E202" s="309"/>
      <c r="F202" s="310"/>
      <c r="G202" s="311"/>
    </row>
    <row r="203">
      <c r="D203" s="308"/>
      <c r="E203" s="309"/>
      <c r="F203" s="310"/>
      <c r="G203" s="311"/>
    </row>
    <row r="204">
      <c r="D204" s="308"/>
      <c r="E204" s="309"/>
      <c r="F204" s="310"/>
      <c r="G204" s="311"/>
    </row>
    <row r="205">
      <c r="D205" s="308"/>
      <c r="E205" s="309"/>
      <c r="F205" s="310"/>
      <c r="G205" s="311"/>
    </row>
    <row r="206">
      <c r="D206" s="308"/>
      <c r="E206" s="309"/>
      <c r="F206" s="310"/>
      <c r="G206" s="311"/>
    </row>
    <row r="207">
      <c r="D207" s="308"/>
      <c r="E207" s="309"/>
      <c r="F207" s="310"/>
      <c r="G207" s="311"/>
    </row>
    <row r="208">
      <c r="D208" s="308"/>
      <c r="E208" s="309"/>
      <c r="F208" s="310"/>
      <c r="G208" s="311"/>
    </row>
    <row r="209">
      <c r="D209" s="308"/>
      <c r="E209" s="309"/>
      <c r="F209" s="310"/>
      <c r="G209" s="311"/>
    </row>
    <row r="210">
      <c r="D210" s="308"/>
      <c r="E210" s="309"/>
      <c r="F210" s="310"/>
      <c r="G210" s="311"/>
    </row>
    <row r="211">
      <c r="D211" s="308"/>
      <c r="E211" s="309"/>
      <c r="F211" s="310"/>
      <c r="G211" s="311"/>
    </row>
    <row r="212">
      <c r="D212" s="308"/>
      <c r="E212" s="309"/>
      <c r="F212" s="310"/>
      <c r="G212" s="311"/>
    </row>
    <row r="213">
      <c r="D213" s="308"/>
      <c r="E213" s="309"/>
      <c r="F213" s="310"/>
      <c r="G213" s="311"/>
    </row>
    <row r="214">
      <c r="D214" s="308"/>
      <c r="E214" s="309"/>
      <c r="F214" s="310"/>
      <c r="G214" s="311"/>
    </row>
    <row r="215">
      <c r="D215" s="308"/>
      <c r="E215" s="309"/>
      <c r="F215" s="310"/>
      <c r="G215" s="311"/>
    </row>
    <row r="216">
      <c r="D216" s="308"/>
      <c r="E216" s="309"/>
      <c r="F216" s="310"/>
      <c r="G216" s="311"/>
    </row>
    <row r="217">
      <c r="D217" s="308"/>
      <c r="E217" s="309"/>
      <c r="F217" s="310"/>
      <c r="G217" s="311"/>
    </row>
    <row r="218">
      <c r="D218" s="308"/>
      <c r="E218" s="309"/>
      <c r="F218" s="310"/>
      <c r="G218" s="311"/>
    </row>
    <row r="219">
      <c r="D219" s="308"/>
      <c r="E219" s="309"/>
      <c r="F219" s="310"/>
      <c r="G219" s="311"/>
    </row>
    <row r="220">
      <c r="D220" s="308"/>
      <c r="E220" s="309"/>
      <c r="F220" s="310"/>
      <c r="G220" s="311"/>
    </row>
    <row r="221">
      <c r="D221" s="308"/>
      <c r="E221" s="309"/>
      <c r="F221" s="310"/>
      <c r="G221" s="311"/>
    </row>
    <row r="222">
      <c r="D222" s="308"/>
      <c r="E222" s="309"/>
      <c r="F222" s="310"/>
      <c r="G222" s="311"/>
    </row>
    <row r="223">
      <c r="D223" s="308"/>
      <c r="E223" s="309"/>
      <c r="F223" s="310"/>
      <c r="G223" s="311"/>
    </row>
    <row r="224">
      <c r="D224" s="308"/>
      <c r="E224" s="309"/>
      <c r="F224" s="310"/>
      <c r="G224" s="311"/>
    </row>
    <row r="225">
      <c r="D225" s="308"/>
      <c r="E225" s="309"/>
      <c r="F225" s="310"/>
      <c r="G225" s="311"/>
    </row>
    <row r="226">
      <c r="D226" s="308"/>
      <c r="E226" s="309"/>
      <c r="F226" s="310"/>
      <c r="G226" s="311"/>
    </row>
    <row r="227">
      <c r="D227" s="308"/>
      <c r="E227" s="309"/>
      <c r="F227" s="310"/>
      <c r="G227" s="311"/>
    </row>
    <row r="228">
      <c r="D228" s="308"/>
      <c r="E228" s="309"/>
      <c r="F228" s="310"/>
      <c r="G228" s="311"/>
    </row>
    <row r="229">
      <c r="D229" s="308"/>
      <c r="E229" s="309"/>
      <c r="F229" s="310"/>
      <c r="G229" s="311"/>
    </row>
    <row r="230">
      <c r="D230" s="308"/>
      <c r="E230" s="309"/>
      <c r="F230" s="310"/>
      <c r="G230" s="311"/>
    </row>
    <row r="231">
      <c r="D231" s="308"/>
      <c r="E231" s="309"/>
      <c r="F231" s="310"/>
      <c r="G231" s="311"/>
    </row>
    <row r="232">
      <c r="D232" s="308"/>
      <c r="E232" s="309"/>
      <c r="F232" s="310"/>
      <c r="G232" s="311"/>
    </row>
    <row r="233">
      <c r="D233" s="308"/>
      <c r="E233" s="309"/>
      <c r="F233" s="310"/>
      <c r="G233" s="311"/>
    </row>
    <row r="234">
      <c r="D234" s="308"/>
      <c r="E234" s="309"/>
      <c r="F234" s="310"/>
      <c r="G234" s="311"/>
    </row>
    <row r="235">
      <c r="D235" s="308"/>
      <c r="E235" s="309"/>
      <c r="F235" s="310"/>
      <c r="G235" s="311"/>
    </row>
    <row r="236">
      <c r="D236" s="308"/>
      <c r="E236" s="309"/>
      <c r="F236" s="310"/>
      <c r="G236" s="311"/>
    </row>
    <row r="237">
      <c r="D237" s="308"/>
      <c r="E237" s="309"/>
      <c r="F237" s="310"/>
      <c r="G237" s="311"/>
    </row>
    <row r="238">
      <c r="D238" s="308"/>
      <c r="E238" s="309"/>
      <c r="F238" s="310"/>
      <c r="G238" s="311"/>
    </row>
    <row r="239">
      <c r="D239" s="308"/>
      <c r="E239" s="309"/>
      <c r="F239" s="310"/>
      <c r="G239" s="311"/>
    </row>
    <row r="240">
      <c r="D240" s="308"/>
      <c r="E240" s="309"/>
      <c r="F240" s="310"/>
      <c r="G240" s="311"/>
    </row>
    <row r="241">
      <c r="D241" s="308"/>
      <c r="E241" s="309"/>
      <c r="F241" s="310"/>
      <c r="G241" s="311"/>
    </row>
    <row r="242">
      <c r="D242" s="308"/>
      <c r="E242" s="309"/>
      <c r="F242" s="310"/>
      <c r="G242" s="311"/>
    </row>
    <row r="243">
      <c r="D243" s="308"/>
      <c r="E243" s="309"/>
      <c r="F243" s="310"/>
      <c r="G243" s="311"/>
    </row>
    <row r="244">
      <c r="D244" s="308"/>
      <c r="E244" s="309"/>
      <c r="F244" s="310"/>
      <c r="G244" s="311"/>
    </row>
    <row r="245">
      <c r="D245" s="308"/>
      <c r="E245" s="309"/>
      <c r="F245" s="310"/>
      <c r="G245" s="311"/>
    </row>
    <row r="246">
      <c r="D246" s="308"/>
      <c r="E246" s="309"/>
      <c r="F246" s="310"/>
      <c r="G246" s="311"/>
    </row>
    <row r="247">
      <c r="D247" s="308"/>
      <c r="E247" s="309"/>
      <c r="F247" s="310"/>
      <c r="G247" s="311"/>
    </row>
    <row r="248">
      <c r="D248" s="308"/>
      <c r="E248" s="309"/>
      <c r="F248" s="310"/>
      <c r="G248" s="311"/>
    </row>
    <row r="249">
      <c r="D249" s="308"/>
      <c r="E249" s="309"/>
      <c r="F249" s="310"/>
      <c r="G249" s="311"/>
    </row>
    <row r="250">
      <c r="D250" s="308"/>
      <c r="E250" s="309"/>
      <c r="F250" s="310"/>
      <c r="G250" s="311"/>
    </row>
    <row r="251">
      <c r="D251" s="308"/>
      <c r="E251" s="309"/>
      <c r="F251" s="310"/>
      <c r="G251" s="311"/>
    </row>
    <row r="252">
      <c r="D252" s="308"/>
      <c r="E252" s="309"/>
      <c r="F252" s="310"/>
      <c r="G252" s="311"/>
    </row>
    <row r="253">
      <c r="D253" s="308"/>
      <c r="E253" s="309"/>
      <c r="F253" s="310"/>
      <c r="G253" s="311"/>
    </row>
    <row r="254">
      <c r="D254" s="308"/>
      <c r="E254" s="309"/>
      <c r="F254" s="310"/>
      <c r="G254" s="311"/>
    </row>
    <row r="255">
      <c r="D255" s="308"/>
      <c r="E255" s="309"/>
      <c r="F255" s="310"/>
      <c r="G255" s="311"/>
    </row>
    <row r="256">
      <c r="D256" s="308"/>
      <c r="E256" s="309"/>
      <c r="F256" s="310"/>
      <c r="G256" s="311"/>
    </row>
    <row r="257">
      <c r="D257" s="308"/>
      <c r="E257" s="309"/>
      <c r="F257" s="310"/>
      <c r="G257" s="311"/>
    </row>
    <row r="258">
      <c r="D258" s="308"/>
      <c r="E258" s="309"/>
      <c r="F258" s="310"/>
      <c r="G258" s="311"/>
    </row>
    <row r="259">
      <c r="D259" s="308"/>
      <c r="E259" s="309"/>
      <c r="F259" s="310"/>
      <c r="G259" s="311"/>
    </row>
    <row r="260">
      <c r="D260" s="308"/>
      <c r="E260" s="309"/>
      <c r="F260" s="310"/>
      <c r="G260" s="311"/>
    </row>
    <row r="261">
      <c r="D261" s="308"/>
      <c r="E261" s="309"/>
      <c r="F261" s="310"/>
      <c r="G261" s="311"/>
    </row>
    <row r="262">
      <c r="D262" s="308"/>
      <c r="E262" s="309"/>
      <c r="F262" s="310"/>
      <c r="G262" s="311"/>
    </row>
    <row r="263">
      <c r="D263" s="308"/>
      <c r="E263" s="309"/>
      <c r="F263" s="310"/>
      <c r="G263" s="311"/>
    </row>
    <row r="264">
      <c r="D264" s="308"/>
      <c r="E264" s="309"/>
      <c r="F264" s="310"/>
      <c r="G264" s="311"/>
    </row>
    <row r="265">
      <c r="D265" s="308"/>
      <c r="E265" s="309"/>
      <c r="F265" s="310"/>
      <c r="G265" s="311"/>
    </row>
    <row r="266">
      <c r="D266" s="308"/>
      <c r="E266" s="309"/>
      <c r="F266" s="310"/>
      <c r="G266" s="311"/>
    </row>
    <row r="267">
      <c r="D267" s="308"/>
      <c r="E267" s="309"/>
      <c r="F267" s="310"/>
      <c r="G267" s="311"/>
    </row>
    <row r="268">
      <c r="D268" s="308"/>
      <c r="E268" s="309"/>
      <c r="F268" s="310"/>
      <c r="G268" s="311"/>
    </row>
    <row r="269">
      <c r="D269" s="308"/>
      <c r="E269" s="309"/>
      <c r="F269" s="310"/>
      <c r="G269" s="311"/>
    </row>
    <row r="270">
      <c r="D270" s="308"/>
      <c r="E270" s="309"/>
      <c r="F270" s="310"/>
      <c r="G270" s="311"/>
    </row>
    <row r="271">
      <c r="D271" s="308"/>
      <c r="E271" s="309"/>
      <c r="F271" s="310"/>
      <c r="G271" s="311"/>
    </row>
    <row r="272">
      <c r="D272" s="308"/>
      <c r="E272" s="309"/>
      <c r="F272" s="310"/>
      <c r="G272" s="311"/>
    </row>
    <row r="273">
      <c r="D273" s="308"/>
      <c r="E273" s="309"/>
      <c r="F273" s="310"/>
      <c r="G273" s="311"/>
    </row>
    <row r="274">
      <c r="D274" s="308"/>
      <c r="E274" s="309"/>
      <c r="F274" s="310"/>
      <c r="G274" s="311"/>
    </row>
    <row r="275">
      <c r="D275" s="308"/>
      <c r="E275" s="309"/>
      <c r="F275" s="310"/>
      <c r="G275" s="311"/>
    </row>
    <row r="276">
      <c r="D276" s="308"/>
      <c r="E276" s="309"/>
      <c r="F276" s="310"/>
      <c r="G276" s="311"/>
    </row>
    <row r="277">
      <c r="D277" s="308"/>
      <c r="E277" s="309"/>
      <c r="F277" s="310"/>
      <c r="G277" s="311"/>
    </row>
    <row r="278">
      <c r="D278" s="308"/>
      <c r="E278" s="309"/>
      <c r="F278" s="310"/>
      <c r="G278" s="311"/>
    </row>
    <row r="279">
      <c r="D279" s="308"/>
      <c r="E279" s="309"/>
      <c r="F279" s="310"/>
      <c r="G279" s="311"/>
    </row>
    <row r="280">
      <c r="D280" s="308"/>
      <c r="E280" s="309"/>
      <c r="F280" s="310"/>
      <c r="G280" s="311"/>
    </row>
    <row r="281">
      <c r="D281" s="308"/>
      <c r="E281" s="309"/>
      <c r="F281" s="310"/>
      <c r="G281" s="311"/>
    </row>
    <row r="282">
      <c r="D282" s="308"/>
      <c r="E282" s="309"/>
      <c r="F282" s="310"/>
      <c r="G282" s="311"/>
    </row>
    <row r="283">
      <c r="D283" s="308"/>
      <c r="E283" s="309"/>
      <c r="F283" s="310"/>
      <c r="G283" s="311"/>
    </row>
    <row r="284">
      <c r="D284" s="308"/>
      <c r="E284" s="309"/>
      <c r="F284" s="310"/>
      <c r="G284" s="311"/>
    </row>
    <row r="285">
      <c r="D285" s="308"/>
      <c r="E285" s="309"/>
      <c r="F285" s="310"/>
      <c r="G285" s="311"/>
    </row>
    <row r="286">
      <c r="D286" s="308"/>
      <c r="E286" s="309"/>
      <c r="F286" s="310"/>
      <c r="G286" s="311"/>
    </row>
    <row r="287">
      <c r="D287" s="308"/>
      <c r="E287" s="309"/>
      <c r="F287" s="310"/>
      <c r="G287" s="311"/>
    </row>
    <row r="288">
      <c r="D288" s="308"/>
      <c r="E288" s="309"/>
      <c r="F288" s="310"/>
      <c r="G288" s="311"/>
    </row>
    <row r="289">
      <c r="D289" s="308"/>
      <c r="E289" s="309"/>
      <c r="F289" s="310"/>
      <c r="G289" s="311"/>
    </row>
    <row r="290">
      <c r="D290" s="308"/>
      <c r="E290" s="309"/>
      <c r="F290" s="310"/>
      <c r="G290" s="311"/>
    </row>
    <row r="291">
      <c r="D291" s="308"/>
      <c r="E291" s="309"/>
      <c r="F291" s="310"/>
      <c r="G291" s="311"/>
    </row>
    <row r="292">
      <c r="D292" s="308"/>
      <c r="E292" s="309"/>
      <c r="F292" s="310"/>
      <c r="G292" s="311"/>
    </row>
    <row r="293">
      <c r="D293" s="308"/>
      <c r="E293" s="309"/>
      <c r="F293" s="310"/>
      <c r="G293" s="311"/>
    </row>
    <row r="294">
      <c r="D294" s="308"/>
      <c r="E294" s="309"/>
      <c r="F294" s="310"/>
      <c r="G294" s="311"/>
    </row>
    <row r="295">
      <c r="D295" s="308"/>
      <c r="E295" s="309"/>
      <c r="F295" s="310"/>
      <c r="G295" s="311"/>
    </row>
    <row r="296">
      <c r="D296" s="308"/>
      <c r="E296" s="309"/>
      <c r="F296" s="310"/>
      <c r="G296" s="311"/>
    </row>
    <row r="297">
      <c r="D297" s="308"/>
      <c r="E297" s="309"/>
      <c r="F297" s="310"/>
      <c r="G297" s="311"/>
    </row>
    <row r="298">
      <c r="D298" s="308"/>
      <c r="E298" s="309"/>
      <c r="F298" s="310"/>
      <c r="G298" s="311"/>
    </row>
    <row r="299">
      <c r="D299" s="308"/>
      <c r="E299" s="309"/>
      <c r="F299" s="310"/>
      <c r="G299" s="311"/>
    </row>
    <row r="300">
      <c r="D300" s="308"/>
      <c r="E300" s="309"/>
      <c r="F300" s="310"/>
      <c r="G300" s="311"/>
    </row>
    <row r="301">
      <c r="D301" s="308"/>
      <c r="E301" s="309"/>
      <c r="F301" s="310"/>
      <c r="G301" s="311"/>
    </row>
    <row r="302">
      <c r="D302" s="308"/>
      <c r="E302" s="309"/>
      <c r="F302" s="310"/>
      <c r="G302" s="311"/>
    </row>
    <row r="303">
      <c r="D303" s="308"/>
      <c r="E303" s="309"/>
      <c r="F303" s="310"/>
      <c r="G303" s="311"/>
    </row>
    <row r="304">
      <c r="D304" s="308"/>
      <c r="E304" s="309"/>
      <c r="F304" s="310"/>
      <c r="G304" s="311"/>
    </row>
    <row r="305">
      <c r="D305" s="308"/>
      <c r="E305" s="309"/>
      <c r="F305" s="310"/>
      <c r="G305" s="311"/>
    </row>
    <row r="306">
      <c r="D306" s="308"/>
      <c r="E306" s="309"/>
      <c r="F306" s="310"/>
      <c r="G306" s="311"/>
    </row>
    <row r="307">
      <c r="D307" s="308"/>
      <c r="E307" s="309"/>
      <c r="F307" s="310"/>
      <c r="G307" s="311"/>
    </row>
    <row r="308">
      <c r="D308" s="308"/>
      <c r="E308" s="309"/>
      <c r="F308" s="310"/>
      <c r="G308" s="311"/>
    </row>
    <row r="309">
      <c r="D309" s="308"/>
      <c r="E309" s="309"/>
      <c r="F309" s="310"/>
      <c r="G309" s="311"/>
    </row>
    <row r="310">
      <c r="D310" s="308"/>
      <c r="E310" s="309"/>
      <c r="F310" s="310"/>
      <c r="G310" s="311"/>
    </row>
    <row r="311">
      <c r="D311" s="308"/>
      <c r="E311" s="309"/>
      <c r="F311" s="310"/>
      <c r="G311" s="311"/>
    </row>
    <row r="312">
      <c r="D312" s="308"/>
      <c r="E312" s="309"/>
      <c r="F312" s="310"/>
      <c r="G312" s="311"/>
    </row>
    <row r="313">
      <c r="D313" s="308"/>
      <c r="E313" s="309"/>
      <c r="F313" s="310"/>
      <c r="G313" s="311"/>
    </row>
    <row r="314">
      <c r="D314" s="308"/>
      <c r="E314" s="309"/>
      <c r="F314" s="310"/>
      <c r="G314" s="311"/>
    </row>
    <row r="315">
      <c r="D315" s="308"/>
      <c r="E315" s="309"/>
      <c r="F315" s="310"/>
      <c r="G315" s="311"/>
    </row>
    <row r="316">
      <c r="D316" s="308"/>
      <c r="E316" s="309"/>
      <c r="F316" s="310"/>
      <c r="G316" s="311"/>
    </row>
    <row r="317">
      <c r="D317" s="308"/>
      <c r="E317" s="309"/>
      <c r="F317" s="310"/>
      <c r="G317" s="311"/>
    </row>
    <row r="318">
      <c r="D318" s="308"/>
      <c r="E318" s="309"/>
      <c r="F318" s="310"/>
      <c r="G318" s="311"/>
    </row>
    <row r="319">
      <c r="D319" s="308"/>
      <c r="E319" s="309"/>
      <c r="F319" s="310"/>
      <c r="G319" s="311"/>
    </row>
    <row r="320">
      <c r="D320" s="308"/>
      <c r="E320" s="309"/>
      <c r="F320" s="310"/>
      <c r="G320" s="311"/>
    </row>
    <row r="321">
      <c r="D321" s="308"/>
      <c r="E321" s="309"/>
      <c r="F321" s="310"/>
      <c r="G321" s="311"/>
    </row>
    <row r="322">
      <c r="D322" s="308"/>
      <c r="E322" s="309"/>
      <c r="F322" s="310"/>
      <c r="G322" s="311"/>
    </row>
    <row r="323">
      <c r="D323" s="308"/>
      <c r="E323" s="309"/>
      <c r="F323" s="310"/>
      <c r="G323" s="311"/>
    </row>
    <row r="324">
      <c r="D324" s="308"/>
      <c r="E324" s="309"/>
      <c r="F324" s="310"/>
      <c r="G324" s="311"/>
    </row>
    <row r="325">
      <c r="D325" s="308"/>
      <c r="E325" s="309"/>
      <c r="F325" s="310"/>
      <c r="G325" s="311"/>
    </row>
    <row r="326">
      <c r="D326" s="308"/>
      <c r="E326" s="309"/>
      <c r="F326" s="310"/>
      <c r="G326" s="311"/>
    </row>
    <row r="327">
      <c r="D327" s="308"/>
      <c r="E327" s="309"/>
      <c r="F327" s="310"/>
      <c r="G327" s="311"/>
    </row>
    <row r="328">
      <c r="D328" s="308"/>
      <c r="E328" s="309"/>
      <c r="F328" s="310"/>
      <c r="G328" s="311"/>
    </row>
    <row r="329">
      <c r="D329" s="308"/>
      <c r="E329" s="309"/>
      <c r="F329" s="310"/>
      <c r="G329" s="311"/>
    </row>
    <row r="330">
      <c r="D330" s="308"/>
      <c r="E330" s="309"/>
      <c r="F330" s="310"/>
      <c r="G330" s="311"/>
    </row>
    <row r="331">
      <c r="D331" s="308"/>
      <c r="E331" s="309"/>
      <c r="F331" s="310"/>
      <c r="G331" s="311"/>
    </row>
    <row r="332">
      <c r="D332" s="308"/>
      <c r="E332" s="309"/>
      <c r="F332" s="310"/>
      <c r="G332" s="311"/>
    </row>
    <row r="333">
      <c r="D333" s="308"/>
      <c r="E333" s="309"/>
      <c r="F333" s="310"/>
      <c r="G333" s="311"/>
    </row>
    <row r="334">
      <c r="D334" s="308"/>
      <c r="E334" s="309"/>
      <c r="F334" s="310"/>
      <c r="G334" s="311"/>
    </row>
    <row r="335">
      <c r="D335" s="308"/>
      <c r="E335" s="309"/>
      <c r="F335" s="310"/>
      <c r="G335" s="311"/>
    </row>
    <row r="336">
      <c r="D336" s="308"/>
      <c r="E336" s="309"/>
      <c r="F336" s="310"/>
      <c r="G336" s="311"/>
    </row>
    <row r="337">
      <c r="D337" s="308"/>
      <c r="E337" s="309"/>
      <c r="F337" s="310"/>
      <c r="G337" s="311"/>
    </row>
    <row r="338">
      <c r="D338" s="308"/>
      <c r="E338" s="309"/>
      <c r="F338" s="310"/>
      <c r="G338" s="311"/>
    </row>
    <row r="339">
      <c r="D339" s="308"/>
      <c r="E339" s="309"/>
      <c r="F339" s="310"/>
      <c r="G339" s="311"/>
    </row>
    <row r="340">
      <c r="D340" s="308"/>
      <c r="E340" s="309"/>
      <c r="F340" s="310"/>
      <c r="G340" s="311"/>
    </row>
    <row r="341">
      <c r="D341" s="308"/>
      <c r="E341" s="309"/>
      <c r="F341" s="310"/>
      <c r="G341" s="311"/>
    </row>
    <row r="342">
      <c r="D342" s="308"/>
      <c r="E342" s="309"/>
      <c r="F342" s="310"/>
      <c r="G342" s="311"/>
    </row>
    <row r="343">
      <c r="D343" s="308"/>
      <c r="E343" s="309"/>
      <c r="F343" s="310"/>
      <c r="G343" s="311"/>
    </row>
    <row r="344">
      <c r="D344" s="308"/>
      <c r="E344" s="309"/>
      <c r="F344" s="310"/>
      <c r="G344" s="311"/>
    </row>
    <row r="345">
      <c r="D345" s="308"/>
      <c r="E345" s="309"/>
      <c r="F345" s="310"/>
      <c r="G345" s="311"/>
    </row>
    <row r="346">
      <c r="D346" s="308"/>
      <c r="E346" s="309"/>
      <c r="F346" s="310"/>
      <c r="G346" s="311"/>
    </row>
    <row r="347">
      <c r="D347" s="308"/>
      <c r="E347" s="309"/>
      <c r="F347" s="310"/>
      <c r="G347" s="311"/>
    </row>
    <row r="348">
      <c r="D348" s="308"/>
      <c r="E348" s="309"/>
      <c r="F348" s="310"/>
      <c r="G348" s="311"/>
    </row>
    <row r="349">
      <c r="D349" s="308"/>
      <c r="E349" s="309"/>
      <c r="F349" s="310"/>
      <c r="G349" s="311"/>
    </row>
    <row r="350">
      <c r="D350" s="308"/>
      <c r="E350" s="309"/>
      <c r="F350" s="310"/>
      <c r="G350" s="311"/>
    </row>
    <row r="351">
      <c r="D351" s="308"/>
      <c r="E351" s="309"/>
      <c r="F351" s="310"/>
      <c r="G351" s="311"/>
    </row>
    <row r="352">
      <c r="D352" s="308"/>
      <c r="E352" s="309"/>
      <c r="F352" s="310"/>
      <c r="G352" s="311"/>
    </row>
    <row r="353">
      <c r="D353" s="308"/>
      <c r="E353" s="309"/>
      <c r="F353" s="310"/>
      <c r="G353" s="311"/>
    </row>
    <row r="354">
      <c r="D354" s="308"/>
      <c r="E354" s="309"/>
      <c r="F354" s="310"/>
      <c r="G354" s="311"/>
    </row>
    <row r="355">
      <c r="D355" s="308"/>
      <c r="E355" s="309"/>
      <c r="F355" s="310"/>
      <c r="G355" s="311"/>
    </row>
    <row r="356">
      <c r="D356" s="308"/>
      <c r="E356" s="309"/>
      <c r="F356" s="310"/>
      <c r="G356" s="311"/>
    </row>
    <row r="357">
      <c r="D357" s="308"/>
      <c r="E357" s="309"/>
      <c r="F357" s="310"/>
      <c r="G357" s="311"/>
    </row>
    <row r="358">
      <c r="D358" s="308"/>
      <c r="E358" s="309"/>
      <c r="F358" s="310"/>
      <c r="G358" s="311"/>
    </row>
    <row r="359">
      <c r="D359" s="308"/>
      <c r="E359" s="309"/>
      <c r="F359" s="310"/>
      <c r="G359" s="311"/>
    </row>
    <row r="360">
      <c r="D360" s="308"/>
      <c r="E360" s="309"/>
      <c r="F360" s="310"/>
      <c r="G360" s="311"/>
    </row>
    <row r="361">
      <c r="D361" s="308"/>
      <c r="E361" s="309"/>
      <c r="F361" s="310"/>
      <c r="G361" s="311"/>
    </row>
    <row r="362">
      <c r="D362" s="308"/>
      <c r="E362" s="309"/>
      <c r="F362" s="310"/>
      <c r="G362" s="311"/>
    </row>
    <row r="363">
      <c r="D363" s="308"/>
      <c r="E363" s="309"/>
      <c r="F363" s="310"/>
      <c r="G363" s="311"/>
    </row>
    <row r="364">
      <c r="D364" s="308"/>
      <c r="E364" s="309"/>
      <c r="F364" s="310"/>
      <c r="G364" s="311"/>
    </row>
    <row r="365">
      <c r="D365" s="308"/>
      <c r="E365" s="309"/>
      <c r="F365" s="310"/>
      <c r="G365" s="311"/>
    </row>
    <row r="366">
      <c r="D366" s="308"/>
      <c r="E366" s="309"/>
      <c r="F366" s="310"/>
      <c r="G366" s="311"/>
    </row>
    <row r="367">
      <c r="D367" s="308"/>
      <c r="E367" s="309"/>
      <c r="F367" s="310"/>
      <c r="G367" s="311"/>
    </row>
    <row r="368">
      <c r="D368" s="308"/>
      <c r="E368" s="309"/>
      <c r="F368" s="310"/>
      <c r="G368" s="311"/>
    </row>
    <row r="369">
      <c r="D369" s="308"/>
      <c r="E369" s="309"/>
      <c r="F369" s="310"/>
      <c r="G369" s="311"/>
    </row>
    <row r="370">
      <c r="D370" s="308"/>
      <c r="E370" s="309"/>
      <c r="F370" s="310"/>
      <c r="G370" s="311"/>
    </row>
    <row r="371">
      <c r="D371" s="308"/>
      <c r="E371" s="309"/>
      <c r="F371" s="310"/>
      <c r="G371" s="311"/>
    </row>
    <row r="372">
      <c r="D372" s="308"/>
      <c r="E372" s="309"/>
      <c r="F372" s="310"/>
      <c r="G372" s="311"/>
    </row>
    <row r="373">
      <c r="D373" s="308"/>
      <c r="E373" s="309"/>
      <c r="F373" s="310"/>
      <c r="G373" s="311"/>
    </row>
    <row r="374">
      <c r="D374" s="308"/>
      <c r="E374" s="309"/>
      <c r="F374" s="310"/>
      <c r="G374" s="311"/>
    </row>
    <row r="375">
      <c r="D375" s="308"/>
      <c r="E375" s="309"/>
      <c r="F375" s="310"/>
      <c r="G375" s="311"/>
    </row>
    <row r="376">
      <c r="D376" s="308"/>
      <c r="E376" s="309"/>
      <c r="F376" s="310"/>
      <c r="G376" s="311"/>
    </row>
    <row r="377">
      <c r="D377" s="308"/>
      <c r="E377" s="309"/>
      <c r="F377" s="310"/>
      <c r="G377" s="311"/>
    </row>
    <row r="378">
      <c r="D378" s="308"/>
      <c r="E378" s="309"/>
      <c r="F378" s="310"/>
      <c r="G378" s="311"/>
    </row>
    <row r="379">
      <c r="D379" s="308"/>
      <c r="E379" s="309"/>
      <c r="F379" s="310"/>
      <c r="G379" s="311"/>
    </row>
    <row r="380">
      <c r="D380" s="308"/>
      <c r="E380" s="309"/>
      <c r="F380" s="310"/>
      <c r="G380" s="311"/>
    </row>
    <row r="381">
      <c r="D381" s="308"/>
      <c r="E381" s="309"/>
      <c r="F381" s="310"/>
      <c r="G381" s="311"/>
    </row>
    <row r="382">
      <c r="D382" s="308"/>
      <c r="E382" s="309"/>
      <c r="F382" s="310"/>
      <c r="G382" s="311"/>
    </row>
    <row r="383">
      <c r="D383" s="308"/>
      <c r="E383" s="309"/>
      <c r="F383" s="310"/>
      <c r="G383" s="311"/>
    </row>
    <row r="384">
      <c r="D384" s="308"/>
      <c r="E384" s="309"/>
      <c r="F384" s="310"/>
      <c r="G384" s="311"/>
    </row>
    <row r="385">
      <c r="D385" s="308"/>
      <c r="E385" s="309"/>
      <c r="F385" s="310"/>
      <c r="G385" s="311"/>
    </row>
    <row r="386">
      <c r="D386" s="308"/>
      <c r="E386" s="309"/>
      <c r="F386" s="310"/>
      <c r="G386" s="311"/>
    </row>
    <row r="387">
      <c r="D387" s="308"/>
      <c r="E387" s="309"/>
      <c r="F387" s="310"/>
      <c r="G387" s="311"/>
    </row>
    <row r="388">
      <c r="D388" s="308"/>
      <c r="E388" s="309"/>
      <c r="F388" s="310"/>
      <c r="G388" s="311"/>
    </row>
    <row r="389">
      <c r="D389" s="308"/>
      <c r="E389" s="309"/>
      <c r="F389" s="310"/>
      <c r="G389" s="311"/>
    </row>
    <row r="390">
      <c r="D390" s="308"/>
      <c r="E390" s="309"/>
      <c r="F390" s="310"/>
      <c r="G390" s="311"/>
    </row>
    <row r="391">
      <c r="D391" s="308"/>
      <c r="E391" s="309"/>
      <c r="F391" s="310"/>
      <c r="G391" s="311"/>
    </row>
    <row r="392">
      <c r="D392" s="308"/>
      <c r="E392" s="309"/>
      <c r="F392" s="310"/>
      <c r="G392" s="311"/>
    </row>
    <row r="393">
      <c r="D393" s="308"/>
      <c r="E393" s="309"/>
      <c r="F393" s="310"/>
      <c r="G393" s="311"/>
    </row>
    <row r="394">
      <c r="D394" s="308"/>
      <c r="E394" s="309"/>
      <c r="F394" s="310"/>
      <c r="G394" s="311"/>
    </row>
    <row r="395">
      <c r="D395" s="308"/>
      <c r="E395" s="309"/>
      <c r="F395" s="310"/>
      <c r="G395" s="311"/>
    </row>
    <row r="396">
      <c r="D396" s="308"/>
      <c r="E396" s="309"/>
      <c r="F396" s="310"/>
      <c r="G396" s="311"/>
    </row>
    <row r="397">
      <c r="D397" s="308"/>
      <c r="E397" s="309"/>
      <c r="F397" s="310"/>
      <c r="G397" s="311"/>
    </row>
    <row r="398">
      <c r="D398" s="308"/>
      <c r="E398" s="309"/>
      <c r="F398" s="310"/>
      <c r="G398" s="311"/>
    </row>
    <row r="399">
      <c r="D399" s="308"/>
      <c r="E399" s="309"/>
      <c r="F399" s="310"/>
      <c r="G399" s="311"/>
    </row>
    <row r="400">
      <c r="D400" s="308"/>
      <c r="E400" s="309"/>
      <c r="F400" s="310"/>
      <c r="G400" s="311"/>
    </row>
    <row r="401">
      <c r="D401" s="308"/>
      <c r="E401" s="309"/>
      <c r="F401" s="310"/>
      <c r="G401" s="311"/>
    </row>
    <row r="402">
      <c r="D402" s="308"/>
      <c r="E402" s="309"/>
      <c r="F402" s="310"/>
      <c r="G402" s="311"/>
    </row>
    <row r="403">
      <c r="D403" s="308"/>
      <c r="E403" s="309"/>
      <c r="F403" s="310"/>
      <c r="G403" s="311"/>
    </row>
    <row r="404">
      <c r="D404" s="308"/>
      <c r="E404" s="309"/>
      <c r="F404" s="310"/>
      <c r="G404" s="311"/>
    </row>
    <row r="405">
      <c r="D405" s="308"/>
      <c r="E405" s="309"/>
      <c r="F405" s="310"/>
      <c r="G405" s="311"/>
    </row>
    <row r="406">
      <c r="D406" s="308"/>
      <c r="E406" s="309"/>
      <c r="F406" s="310"/>
      <c r="G406" s="311"/>
    </row>
    <row r="407">
      <c r="D407" s="308"/>
      <c r="E407" s="309"/>
      <c r="F407" s="310"/>
      <c r="G407" s="311"/>
    </row>
    <row r="408">
      <c r="D408" s="308"/>
      <c r="E408" s="309"/>
      <c r="F408" s="310"/>
      <c r="G408" s="311"/>
    </row>
    <row r="409">
      <c r="D409" s="308"/>
      <c r="E409" s="309"/>
      <c r="F409" s="310"/>
      <c r="G409" s="311"/>
    </row>
    <row r="410">
      <c r="D410" s="308"/>
      <c r="E410" s="309"/>
      <c r="F410" s="310"/>
      <c r="G410" s="311"/>
    </row>
    <row r="411">
      <c r="D411" s="308"/>
      <c r="E411" s="309"/>
      <c r="F411" s="310"/>
      <c r="G411" s="311"/>
    </row>
    <row r="412">
      <c r="D412" s="308"/>
      <c r="E412" s="309"/>
      <c r="F412" s="310"/>
      <c r="G412" s="311"/>
    </row>
    <row r="413">
      <c r="D413" s="308"/>
      <c r="E413" s="309"/>
      <c r="F413" s="310"/>
      <c r="G413" s="311"/>
    </row>
    <row r="414">
      <c r="D414" s="308"/>
      <c r="E414" s="309"/>
      <c r="F414" s="310"/>
      <c r="G414" s="311"/>
    </row>
    <row r="415">
      <c r="D415" s="308"/>
      <c r="E415" s="309"/>
      <c r="F415" s="310"/>
      <c r="G415" s="311"/>
    </row>
    <row r="416">
      <c r="D416" s="308"/>
      <c r="E416" s="309"/>
      <c r="F416" s="310"/>
      <c r="G416" s="311"/>
    </row>
    <row r="417">
      <c r="D417" s="308"/>
      <c r="E417" s="309"/>
      <c r="F417" s="310"/>
      <c r="G417" s="311"/>
    </row>
    <row r="418">
      <c r="D418" s="308"/>
      <c r="E418" s="309"/>
      <c r="F418" s="310"/>
      <c r="G418" s="311"/>
    </row>
    <row r="419">
      <c r="D419" s="308"/>
      <c r="E419" s="309"/>
      <c r="F419" s="310"/>
      <c r="G419" s="311"/>
    </row>
    <row r="420">
      <c r="D420" s="308"/>
      <c r="E420" s="309"/>
      <c r="F420" s="310"/>
      <c r="G420" s="311"/>
    </row>
    <row r="421">
      <c r="D421" s="308"/>
      <c r="E421" s="309"/>
      <c r="F421" s="310"/>
      <c r="G421" s="311"/>
    </row>
    <row r="422">
      <c r="D422" s="308"/>
      <c r="E422" s="309"/>
      <c r="F422" s="310"/>
      <c r="G422" s="311"/>
    </row>
    <row r="423">
      <c r="D423" s="308"/>
      <c r="E423" s="309"/>
      <c r="F423" s="310"/>
      <c r="G423" s="311"/>
    </row>
    <row r="424">
      <c r="D424" s="308"/>
      <c r="E424" s="309"/>
      <c r="F424" s="310"/>
      <c r="G424" s="311"/>
    </row>
    <row r="425">
      <c r="D425" s="308"/>
      <c r="E425" s="309"/>
      <c r="F425" s="310"/>
      <c r="G425" s="311"/>
    </row>
    <row r="426">
      <c r="D426" s="308"/>
      <c r="E426" s="309"/>
      <c r="F426" s="310"/>
      <c r="G426" s="311"/>
    </row>
    <row r="427">
      <c r="D427" s="308"/>
      <c r="E427" s="309"/>
      <c r="F427" s="310"/>
      <c r="G427" s="311"/>
    </row>
    <row r="428">
      <c r="D428" s="308"/>
      <c r="E428" s="309"/>
      <c r="F428" s="310"/>
      <c r="G428" s="311"/>
    </row>
    <row r="429">
      <c r="D429" s="308"/>
      <c r="E429" s="309"/>
      <c r="F429" s="310"/>
      <c r="G429" s="311"/>
    </row>
    <row r="430">
      <c r="D430" s="308"/>
      <c r="E430" s="309"/>
      <c r="F430" s="310"/>
      <c r="G430" s="311"/>
    </row>
    <row r="431">
      <c r="D431" s="308"/>
      <c r="E431" s="309"/>
      <c r="F431" s="310"/>
      <c r="G431" s="311"/>
    </row>
    <row r="432">
      <c r="D432" s="308"/>
      <c r="E432" s="309"/>
      <c r="F432" s="310"/>
      <c r="G432" s="311"/>
    </row>
    <row r="433">
      <c r="D433" s="308"/>
      <c r="E433" s="309"/>
      <c r="F433" s="310"/>
      <c r="G433" s="311"/>
    </row>
    <row r="434">
      <c r="D434" s="308"/>
      <c r="E434" s="309"/>
      <c r="F434" s="310"/>
      <c r="G434" s="311"/>
    </row>
    <row r="435">
      <c r="D435" s="308"/>
      <c r="E435" s="309"/>
      <c r="F435" s="310"/>
      <c r="G435" s="311"/>
    </row>
    <row r="436">
      <c r="D436" s="308"/>
      <c r="E436" s="309"/>
      <c r="F436" s="310"/>
      <c r="G436" s="311"/>
    </row>
    <row r="437">
      <c r="D437" s="308"/>
      <c r="E437" s="309"/>
      <c r="F437" s="310"/>
      <c r="G437" s="311"/>
    </row>
    <row r="438">
      <c r="D438" s="308"/>
      <c r="E438" s="309"/>
      <c r="F438" s="310"/>
      <c r="G438" s="311"/>
    </row>
    <row r="439">
      <c r="D439" s="308"/>
      <c r="E439" s="309"/>
      <c r="F439" s="310"/>
      <c r="G439" s="311"/>
    </row>
    <row r="440">
      <c r="D440" s="308"/>
      <c r="E440" s="309"/>
      <c r="F440" s="310"/>
      <c r="G440" s="311"/>
    </row>
    <row r="441">
      <c r="D441" s="308"/>
      <c r="E441" s="309"/>
      <c r="F441" s="310"/>
      <c r="G441" s="311"/>
    </row>
    <row r="442">
      <c r="D442" s="308"/>
      <c r="E442" s="309"/>
      <c r="F442" s="310"/>
      <c r="G442" s="311"/>
    </row>
    <row r="443">
      <c r="D443" s="308"/>
      <c r="E443" s="309"/>
      <c r="F443" s="310"/>
      <c r="G443" s="311"/>
    </row>
    <row r="444">
      <c r="D444" s="308"/>
      <c r="E444" s="309"/>
      <c r="F444" s="310"/>
      <c r="G444" s="311"/>
    </row>
    <row r="445">
      <c r="D445" s="308"/>
      <c r="E445" s="309"/>
      <c r="F445" s="310"/>
      <c r="G445" s="311"/>
    </row>
    <row r="446">
      <c r="D446" s="308"/>
      <c r="E446" s="309"/>
      <c r="F446" s="310"/>
      <c r="G446" s="311"/>
    </row>
    <row r="447">
      <c r="D447" s="308"/>
      <c r="E447" s="309"/>
      <c r="F447" s="310"/>
      <c r="G447" s="311"/>
    </row>
    <row r="448">
      <c r="D448" s="308"/>
      <c r="E448" s="309"/>
      <c r="F448" s="310"/>
      <c r="G448" s="311"/>
    </row>
    <row r="449">
      <c r="D449" s="308"/>
      <c r="E449" s="309"/>
      <c r="F449" s="310"/>
      <c r="G449" s="311"/>
    </row>
    <row r="450">
      <c r="D450" s="308"/>
      <c r="E450" s="309"/>
      <c r="F450" s="310"/>
      <c r="G450" s="311"/>
    </row>
    <row r="451">
      <c r="D451" s="308"/>
      <c r="E451" s="309"/>
      <c r="F451" s="310"/>
      <c r="G451" s="311"/>
    </row>
    <row r="452">
      <c r="D452" s="308"/>
      <c r="E452" s="309"/>
      <c r="F452" s="310"/>
      <c r="G452" s="311"/>
    </row>
    <row r="453">
      <c r="D453" s="308"/>
      <c r="E453" s="309"/>
      <c r="F453" s="310"/>
      <c r="G453" s="311"/>
    </row>
    <row r="454">
      <c r="D454" s="308"/>
      <c r="E454" s="309"/>
      <c r="F454" s="310"/>
      <c r="G454" s="311"/>
    </row>
    <row r="455">
      <c r="D455" s="308"/>
      <c r="E455" s="309"/>
      <c r="F455" s="310"/>
      <c r="G455" s="311"/>
    </row>
    <row r="456">
      <c r="D456" s="308"/>
      <c r="E456" s="309"/>
      <c r="F456" s="310"/>
      <c r="G456" s="311"/>
    </row>
    <row r="457">
      <c r="D457" s="308"/>
      <c r="E457" s="309"/>
      <c r="F457" s="310"/>
      <c r="G457" s="311"/>
    </row>
    <row r="458">
      <c r="D458" s="308"/>
      <c r="E458" s="309"/>
      <c r="F458" s="310"/>
      <c r="G458" s="311"/>
    </row>
    <row r="459">
      <c r="D459" s="308"/>
      <c r="E459" s="309"/>
      <c r="F459" s="310"/>
      <c r="G459" s="311"/>
    </row>
    <row r="460">
      <c r="D460" s="308"/>
      <c r="E460" s="309"/>
      <c r="F460" s="310"/>
      <c r="G460" s="311"/>
    </row>
    <row r="461">
      <c r="D461" s="308"/>
      <c r="E461" s="309"/>
      <c r="F461" s="310"/>
      <c r="G461" s="311"/>
    </row>
    <row r="462">
      <c r="D462" s="308"/>
      <c r="E462" s="309"/>
      <c r="F462" s="310"/>
      <c r="G462" s="311"/>
    </row>
    <row r="463">
      <c r="D463" s="308"/>
      <c r="E463" s="309"/>
      <c r="F463" s="310"/>
      <c r="G463" s="311"/>
    </row>
    <row r="464">
      <c r="D464" s="308"/>
      <c r="E464" s="309"/>
      <c r="F464" s="310"/>
      <c r="G464" s="311"/>
    </row>
    <row r="465">
      <c r="D465" s="308"/>
      <c r="E465" s="309"/>
      <c r="F465" s="310"/>
      <c r="G465" s="311"/>
    </row>
    <row r="466">
      <c r="D466" s="308"/>
      <c r="E466" s="309"/>
      <c r="F466" s="310"/>
      <c r="G466" s="311"/>
    </row>
    <row r="467">
      <c r="D467" s="308"/>
      <c r="E467" s="309"/>
      <c r="F467" s="310"/>
      <c r="G467" s="311"/>
    </row>
    <row r="468">
      <c r="D468" s="308"/>
      <c r="E468" s="309"/>
      <c r="F468" s="310"/>
      <c r="G468" s="311"/>
    </row>
    <row r="469">
      <c r="D469" s="308"/>
      <c r="E469" s="309"/>
      <c r="F469" s="310"/>
      <c r="G469" s="311"/>
    </row>
    <row r="470">
      <c r="D470" s="308"/>
      <c r="E470" s="309"/>
      <c r="F470" s="310"/>
      <c r="G470" s="311"/>
    </row>
    <row r="471">
      <c r="D471" s="308"/>
      <c r="E471" s="309"/>
      <c r="F471" s="310"/>
      <c r="G471" s="311"/>
    </row>
    <row r="472">
      <c r="D472" s="308"/>
      <c r="E472" s="309"/>
      <c r="F472" s="310"/>
      <c r="G472" s="311"/>
    </row>
    <row r="473">
      <c r="D473" s="308"/>
      <c r="E473" s="309"/>
      <c r="F473" s="310"/>
      <c r="G473" s="311"/>
    </row>
    <row r="474">
      <c r="D474" s="308"/>
      <c r="E474" s="309"/>
      <c r="F474" s="310"/>
      <c r="G474" s="311"/>
    </row>
    <row r="475">
      <c r="D475" s="308"/>
      <c r="E475" s="309"/>
      <c r="F475" s="310"/>
      <c r="G475" s="311"/>
    </row>
    <row r="476">
      <c r="D476" s="308"/>
      <c r="E476" s="309"/>
      <c r="F476" s="310"/>
      <c r="G476" s="311"/>
    </row>
    <row r="477">
      <c r="D477" s="308"/>
      <c r="E477" s="309"/>
      <c r="F477" s="310"/>
      <c r="G477" s="311"/>
    </row>
    <row r="478">
      <c r="D478" s="308"/>
      <c r="E478" s="309"/>
      <c r="F478" s="310"/>
      <c r="G478" s="311"/>
    </row>
    <row r="479">
      <c r="D479" s="308"/>
      <c r="E479" s="309"/>
      <c r="F479" s="310"/>
      <c r="G479" s="311"/>
    </row>
    <row r="480">
      <c r="D480" s="308"/>
      <c r="E480" s="309"/>
      <c r="F480" s="310"/>
      <c r="G480" s="311"/>
    </row>
    <row r="481">
      <c r="D481" s="308"/>
      <c r="E481" s="309"/>
      <c r="F481" s="310"/>
      <c r="G481" s="311"/>
    </row>
    <row r="482">
      <c r="D482" s="308"/>
      <c r="E482" s="309"/>
      <c r="F482" s="310"/>
      <c r="G482" s="311"/>
    </row>
    <row r="483">
      <c r="D483" s="308"/>
      <c r="E483" s="309"/>
      <c r="F483" s="310"/>
      <c r="G483" s="311"/>
    </row>
    <row r="484">
      <c r="D484" s="308"/>
      <c r="E484" s="309"/>
      <c r="F484" s="310"/>
      <c r="G484" s="311"/>
    </row>
    <row r="485">
      <c r="D485" s="308"/>
      <c r="E485" s="309"/>
      <c r="F485" s="310"/>
      <c r="G485" s="311"/>
    </row>
    <row r="486">
      <c r="D486" s="308"/>
      <c r="E486" s="309"/>
      <c r="F486" s="310"/>
      <c r="G486" s="311"/>
    </row>
    <row r="487">
      <c r="D487" s="308"/>
      <c r="E487" s="309"/>
      <c r="F487" s="310"/>
      <c r="G487" s="311"/>
    </row>
    <row r="488">
      <c r="D488" s="308"/>
      <c r="E488" s="309"/>
      <c r="F488" s="310"/>
      <c r="G488" s="311"/>
    </row>
    <row r="489">
      <c r="D489" s="308"/>
      <c r="E489" s="309"/>
      <c r="F489" s="310"/>
      <c r="G489" s="311"/>
    </row>
    <row r="490">
      <c r="D490" s="308"/>
      <c r="E490" s="309"/>
      <c r="F490" s="310"/>
      <c r="G490" s="311"/>
    </row>
    <row r="491">
      <c r="D491" s="308"/>
      <c r="E491" s="309"/>
      <c r="F491" s="310"/>
      <c r="G491" s="311"/>
    </row>
    <row r="492">
      <c r="D492" s="308"/>
      <c r="E492" s="309"/>
      <c r="F492" s="310"/>
      <c r="G492" s="311"/>
    </row>
    <row r="493">
      <c r="D493" s="308"/>
      <c r="E493" s="309"/>
      <c r="F493" s="310"/>
      <c r="G493" s="311"/>
    </row>
    <row r="494">
      <c r="D494" s="308"/>
      <c r="E494" s="309"/>
      <c r="F494" s="310"/>
      <c r="G494" s="311"/>
    </row>
    <row r="495">
      <c r="D495" s="308"/>
      <c r="E495" s="309"/>
      <c r="F495" s="310"/>
      <c r="G495" s="311"/>
    </row>
    <row r="496">
      <c r="D496" s="308"/>
      <c r="E496" s="309"/>
      <c r="F496" s="310"/>
      <c r="G496" s="311"/>
    </row>
    <row r="497">
      <c r="D497" s="308"/>
      <c r="E497" s="309"/>
      <c r="F497" s="310"/>
      <c r="G497" s="311"/>
    </row>
    <row r="498">
      <c r="D498" s="308"/>
      <c r="E498" s="309"/>
      <c r="F498" s="310"/>
      <c r="G498" s="311"/>
    </row>
    <row r="499">
      <c r="D499" s="308"/>
      <c r="E499" s="309"/>
      <c r="F499" s="310"/>
      <c r="G499" s="311"/>
    </row>
    <row r="500">
      <c r="D500" s="308"/>
      <c r="E500" s="309"/>
      <c r="F500" s="310"/>
      <c r="G500" s="311"/>
    </row>
    <row r="501">
      <c r="D501" s="308"/>
      <c r="E501" s="309"/>
      <c r="F501" s="310"/>
      <c r="G501" s="311"/>
    </row>
    <row r="502">
      <c r="D502" s="308"/>
      <c r="E502" s="309"/>
      <c r="F502" s="310"/>
      <c r="G502" s="311"/>
    </row>
    <row r="503">
      <c r="D503" s="308"/>
      <c r="E503" s="309"/>
      <c r="F503" s="310"/>
      <c r="G503" s="311"/>
    </row>
    <row r="504">
      <c r="D504" s="308"/>
      <c r="E504" s="309"/>
      <c r="F504" s="310"/>
      <c r="G504" s="311"/>
    </row>
    <row r="505">
      <c r="D505" s="308"/>
      <c r="E505" s="309"/>
      <c r="F505" s="310"/>
      <c r="G505" s="311"/>
    </row>
    <row r="506">
      <c r="D506" s="308"/>
      <c r="E506" s="309"/>
      <c r="F506" s="310"/>
      <c r="G506" s="311"/>
    </row>
    <row r="507">
      <c r="D507" s="308"/>
      <c r="E507" s="309"/>
      <c r="F507" s="310"/>
      <c r="G507" s="311"/>
    </row>
    <row r="508">
      <c r="D508" s="308"/>
      <c r="E508" s="309"/>
      <c r="F508" s="310"/>
      <c r="G508" s="311"/>
    </row>
    <row r="509">
      <c r="D509" s="308"/>
      <c r="E509" s="309"/>
      <c r="F509" s="310"/>
      <c r="G509" s="311"/>
    </row>
    <row r="510">
      <c r="D510" s="308"/>
      <c r="E510" s="309"/>
      <c r="F510" s="310"/>
      <c r="G510" s="311"/>
    </row>
    <row r="511">
      <c r="D511" s="308"/>
      <c r="E511" s="309"/>
      <c r="F511" s="310"/>
      <c r="G511" s="311"/>
    </row>
    <row r="512">
      <c r="D512" s="308"/>
      <c r="E512" s="309"/>
      <c r="F512" s="310"/>
      <c r="G512" s="311"/>
    </row>
    <row r="513">
      <c r="D513" s="308"/>
      <c r="E513" s="309"/>
      <c r="F513" s="310"/>
      <c r="G513" s="311"/>
    </row>
    <row r="514">
      <c r="D514" s="308"/>
      <c r="E514" s="309"/>
      <c r="F514" s="310"/>
      <c r="G514" s="311"/>
    </row>
    <row r="515">
      <c r="D515" s="308"/>
      <c r="E515" s="309"/>
      <c r="F515" s="310"/>
      <c r="G515" s="311"/>
    </row>
    <row r="516">
      <c r="D516" s="308"/>
      <c r="E516" s="309"/>
      <c r="F516" s="310"/>
      <c r="G516" s="311"/>
    </row>
    <row r="517">
      <c r="D517" s="308"/>
      <c r="E517" s="309"/>
      <c r="F517" s="310"/>
      <c r="G517" s="311"/>
    </row>
    <row r="518">
      <c r="D518" s="308"/>
      <c r="E518" s="309"/>
      <c r="F518" s="310"/>
      <c r="G518" s="311"/>
    </row>
    <row r="519">
      <c r="D519" s="308"/>
      <c r="E519" s="309"/>
      <c r="F519" s="310"/>
      <c r="G519" s="311"/>
    </row>
    <row r="520">
      <c r="D520" s="308"/>
      <c r="E520" s="309"/>
      <c r="F520" s="310"/>
      <c r="G520" s="311"/>
    </row>
    <row r="521">
      <c r="D521" s="308"/>
      <c r="E521" s="309"/>
      <c r="F521" s="310"/>
      <c r="G521" s="311"/>
    </row>
    <row r="522">
      <c r="D522" s="308"/>
      <c r="E522" s="309"/>
      <c r="F522" s="310"/>
      <c r="G522" s="311"/>
    </row>
    <row r="523">
      <c r="D523" s="308"/>
      <c r="E523" s="309"/>
      <c r="F523" s="310"/>
      <c r="G523" s="311"/>
    </row>
    <row r="524">
      <c r="D524" s="308"/>
      <c r="E524" s="309"/>
      <c r="F524" s="310"/>
      <c r="G524" s="311"/>
    </row>
    <row r="525">
      <c r="D525" s="308"/>
      <c r="E525" s="309"/>
      <c r="F525" s="310"/>
      <c r="G525" s="311"/>
    </row>
    <row r="526">
      <c r="D526" s="308"/>
      <c r="E526" s="309"/>
      <c r="F526" s="310"/>
      <c r="G526" s="311"/>
    </row>
    <row r="527">
      <c r="D527" s="308"/>
      <c r="E527" s="309"/>
      <c r="F527" s="310"/>
      <c r="G527" s="311"/>
    </row>
    <row r="528">
      <c r="D528" s="308"/>
      <c r="E528" s="309"/>
      <c r="F528" s="310"/>
      <c r="G528" s="311"/>
    </row>
    <row r="529">
      <c r="D529" s="308"/>
      <c r="E529" s="309"/>
      <c r="F529" s="310"/>
      <c r="G529" s="311"/>
    </row>
    <row r="530">
      <c r="D530" s="308"/>
      <c r="E530" s="309"/>
      <c r="F530" s="310"/>
      <c r="G530" s="311"/>
    </row>
    <row r="531">
      <c r="D531" s="308"/>
      <c r="E531" s="309"/>
      <c r="F531" s="310"/>
      <c r="G531" s="311"/>
    </row>
    <row r="532">
      <c r="D532" s="308"/>
      <c r="E532" s="309"/>
      <c r="F532" s="310"/>
      <c r="G532" s="311"/>
    </row>
    <row r="533">
      <c r="D533" s="308"/>
      <c r="E533" s="309"/>
      <c r="F533" s="310"/>
      <c r="G533" s="311"/>
    </row>
    <row r="534">
      <c r="D534" s="308"/>
      <c r="E534" s="309"/>
      <c r="F534" s="310"/>
      <c r="G534" s="311"/>
    </row>
    <row r="535">
      <c r="D535" s="308"/>
      <c r="E535" s="309"/>
      <c r="F535" s="310"/>
      <c r="G535" s="311"/>
    </row>
    <row r="536">
      <c r="D536" s="308"/>
      <c r="E536" s="309"/>
      <c r="F536" s="310"/>
      <c r="G536" s="311"/>
    </row>
    <row r="537">
      <c r="D537" s="308"/>
      <c r="E537" s="309"/>
      <c r="F537" s="310"/>
      <c r="G537" s="311"/>
    </row>
    <row r="538">
      <c r="D538" s="308"/>
      <c r="E538" s="309"/>
      <c r="F538" s="310"/>
      <c r="G538" s="311"/>
    </row>
    <row r="539">
      <c r="D539" s="308"/>
      <c r="E539" s="309"/>
      <c r="F539" s="310"/>
      <c r="G539" s="311"/>
    </row>
    <row r="540">
      <c r="D540" s="308"/>
      <c r="E540" s="309"/>
      <c r="F540" s="310"/>
      <c r="G540" s="311"/>
    </row>
    <row r="541">
      <c r="D541" s="308"/>
      <c r="E541" s="309"/>
      <c r="F541" s="310"/>
      <c r="G541" s="311"/>
    </row>
    <row r="542">
      <c r="D542" s="308"/>
      <c r="E542" s="309"/>
      <c r="F542" s="310"/>
      <c r="G542" s="311"/>
    </row>
    <row r="543">
      <c r="D543" s="308"/>
      <c r="E543" s="309"/>
      <c r="F543" s="310"/>
      <c r="G543" s="311"/>
    </row>
    <row r="544">
      <c r="D544" s="308"/>
      <c r="E544" s="309"/>
      <c r="F544" s="310"/>
      <c r="G544" s="311"/>
    </row>
    <row r="545">
      <c r="D545" s="308"/>
      <c r="E545" s="309"/>
      <c r="F545" s="310"/>
      <c r="G545" s="311"/>
    </row>
    <row r="546">
      <c r="D546" s="308"/>
      <c r="E546" s="309"/>
      <c r="F546" s="310"/>
      <c r="G546" s="311"/>
    </row>
    <row r="547">
      <c r="D547" s="308"/>
      <c r="E547" s="309"/>
      <c r="F547" s="310"/>
      <c r="G547" s="311"/>
    </row>
    <row r="548">
      <c r="D548" s="308"/>
      <c r="E548" s="309"/>
      <c r="F548" s="310"/>
      <c r="G548" s="311"/>
    </row>
    <row r="549">
      <c r="D549" s="308"/>
      <c r="E549" s="309"/>
      <c r="F549" s="310"/>
      <c r="G549" s="311"/>
    </row>
    <row r="550">
      <c r="D550" s="308"/>
      <c r="E550" s="309"/>
      <c r="F550" s="310"/>
      <c r="G550" s="311"/>
    </row>
    <row r="551">
      <c r="D551" s="308"/>
      <c r="E551" s="309"/>
      <c r="F551" s="310"/>
      <c r="G551" s="311"/>
    </row>
    <row r="552">
      <c r="D552" s="308"/>
      <c r="E552" s="309"/>
      <c r="F552" s="310"/>
      <c r="G552" s="311"/>
    </row>
    <row r="553">
      <c r="D553" s="308"/>
      <c r="E553" s="309"/>
      <c r="F553" s="310"/>
      <c r="G553" s="311"/>
    </row>
    <row r="554">
      <c r="D554" s="308"/>
      <c r="E554" s="309"/>
      <c r="F554" s="310"/>
      <c r="G554" s="311"/>
    </row>
    <row r="555">
      <c r="D555" s="308"/>
      <c r="E555" s="309"/>
      <c r="F555" s="310"/>
      <c r="G555" s="311"/>
    </row>
    <row r="556">
      <c r="D556" s="308"/>
      <c r="E556" s="309"/>
      <c r="F556" s="310"/>
      <c r="G556" s="311"/>
    </row>
    <row r="557">
      <c r="D557" s="308"/>
      <c r="E557" s="309"/>
      <c r="F557" s="310"/>
      <c r="G557" s="311"/>
    </row>
    <row r="558">
      <c r="D558" s="308"/>
      <c r="E558" s="309"/>
      <c r="F558" s="310"/>
      <c r="G558" s="311"/>
    </row>
    <row r="559">
      <c r="D559" s="308"/>
      <c r="E559" s="309"/>
      <c r="F559" s="310"/>
      <c r="G559" s="311"/>
    </row>
    <row r="560">
      <c r="D560" s="308"/>
      <c r="E560" s="309"/>
      <c r="F560" s="310"/>
      <c r="G560" s="311"/>
    </row>
    <row r="561">
      <c r="D561" s="308"/>
      <c r="E561" s="309"/>
      <c r="F561" s="310"/>
      <c r="G561" s="311"/>
    </row>
    <row r="562">
      <c r="D562" s="308"/>
      <c r="E562" s="309"/>
      <c r="F562" s="310"/>
      <c r="G562" s="311"/>
    </row>
    <row r="563">
      <c r="D563" s="308"/>
      <c r="E563" s="309"/>
      <c r="F563" s="310"/>
      <c r="G563" s="311"/>
    </row>
    <row r="564">
      <c r="D564" s="308"/>
      <c r="E564" s="309"/>
      <c r="F564" s="310"/>
      <c r="G564" s="311"/>
    </row>
    <row r="565">
      <c r="D565" s="308"/>
      <c r="E565" s="309"/>
      <c r="F565" s="310"/>
      <c r="G565" s="311"/>
    </row>
    <row r="566">
      <c r="D566" s="308"/>
      <c r="E566" s="309"/>
      <c r="F566" s="310"/>
      <c r="G566" s="311"/>
    </row>
    <row r="567">
      <c r="D567" s="308"/>
      <c r="E567" s="309"/>
      <c r="F567" s="310"/>
      <c r="G567" s="311"/>
    </row>
    <row r="568">
      <c r="D568" s="308"/>
      <c r="E568" s="309"/>
      <c r="F568" s="310"/>
      <c r="G568" s="311"/>
    </row>
    <row r="569">
      <c r="D569" s="308"/>
      <c r="E569" s="309"/>
      <c r="F569" s="310"/>
      <c r="G569" s="311"/>
    </row>
    <row r="570">
      <c r="D570" s="308"/>
      <c r="E570" s="309"/>
      <c r="F570" s="310"/>
      <c r="G570" s="311"/>
    </row>
    <row r="571">
      <c r="D571" s="308"/>
      <c r="E571" s="309"/>
      <c r="F571" s="310"/>
      <c r="G571" s="311"/>
    </row>
    <row r="572">
      <c r="D572" s="308"/>
      <c r="E572" s="309"/>
      <c r="F572" s="310"/>
      <c r="G572" s="311"/>
    </row>
    <row r="573">
      <c r="D573" s="308"/>
      <c r="E573" s="309"/>
      <c r="F573" s="310"/>
      <c r="G573" s="311"/>
    </row>
    <row r="574">
      <c r="D574" s="308"/>
      <c r="E574" s="309"/>
      <c r="F574" s="310"/>
      <c r="G574" s="311"/>
    </row>
    <row r="575">
      <c r="D575" s="308"/>
      <c r="E575" s="309"/>
      <c r="F575" s="310"/>
      <c r="G575" s="311"/>
    </row>
    <row r="576">
      <c r="D576" s="308"/>
      <c r="E576" s="309"/>
      <c r="F576" s="310"/>
      <c r="G576" s="311"/>
    </row>
    <row r="577">
      <c r="D577" s="308"/>
      <c r="E577" s="309"/>
      <c r="F577" s="310"/>
      <c r="G577" s="311"/>
    </row>
    <row r="578">
      <c r="D578" s="308"/>
      <c r="E578" s="309"/>
      <c r="F578" s="310"/>
      <c r="G578" s="311"/>
    </row>
    <row r="579">
      <c r="D579" s="308"/>
      <c r="E579" s="309"/>
      <c r="F579" s="310"/>
      <c r="G579" s="311"/>
    </row>
    <row r="580">
      <c r="D580" s="308"/>
      <c r="E580" s="309"/>
      <c r="F580" s="310"/>
      <c r="G580" s="311"/>
    </row>
    <row r="581">
      <c r="D581" s="308"/>
      <c r="E581" s="309"/>
      <c r="F581" s="310"/>
      <c r="G581" s="311"/>
    </row>
    <row r="582">
      <c r="D582" s="308"/>
      <c r="E582" s="309"/>
      <c r="F582" s="310"/>
      <c r="G582" s="311"/>
    </row>
    <row r="583">
      <c r="D583" s="308"/>
      <c r="E583" s="309"/>
      <c r="F583" s="310"/>
      <c r="G583" s="311"/>
    </row>
    <row r="584">
      <c r="D584" s="308"/>
      <c r="E584" s="309"/>
      <c r="F584" s="310"/>
      <c r="G584" s="311"/>
    </row>
    <row r="585">
      <c r="D585" s="308"/>
      <c r="E585" s="309"/>
      <c r="F585" s="310"/>
      <c r="G585" s="311"/>
    </row>
    <row r="586">
      <c r="D586" s="308"/>
      <c r="E586" s="309"/>
      <c r="F586" s="310"/>
      <c r="G586" s="311"/>
    </row>
    <row r="587">
      <c r="D587" s="308"/>
      <c r="E587" s="309"/>
      <c r="F587" s="310"/>
      <c r="G587" s="311"/>
    </row>
    <row r="588">
      <c r="D588" s="308"/>
      <c r="E588" s="309"/>
      <c r="F588" s="310"/>
      <c r="G588" s="311"/>
    </row>
    <row r="589">
      <c r="D589" s="308"/>
      <c r="E589" s="309"/>
      <c r="F589" s="310"/>
      <c r="G589" s="311"/>
    </row>
    <row r="590">
      <c r="D590" s="308"/>
      <c r="E590" s="309"/>
      <c r="F590" s="310"/>
      <c r="G590" s="311"/>
    </row>
    <row r="591">
      <c r="D591" s="308"/>
      <c r="E591" s="309"/>
      <c r="F591" s="310"/>
      <c r="G591" s="311"/>
    </row>
    <row r="592">
      <c r="D592" s="308"/>
      <c r="E592" s="309"/>
      <c r="F592" s="310"/>
      <c r="G592" s="311"/>
    </row>
    <row r="593">
      <c r="D593" s="308"/>
      <c r="E593" s="309"/>
      <c r="F593" s="310"/>
      <c r="G593" s="311"/>
    </row>
    <row r="594">
      <c r="D594" s="308"/>
      <c r="E594" s="309"/>
      <c r="F594" s="310"/>
      <c r="G594" s="311"/>
    </row>
    <row r="595">
      <c r="D595" s="308"/>
      <c r="E595" s="309"/>
      <c r="F595" s="310"/>
      <c r="G595" s="311"/>
    </row>
    <row r="596">
      <c r="D596" s="308"/>
      <c r="E596" s="309"/>
      <c r="F596" s="310"/>
      <c r="G596" s="311"/>
    </row>
    <row r="597">
      <c r="D597" s="308"/>
      <c r="E597" s="309"/>
      <c r="F597" s="310"/>
      <c r="G597" s="311"/>
    </row>
    <row r="598">
      <c r="D598" s="308"/>
      <c r="E598" s="309"/>
      <c r="F598" s="310"/>
      <c r="G598" s="311"/>
    </row>
    <row r="599">
      <c r="D599" s="308"/>
      <c r="E599" s="309"/>
      <c r="F599" s="310"/>
      <c r="G599" s="311"/>
    </row>
    <row r="600">
      <c r="D600" s="308"/>
      <c r="E600" s="309"/>
      <c r="F600" s="310"/>
      <c r="G600" s="311"/>
    </row>
    <row r="601">
      <c r="D601" s="308"/>
      <c r="E601" s="309"/>
      <c r="F601" s="310"/>
      <c r="G601" s="311"/>
    </row>
    <row r="602">
      <c r="D602" s="308"/>
      <c r="E602" s="309"/>
      <c r="F602" s="310"/>
      <c r="G602" s="311"/>
    </row>
    <row r="603">
      <c r="D603" s="308"/>
      <c r="E603" s="309"/>
      <c r="F603" s="310"/>
      <c r="G603" s="311"/>
    </row>
    <row r="604">
      <c r="D604" s="308"/>
      <c r="E604" s="309"/>
      <c r="F604" s="310"/>
      <c r="G604" s="311"/>
    </row>
    <row r="605">
      <c r="D605" s="308"/>
      <c r="E605" s="309"/>
      <c r="F605" s="310"/>
      <c r="G605" s="311"/>
    </row>
    <row r="606">
      <c r="D606" s="308"/>
      <c r="E606" s="309"/>
      <c r="F606" s="310"/>
      <c r="G606" s="311"/>
    </row>
    <row r="607">
      <c r="D607" s="308"/>
      <c r="E607" s="309"/>
      <c r="F607" s="310"/>
      <c r="G607" s="311"/>
    </row>
    <row r="608">
      <c r="D608" s="308"/>
      <c r="E608" s="309"/>
      <c r="F608" s="310"/>
      <c r="G608" s="311"/>
    </row>
    <row r="609">
      <c r="D609" s="308"/>
      <c r="E609" s="309"/>
      <c r="F609" s="310"/>
      <c r="G609" s="311"/>
    </row>
    <row r="610">
      <c r="D610" s="308"/>
      <c r="E610" s="309"/>
      <c r="F610" s="310"/>
      <c r="G610" s="311"/>
    </row>
    <row r="611">
      <c r="D611" s="308"/>
      <c r="E611" s="309"/>
      <c r="F611" s="310"/>
      <c r="G611" s="311"/>
    </row>
    <row r="612">
      <c r="D612" s="308"/>
      <c r="E612" s="309"/>
      <c r="F612" s="310"/>
      <c r="G612" s="311"/>
    </row>
    <row r="613">
      <c r="D613" s="308"/>
      <c r="E613" s="309"/>
      <c r="F613" s="310"/>
      <c r="G613" s="311"/>
    </row>
    <row r="614">
      <c r="D614" s="308"/>
      <c r="E614" s="309"/>
      <c r="F614" s="310"/>
      <c r="G614" s="311"/>
    </row>
    <row r="615">
      <c r="D615" s="308"/>
      <c r="E615" s="309"/>
      <c r="F615" s="310"/>
      <c r="G615" s="311"/>
    </row>
    <row r="616">
      <c r="D616" s="308"/>
      <c r="E616" s="309"/>
      <c r="F616" s="310"/>
      <c r="G616" s="311"/>
    </row>
    <row r="617">
      <c r="D617" s="308"/>
      <c r="E617" s="309"/>
      <c r="F617" s="310"/>
      <c r="G617" s="311"/>
    </row>
    <row r="618">
      <c r="D618" s="308"/>
      <c r="E618" s="309"/>
      <c r="F618" s="310"/>
      <c r="G618" s="311"/>
    </row>
    <row r="619">
      <c r="D619" s="308"/>
      <c r="E619" s="309"/>
      <c r="F619" s="310"/>
      <c r="G619" s="311"/>
    </row>
    <row r="620">
      <c r="D620" s="308"/>
      <c r="E620" s="309"/>
      <c r="F620" s="310"/>
      <c r="G620" s="311"/>
    </row>
    <row r="621">
      <c r="D621" s="308"/>
      <c r="E621" s="309"/>
      <c r="F621" s="310"/>
      <c r="G621" s="311"/>
    </row>
    <row r="622">
      <c r="D622" s="308"/>
      <c r="E622" s="309"/>
      <c r="F622" s="310"/>
      <c r="G622" s="311"/>
    </row>
    <row r="623">
      <c r="D623" s="308"/>
      <c r="E623" s="309"/>
      <c r="F623" s="310"/>
      <c r="G623" s="311"/>
    </row>
    <row r="624">
      <c r="D624" s="308"/>
      <c r="E624" s="309"/>
      <c r="F624" s="310"/>
      <c r="G624" s="311"/>
    </row>
    <row r="625">
      <c r="D625" s="308"/>
      <c r="E625" s="309"/>
      <c r="F625" s="310"/>
      <c r="G625" s="311"/>
    </row>
    <row r="626">
      <c r="D626" s="308"/>
      <c r="E626" s="309"/>
      <c r="F626" s="310"/>
      <c r="G626" s="311"/>
    </row>
    <row r="627">
      <c r="D627" s="308"/>
      <c r="E627" s="309"/>
      <c r="F627" s="310"/>
      <c r="G627" s="311"/>
    </row>
    <row r="628">
      <c r="D628" s="308"/>
      <c r="E628" s="309"/>
      <c r="F628" s="310"/>
      <c r="G628" s="311"/>
    </row>
    <row r="629">
      <c r="D629" s="308"/>
      <c r="E629" s="309"/>
      <c r="F629" s="310"/>
      <c r="G629" s="311"/>
    </row>
    <row r="630">
      <c r="D630" s="308"/>
      <c r="E630" s="309"/>
      <c r="F630" s="310"/>
      <c r="G630" s="311"/>
    </row>
    <row r="631">
      <c r="D631" s="308"/>
      <c r="E631" s="309"/>
      <c r="F631" s="310"/>
      <c r="G631" s="311"/>
    </row>
    <row r="632">
      <c r="D632" s="308"/>
      <c r="E632" s="309"/>
      <c r="F632" s="310"/>
      <c r="G632" s="311"/>
    </row>
    <row r="633">
      <c r="D633" s="308"/>
      <c r="E633" s="309"/>
      <c r="F633" s="310"/>
      <c r="G633" s="311"/>
    </row>
    <row r="634">
      <c r="D634" s="308"/>
      <c r="E634" s="309"/>
      <c r="F634" s="310"/>
      <c r="G634" s="311"/>
    </row>
    <row r="635">
      <c r="D635" s="308"/>
      <c r="E635" s="309"/>
      <c r="F635" s="310"/>
      <c r="G635" s="311"/>
    </row>
    <row r="636">
      <c r="D636" s="308"/>
      <c r="E636" s="309"/>
      <c r="F636" s="310"/>
      <c r="G636" s="311"/>
    </row>
    <row r="637">
      <c r="D637" s="308"/>
      <c r="E637" s="309"/>
      <c r="F637" s="310"/>
      <c r="G637" s="311"/>
    </row>
    <row r="638">
      <c r="D638" s="308"/>
      <c r="E638" s="309"/>
      <c r="F638" s="310"/>
      <c r="G638" s="311"/>
    </row>
    <row r="639">
      <c r="D639" s="308"/>
      <c r="E639" s="309"/>
      <c r="F639" s="310"/>
      <c r="G639" s="311"/>
    </row>
    <row r="640">
      <c r="D640" s="308"/>
      <c r="E640" s="309"/>
      <c r="F640" s="310"/>
      <c r="G640" s="311"/>
    </row>
    <row r="641">
      <c r="D641" s="308"/>
      <c r="E641" s="309"/>
      <c r="F641" s="310"/>
      <c r="G641" s="311"/>
    </row>
    <row r="642">
      <c r="D642" s="308"/>
      <c r="E642" s="309"/>
      <c r="F642" s="310"/>
      <c r="G642" s="311"/>
    </row>
    <row r="643">
      <c r="D643" s="308"/>
      <c r="E643" s="309"/>
      <c r="F643" s="310"/>
      <c r="G643" s="311"/>
    </row>
    <row r="644">
      <c r="D644" s="308"/>
      <c r="E644" s="309"/>
      <c r="F644" s="310"/>
      <c r="G644" s="311"/>
    </row>
    <row r="645">
      <c r="D645" s="308"/>
      <c r="E645" s="309"/>
      <c r="F645" s="310"/>
      <c r="G645" s="311"/>
    </row>
    <row r="646">
      <c r="D646" s="308"/>
      <c r="E646" s="309"/>
      <c r="F646" s="310"/>
      <c r="G646" s="311"/>
    </row>
    <row r="647">
      <c r="D647" s="308"/>
      <c r="E647" s="309"/>
      <c r="F647" s="310"/>
      <c r="G647" s="311"/>
    </row>
    <row r="648">
      <c r="D648" s="308"/>
      <c r="E648" s="309"/>
      <c r="F648" s="310"/>
      <c r="G648" s="311"/>
    </row>
    <row r="649">
      <c r="D649" s="308"/>
      <c r="E649" s="309"/>
      <c r="F649" s="310"/>
      <c r="G649" s="311"/>
    </row>
    <row r="650">
      <c r="D650" s="308"/>
      <c r="E650" s="309"/>
      <c r="F650" s="310"/>
      <c r="G650" s="311"/>
    </row>
    <row r="651">
      <c r="D651" s="308"/>
      <c r="E651" s="309"/>
      <c r="F651" s="310"/>
      <c r="G651" s="311"/>
    </row>
    <row r="652">
      <c r="D652" s="308"/>
      <c r="E652" s="309"/>
      <c r="F652" s="310"/>
      <c r="G652" s="311"/>
    </row>
    <row r="653">
      <c r="D653" s="308"/>
      <c r="E653" s="309"/>
      <c r="F653" s="310"/>
      <c r="G653" s="311"/>
    </row>
    <row r="654">
      <c r="D654" s="308"/>
      <c r="E654" s="309"/>
      <c r="F654" s="310"/>
      <c r="G654" s="311"/>
    </row>
    <row r="655">
      <c r="D655" s="308"/>
      <c r="E655" s="309"/>
      <c r="F655" s="310"/>
      <c r="G655" s="311"/>
    </row>
    <row r="656">
      <c r="D656" s="308"/>
      <c r="E656" s="309"/>
      <c r="F656" s="310"/>
      <c r="G656" s="311"/>
    </row>
    <row r="657">
      <c r="D657" s="308"/>
      <c r="E657" s="309"/>
      <c r="F657" s="310"/>
      <c r="G657" s="311"/>
    </row>
    <row r="658">
      <c r="D658" s="308"/>
      <c r="E658" s="309"/>
      <c r="F658" s="310"/>
      <c r="G658" s="311"/>
    </row>
    <row r="659">
      <c r="D659" s="308"/>
      <c r="E659" s="309"/>
      <c r="F659" s="310"/>
      <c r="G659" s="311"/>
    </row>
    <row r="660">
      <c r="D660" s="308"/>
      <c r="E660" s="309"/>
      <c r="F660" s="310"/>
      <c r="G660" s="311"/>
    </row>
    <row r="661">
      <c r="D661" s="308"/>
      <c r="E661" s="309"/>
      <c r="F661" s="310"/>
      <c r="G661" s="311"/>
    </row>
    <row r="662">
      <c r="D662" s="308"/>
      <c r="E662" s="309"/>
      <c r="F662" s="310"/>
      <c r="G662" s="311"/>
    </row>
    <row r="663">
      <c r="D663" s="308"/>
      <c r="E663" s="309"/>
      <c r="F663" s="310"/>
      <c r="G663" s="311"/>
    </row>
    <row r="664">
      <c r="D664" s="308"/>
      <c r="E664" s="309"/>
      <c r="F664" s="310"/>
      <c r="G664" s="311"/>
    </row>
    <row r="665">
      <c r="D665" s="308"/>
      <c r="E665" s="309"/>
      <c r="F665" s="310"/>
      <c r="G665" s="311"/>
    </row>
    <row r="666">
      <c r="D666" s="308"/>
      <c r="E666" s="309"/>
      <c r="F666" s="310"/>
      <c r="G666" s="311"/>
    </row>
    <row r="667">
      <c r="D667" s="308"/>
      <c r="E667" s="309"/>
      <c r="F667" s="310"/>
      <c r="G667" s="311"/>
    </row>
    <row r="668">
      <c r="D668" s="308"/>
      <c r="E668" s="309"/>
      <c r="F668" s="310"/>
      <c r="G668" s="311"/>
    </row>
    <row r="669">
      <c r="D669" s="308"/>
      <c r="E669" s="309"/>
      <c r="F669" s="310"/>
      <c r="G669" s="311"/>
    </row>
    <row r="670">
      <c r="D670" s="308"/>
      <c r="E670" s="309"/>
      <c r="F670" s="310"/>
      <c r="G670" s="311"/>
    </row>
    <row r="671">
      <c r="D671" s="308"/>
      <c r="E671" s="309"/>
      <c r="F671" s="310"/>
      <c r="G671" s="311"/>
    </row>
    <row r="672">
      <c r="D672" s="308"/>
      <c r="E672" s="309"/>
      <c r="F672" s="310"/>
      <c r="G672" s="311"/>
    </row>
    <row r="673">
      <c r="D673" s="308"/>
      <c r="E673" s="309"/>
      <c r="F673" s="310"/>
      <c r="G673" s="311"/>
    </row>
    <row r="674">
      <c r="D674" s="308"/>
      <c r="E674" s="309"/>
      <c r="F674" s="310"/>
      <c r="G674" s="311"/>
    </row>
    <row r="675">
      <c r="D675" s="308"/>
      <c r="E675" s="309"/>
      <c r="F675" s="310"/>
      <c r="G675" s="311"/>
    </row>
    <row r="676">
      <c r="D676" s="308"/>
      <c r="E676" s="309"/>
      <c r="F676" s="310"/>
      <c r="G676" s="311"/>
    </row>
    <row r="677">
      <c r="D677" s="308"/>
      <c r="E677" s="309"/>
      <c r="F677" s="310"/>
      <c r="G677" s="311"/>
    </row>
    <row r="678">
      <c r="D678" s="308"/>
      <c r="E678" s="309"/>
      <c r="F678" s="310"/>
      <c r="G678" s="311"/>
    </row>
    <row r="679">
      <c r="D679" s="308"/>
      <c r="E679" s="309"/>
      <c r="F679" s="310"/>
      <c r="G679" s="311"/>
    </row>
    <row r="680">
      <c r="D680" s="308"/>
      <c r="E680" s="309"/>
      <c r="F680" s="310"/>
      <c r="G680" s="311"/>
    </row>
    <row r="681">
      <c r="D681" s="308"/>
      <c r="E681" s="309"/>
      <c r="F681" s="310"/>
      <c r="G681" s="311"/>
    </row>
    <row r="682">
      <c r="D682" s="308"/>
      <c r="E682" s="309"/>
      <c r="F682" s="310"/>
      <c r="G682" s="311"/>
    </row>
    <row r="683">
      <c r="D683" s="308"/>
      <c r="E683" s="309"/>
      <c r="F683" s="310"/>
      <c r="G683" s="311"/>
    </row>
    <row r="684">
      <c r="D684" s="308"/>
      <c r="E684" s="309"/>
      <c r="F684" s="310"/>
      <c r="G684" s="311"/>
    </row>
    <row r="685">
      <c r="D685" s="308"/>
      <c r="E685" s="309"/>
      <c r="F685" s="310"/>
      <c r="G685" s="311"/>
    </row>
    <row r="686">
      <c r="D686" s="308"/>
      <c r="E686" s="309"/>
      <c r="F686" s="310"/>
      <c r="G686" s="311"/>
    </row>
    <row r="687">
      <c r="D687" s="308"/>
      <c r="E687" s="309"/>
      <c r="F687" s="310"/>
      <c r="G687" s="311"/>
    </row>
    <row r="688">
      <c r="D688" s="308"/>
      <c r="E688" s="309"/>
      <c r="F688" s="310"/>
      <c r="G688" s="311"/>
    </row>
    <row r="689">
      <c r="D689" s="308"/>
      <c r="E689" s="309"/>
      <c r="F689" s="310"/>
      <c r="G689" s="311"/>
    </row>
    <row r="690">
      <c r="D690" s="308"/>
      <c r="E690" s="309"/>
      <c r="F690" s="310"/>
      <c r="G690" s="311"/>
    </row>
    <row r="691">
      <c r="D691" s="308"/>
      <c r="E691" s="309"/>
      <c r="F691" s="310"/>
      <c r="G691" s="311"/>
    </row>
    <row r="692">
      <c r="D692" s="308"/>
      <c r="E692" s="309"/>
      <c r="F692" s="310"/>
      <c r="G692" s="311"/>
    </row>
    <row r="693">
      <c r="D693" s="308"/>
      <c r="E693" s="309"/>
      <c r="F693" s="310"/>
      <c r="G693" s="311"/>
    </row>
    <row r="694">
      <c r="D694" s="308"/>
      <c r="E694" s="309"/>
      <c r="F694" s="310"/>
      <c r="G694" s="311"/>
    </row>
    <row r="695">
      <c r="D695" s="308"/>
      <c r="E695" s="309"/>
      <c r="F695" s="310"/>
      <c r="G695" s="311"/>
    </row>
    <row r="696">
      <c r="D696" s="308"/>
      <c r="E696" s="309"/>
      <c r="F696" s="310"/>
      <c r="G696" s="311"/>
    </row>
    <row r="697">
      <c r="D697" s="308"/>
      <c r="E697" s="309"/>
      <c r="F697" s="310"/>
      <c r="G697" s="311"/>
    </row>
    <row r="698">
      <c r="D698" s="308"/>
      <c r="E698" s="309"/>
      <c r="F698" s="310"/>
      <c r="G698" s="311"/>
    </row>
    <row r="699">
      <c r="D699" s="308"/>
      <c r="E699" s="309"/>
      <c r="F699" s="310"/>
      <c r="G699" s="311"/>
    </row>
    <row r="700">
      <c r="D700" s="308"/>
      <c r="E700" s="309"/>
      <c r="F700" s="310"/>
      <c r="G700" s="311"/>
    </row>
    <row r="701">
      <c r="D701" s="308"/>
      <c r="E701" s="309"/>
      <c r="F701" s="310"/>
      <c r="G701" s="311"/>
    </row>
    <row r="702">
      <c r="D702" s="308"/>
      <c r="E702" s="309"/>
      <c r="F702" s="310"/>
      <c r="G702" s="311"/>
    </row>
    <row r="703">
      <c r="D703" s="308"/>
      <c r="E703" s="309"/>
      <c r="F703" s="310"/>
      <c r="G703" s="311"/>
    </row>
    <row r="704">
      <c r="D704" s="308"/>
      <c r="E704" s="309"/>
      <c r="F704" s="310"/>
      <c r="G704" s="311"/>
    </row>
    <row r="705">
      <c r="D705" s="308"/>
      <c r="E705" s="309"/>
      <c r="F705" s="310"/>
      <c r="G705" s="311"/>
    </row>
    <row r="706">
      <c r="D706" s="308"/>
      <c r="E706" s="309"/>
      <c r="F706" s="310"/>
      <c r="G706" s="311"/>
    </row>
    <row r="707">
      <c r="D707" s="308"/>
      <c r="E707" s="309"/>
      <c r="F707" s="310"/>
      <c r="G707" s="311"/>
    </row>
    <row r="708">
      <c r="D708" s="308"/>
      <c r="E708" s="309"/>
      <c r="F708" s="310"/>
      <c r="G708" s="311"/>
    </row>
    <row r="709">
      <c r="D709" s="308"/>
      <c r="E709" s="309"/>
      <c r="F709" s="310"/>
      <c r="G709" s="311"/>
    </row>
    <row r="710">
      <c r="D710" s="308"/>
      <c r="E710" s="309"/>
      <c r="F710" s="310"/>
      <c r="G710" s="311"/>
    </row>
    <row r="711">
      <c r="D711" s="308"/>
      <c r="E711" s="309"/>
      <c r="F711" s="310"/>
      <c r="G711" s="311"/>
    </row>
    <row r="712">
      <c r="D712" s="308"/>
      <c r="E712" s="309"/>
      <c r="F712" s="310"/>
      <c r="G712" s="311"/>
    </row>
    <row r="713">
      <c r="D713" s="308"/>
      <c r="E713" s="309"/>
      <c r="F713" s="310"/>
      <c r="G713" s="311"/>
    </row>
    <row r="714">
      <c r="D714" s="308"/>
      <c r="E714" s="309"/>
      <c r="F714" s="310"/>
      <c r="G714" s="311"/>
    </row>
    <row r="715">
      <c r="D715" s="308"/>
      <c r="E715" s="309"/>
      <c r="F715" s="310"/>
      <c r="G715" s="311"/>
    </row>
    <row r="716">
      <c r="D716" s="308"/>
      <c r="E716" s="309"/>
      <c r="F716" s="310"/>
      <c r="G716" s="311"/>
    </row>
    <row r="717">
      <c r="D717" s="308"/>
      <c r="E717" s="309"/>
      <c r="F717" s="310"/>
      <c r="G717" s="311"/>
    </row>
    <row r="718">
      <c r="D718" s="308"/>
      <c r="E718" s="309"/>
      <c r="F718" s="310"/>
      <c r="G718" s="311"/>
    </row>
    <row r="719">
      <c r="D719" s="308"/>
      <c r="E719" s="309"/>
      <c r="F719" s="310"/>
      <c r="G719" s="311"/>
    </row>
    <row r="720">
      <c r="D720" s="308"/>
      <c r="E720" s="309"/>
      <c r="F720" s="310"/>
      <c r="G720" s="311"/>
    </row>
    <row r="721">
      <c r="D721" s="308"/>
      <c r="E721" s="309"/>
      <c r="F721" s="310"/>
      <c r="G721" s="311"/>
    </row>
    <row r="722">
      <c r="D722" s="308"/>
      <c r="E722" s="309"/>
      <c r="F722" s="310"/>
      <c r="G722" s="311"/>
    </row>
    <row r="723">
      <c r="D723" s="308"/>
      <c r="E723" s="309"/>
      <c r="F723" s="310"/>
      <c r="G723" s="311"/>
    </row>
    <row r="724">
      <c r="D724" s="308"/>
      <c r="E724" s="309"/>
      <c r="F724" s="310"/>
      <c r="G724" s="311"/>
    </row>
    <row r="725">
      <c r="D725" s="308"/>
      <c r="E725" s="309"/>
      <c r="F725" s="310"/>
      <c r="G725" s="311"/>
    </row>
    <row r="726">
      <c r="D726" s="308"/>
      <c r="E726" s="309"/>
      <c r="F726" s="310"/>
      <c r="G726" s="311"/>
    </row>
    <row r="727">
      <c r="D727" s="308"/>
      <c r="E727" s="309"/>
      <c r="F727" s="310"/>
      <c r="G727" s="311"/>
    </row>
    <row r="728">
      <c r="D728" s="308"/>
      <c r="E728" s="309"/>
      <c r="F728" s="310"/>
      <c r="G728" s="311"/>
    </row>
    <row r="729">
      <c r="D729" s="308"/>
      <c r="E729" s="309"/>
      <c r="F729" s="310"/>
      <c r="G729" s="311"/>
    </row>
    <row r="730">
      <c r="D730" s="308"/>
      <c r="E730" s="309"/>
      <c r="F730" s="310"/>
      <c r="G730" s="311"/>
    </row>
    <row r="731">
      <c r="D731" s="308"/>
      <c r="E731" s="309"/>
      <c r="F731" s="310"/>
      <c r="G731" s="311"/>
    </row>
    <row r="732">
      <c r="D732" s="308"/>
      <c r="E732" s="309"/>
      <c r="F732" s="310"/>
      <c r="G732" s="311"/>
    </row>
    <row r="733">
      <c r="D733" s="308"/>
      <c r="E733" s="309"/>
      <c r="F733" s="310"/>
      <c r="G733" s="311"/>
    </row>
    <row r="734">
      <c r="D734" s="308"/>
      <c r="E734" s="309"/>
      <c r="F734" s="310"/>
      <c r="G734" s="311"/>
    </row>
    <row r="735">
      <c r="D735" s="308"/>
      <c r="E735" s="309"/>
      <c r="F735" s="310"/>
      <c r="G735" s="311"/>
    </row>
    <row r="736">
      <c r="D736" s="308"/>
      <c r="E736" s="309"/>
      <c r="F736" s="310"/>
      <c r="G736" s="311"/>
    </row>
    <row r="737">
      <c r="D737" s="308"/>
      <c r="E737" s="309"/>
      <c r="F737" s="310"/>
      <c r="G737" s="311"/>
    </row>
    <row r="738">
      <c r="D738" s="308"/>
      <c r="E738" s="309"/>
      <c r="F738" s="310"/>
      <c r="G738" s="311"/>
    </row>
    <row r="739">
      <c r="D739" s="308"/>
      <c r="E739" s="309"/>
      <c r="F739" s="310"/>
      <c r="G739" s="311"/>
    </row>
    <row r="740">
      <c r="D740" s="308"/>
      <c r="E740" s="309"/>
      <c r="F740" s="310"/>
      <c r="G740" s="311"/>
    </row>
    <row r="741">
      <c r="D741" s="308"/>
      <c r="E741" s="309"/>
      <c r="F741" s="310"/>
      <c r="G741" s="311"/>
    </row>
    <row r="742">
      <c r="D742" s="308"/>
      <c r="E742" s="309"/>
      <c r="F742" s="310"/>
      <c r="G742" s="311"/>
    </row>
    <row r="743">
      <c r="D743" s="308"/>
      <c r="E743" s="309"/>
      <c r="F743" s="310"/>
      <c r="G743" s="311"/>
    </row>
    <row r="744">
      <c r="D744" s="308"/>
      <c r="E744" s="309"/>
      <c r="F744" s="310"/>
      <c r="G744" s="311"/>
    </row>
    <row r="745">
      <c r="D745" s="308"/>
      <c r="E745" s="309"/>
      <c r="F745" s="310"/>
      <c r="G745" s="311"/>
    </row>
    <row r="746">
      <c r="D746" s="308"/>
      <c r="E746" s="309"/>
      <c r="F746" s="310"/>
      <c r="G746" s="311"/>
    </row>
    <row r="747">
      <c r="D747" s="308"/>
      <c r="E747" s="309"/>
      <c r="F747" s="310"/>
      <c r="G747" s="311"/>
    </row>
    <row r="748">
      <c r="D748" s="308"/>
      <c r="E748" s="309"/>
      <c r="F748" s="310"/>
      <c r="G748" s="311"/>
    </row>
    <row r="749">
      <c r="D749" s="308"/>
      <c r="E749" s="309"/>
      <c r="F749" s="310"/>
      <c r="G749" s="311"/>
    </row>
    <row r="750">
      <c r="D750" s="308"/>
      <c r="E750" s="309"/>
      <c r="F750" s="310"/>
      <c r="G750" s="311"/>
    </row>
    <row r="751">
      <c r="D751" s="308"/>
      <c r="E751" s="309"/>
      <c r="F751" s="310"/>
      <c r="G751" s="311"/>
    </row>
    <row r="752">
      <c r="D752" s="308"/>
      <c r="E752" s="309"/>
      <c r="F752" s="310"/>
      <c r="G752" s="311"/>
    </row>
    <row r="753">
      <c r="D753" s="308"/>
      <c r="E753" s="309"/>
      <c r="F753" s="310"/>
      <c r="G753" s="311"/>
    </row>
    <row r="754">
      <c r="D754" s="308"/>
      <c r="E754" s="309"/>
      <c r="F754" s="310"/>
      <c r="G754" s="311"/>
    </row>
    <row r="755">
      <c r="D755" s="308"/>
      <c r="E755" s="309"/>
      <c r="F755" s="310"/>
      <c r="G755" s="311"/>
    </row>
    <row r="756">
      <c r="D756" s="308"/>
      <c r="E756" s="309"/>
      <c r="F756" s="310"/>
      <c r="G756" s="311"/>
    </row>
    <row r="757">
      <c r="D757" s="308"/>
      <c r="E757" s="309"/>
      <c r="F757" s="310"/>
      <c r="G757" s="311"/>
    </row>
    <row r="758">
      <c r="D758" s="308"/>
      <c r="E758" s="309"/>
      <c r="F758" s="310"/>
      <c r="G758" s="311"/>
    </row>
    <row r="759">
      <c r="D759" s="308"/>
      <c r="E759" s="309"/>
      <c r="F759" s="310"/>
      <c r="G759" s="311"/>
    </row>
    <row r="760">
      <c r="D760" s="308"/>
      <c r="E760" s="309"/>
      <c r="F760" s="310"/>
      <c r="G760" s="311"/>
    </row>
    <row r="761">
      <c r="D761" s="308"/>
      <c r="E761" s="309"/>
      <c r="F761" s="310"/>
      <c r="G761" s="311"/>
    </row>
    <row r="762">
      <c r="D762" s="308"/>
      <c r="E762" s="309"/>
      <c r="F762" s="310"/>
      <c r="G762" s="311"/>
    </row>
    <row r="763">
      <c r="D763" s="308"/>
      <c r="E763" s="309"/>
      <c r="F763" s="310"/>
      <c r="G763" s="311"/>
    </row>
    <row r="764">
      <c r="D764" s="308"/>
      <c r="E764" s="309"/>
      <c r="F764" s="310"/>
      <c r="G764" s="311"/>
    </row>
    <row r="765">
      <c r="D765" s="308"/>
      <c r="E765" s="309"/>
      <c r="F765" s="310"/>
      <c r="G765" s="311"/>
    </row>
    <row r="766">
      <c r="D766" s="308"/>
      <c r="E766" s="309"/>
      <c r="F766" s="310"/>
      <c r="G766" s="311"/>
    </row>
    <row r="767">
      <c r="D767" s="308"/>
      <c r="E767" s="309"/>
      <c r="F767" s="310"/>
      <c r="G767" s="311"/>
    </row>
    <row r="768">
      <c r="D768" s="308"/>
      <c r="E768" s="309"/>
      <c r="F768" s="310"/>
      <c r="G768" s="311"/>
    </row>
    <row r="769">
      <c r="D769" s="308"/>
      <c r="E769" s="309"/>
      <c r="F769" s="310"/>
      <c r="G769" s="311"/>
    </row>
    <row r="770">
      <c r="D770" s="308"/>
      <c r="E770" s="309"/>
      <c r="F770" s="310"/>
      <c r="G770" s="311"/>
    </row>
    <row r="771">
      <c r="D771" s="308"/>
      <c r="E771" s="309"/>
      <c r="F771" s="310"/>
      <c r="G771" s="311"/>
    </row>
    <row r="772">
      <c r="D772" s="308"/>
      <c r="E772" s="309"/>
      <c r="F772" s="310"/>
      <c r="G772" s="311"/>
    </row>
    <row r="773">
      <c r="D773" s="308"/>
      <c r="E773" s="309"/>
      <c r="F773" s="310"/>
      <c r="G773" s="311"/>
    </row>
    <row r="774">
      <c r="D774" s="308"/>
      <c r="E774" s="309"/>
      <c r="F774" s="310"/>
      <c r="G774" s="311"/>
    </row>
    <row r="775">
      <c r="D775" s="308"/>
      <c r="E775" s="309"/>
      <c r="F775" s="310"/>
      <c r="G775" s="311"/>
    </row>
    <row r="776">
      <c r="D776" s="308"/>
      <c r="E776" s="309"/>
      <c r="F776" s="310"/>
      <c r="G776" s="311"/>
    </row>
    <row r="777">
      <c r="D777" s="308"/>
      <c r="E777" s="309"/>
      <c r="F777" s="310"/>
      <c r="G777" s="311"/>
    </row>
    <row r="778">
      <c r="D778" s="308"/>
      <c r="E778" s="309"/>
      <c r="F778" s="310"/>
      <c r="G778" s="311"/>
    </row>
    <row r="779">
      <c r="D779" s="308"/>
      <c r="E779" s="309"/>
      <c r="F779" s="310"/>
      <c r="G779" s="311"/>
    </row>
    <row r="780">
      <c r="D780" s="308"/>
      <c r="E780" s="309"/>
      <c r="F780" s="310"/>
      <c r="G780" s="311"/>
    </row>
    <row r="781">
      <c r="D781" s="308"/>
      <c r="E781" s="309"/>
      <c r="F781" s="310"/>
      <c r="G781" s="311"/>
    </row>
    <row r="782">
      <c r="D782" s="308"/>
      <c r="E782" s="309"/>
      <c r="F782" s="310"/>
      <c r="G782" s="311"/>
    </row>
    <row r="783">
      <c r="D783" s="308"/>
      <c r="E783" s="309"/>
      <c r="F783" s="310"/>
      <c r="G783" s="311"/>
    </row>
    <row r="784">
      <c r="D784" s="308"/>
      <c r="E784" s="309"/>
      <c r="F784" s="310"/>
      <c r="G784" s="311"/>
    </row>
    <row r="785">
      <c r="D785" s="308"/>
      <c r="E785" s="309"/>
      <c r="F785" s="310"/>
      <c r="G785" s="311"/>
    </row>
    <row r="786">
      <c r="D786" s="308"/>
      <c r="E786" s="309"/>
      <c r="F786" s="310"/>
      <c r="G786" s="311"/>
    </row>
    <row r="787">
      <c r="D787" s="308"/>
      <c r="E787" s="309"/>
      <c r="F787" s="310"/>
      <c r="G787" s="311"/>
    </row>
    <row r="788">
      <c r="D788" s="308"/>
      <c r="E788" s="309"/>
      <c r="F788" s="310"/>
      <c r="G788" s="311"/>
    </row>
    <row r="789">
      <c r="D789" s="308"/>
      <c r="E789" s="309"/>
      <c r="F789" s="310"/>
      <c r="G789" s="311"/>
    </row>
    <row r="790">
      <c r="D790" s="308"/>
      <c r="E790" s="309"/>
      <c r="F790" s="310"/>
      <c r="G790" s="311"/>
    </row>
    <row r="791">
      <c r="D791" s="308"/>
      <c r="E791" s="309"/>
      <c r="F791" s="310"/>
      <c r="G791" s="311"/>
    </row>
    <row r="792">
      <c r="D792" s="308"/>
      <c r="E792" s="309"/>
      <c r="F792" s="310"/>
      <c r="G792" s="311"/>
    </row>
    <row r="793">
      <c r="D793" s="308"/>
      <c r="E793" s="309"/>
      <c r="F793" s="310"/>
      <c r="G793" s="311"/>
    </row>
    <row r="794">
      <c r="D794" s="308"/>
      <c r="E794" s="309"/>
      <c r="F794" s="310"/>
      <c r="G794" s="311"/>
    </row>
    <row r="795">
      <c r="D795" s="308"/>
      <c r="E795" s="309"/>
      <c r="F795" s="310"/>
      <c r="G795" s="311"/>
    </row>
    <row r="796">
      <c r="D796" s="308"/>
      <c r="E796" s="309"/>
      <c r="F796" s="310"/>
      <c r="G796" s="311"/>
    </row>
    <row r="797">
      <c r="D797" s="308"/>
      <c r="E797" s="309"/>
      <c r="F797" s="310"/>
      <c r="G797" s="311"/>
    </row>
    <row r="798">
      <c r="D798" s="308"/>
      <c r="E798" s="309"/>
      <c r="F798" s="310"/>
      <c r="G798" s="311"/>
    </row>
    <row r="799">
      <c r="D799" s="308"/>
      <c r="E799" s="309"/>
      <c r="F799" s="310"/>
      <c r="G799" s="311"/>
    </row>
    <row r="800">
      <c r="D800" s="308"/>
      <c r="E800" s="309"/>
      <c r="F800" s="310"/>
      <c r="G800" s="311"/>
    </row>
    <row r="801">
      <c r="D801" s="308"/>
      <c r="E801" s="309"/>
      <c r="F801" s="310"/>
      <c r="G801" s="311"/>
    </row>
    <row r="802">
      <c r="D802" s="308"/>
      <c r="E802" s="309"/>
      <c r="F802" s="310"/>
      <c r="G802" s="311"/>
    </row>
    <row r="803">
      <c r="D803" s="308"/>
      <c r="E803" s="309"/>
      <c r="F803" s="310"/>
      <c r="G803" s="311"/>
    </row>
    <row r="804">
      <c r="D804" s="308"/>
      <c r="E804" s="309"/>
      <c r="F804" s="310"/>
      <c r="G804" s="311"/>
    </row>
    <row r="805">
      <c r="D805" s="308"/>
      <c r="E805" s="309"/>
      <c r="F805" s="310"/>
      <c r="G805" s="311"/>
    </row>
    <row r="806">
      <c r="D806" s="308"/>
      <c r="E806" s="309"/>
      <c r="F806" s="310"/>
      <c r="G806" s="311"/>
    </row>
    <row r="807">
      <c r="D807" s="308"/>
      <c r="E807" s="309"/>
      <c r="F807" s="310"/>
      <c r="G807" s="311"/>
    </row>
    <row r="808">
      <c r="D808" s="308"/>
      <c r="E808" s="309"/>
      <c r="F808" s="310"/>
      <c r="G808" s="311"/>
    </row>
    <row r="809">
      <c r="D809" s="308"/>
      <c r="E809" s="309"/>
      <c r="F809" s="310"/>
      <c r="G809" s="311"/>
    </row>
    <row r="810">
      <c r="D810" s="308"/>
      <c r="E810" s="309"/>
      <c r="F810" s="310"/>
      <c r="G810" s="311"/>
    </row>
    <row r="811">
      <c r="D811" s="308"/>
      <c r="E811" s="309"/>
      <c r="F811" s="310"/>
      <c r="G811" s="311"/>
    </row>
    <row r="812">
      <c r="D812" s="308"/>
      <c r="E812" s="309"/>
      <c r="F812" s="310"/>
      <c r="G812" s="311"/>
    </row>
    <row r="813">
      <c r="D813" s="308"/>
      <c r="E813" s="309"/>
      <c r="F813" s="310"/>
      <c r="G813" s="311"/>
    </row>
    <row r="814">
      <c r="D814" s="308"/>
      <c r="E814" s="309"/>
      <c r="F814" s="310"/>
      <c r="G814" s="311"/>
    </row>
    <row r="815">
      <c r="D815" s="308"/>
      <c r="E815" s="309"/>
      <c r="F815" s="310"/>
      <c r="G815" s="311"/>
    </row>
    <row r="816">
      <c r="D816" s="308"/>
      <c r="E816" s="309"/>
      <c r="F816" s="310"/>
      <c r="G816" s="311"/>
    </row>
    <row r="817">
      <c r="D817" s="308"/>
      <c r="E817" s="309"/>
      <c r="F817" s="310"/>
      <c r="G817" s="311"/>
    </row>
    <row r="818">
      <c r="D818" s="308"/>
      <c r="E818" s="309"/>
      <c r="F818" s="310"/>
      <c r="G818" s="311"/>
    </row>
    <row r="819">
      <c r="D819" s="308"/>
      <c r="E819" s="309"/>
      <c r="F819" s="310"/>
      <c r="G819" s="311"/>
    </row>
    <row r="820">
      <c r="D820" s="308"/>
      <c r="E820" s="309"/>
      <c r="F820" s="310"/>
      <c r="G820" s="311"/>
    </row>
    <row r="821">
      <c r="D821" s="308"/>
      <c r="E821" s="309"/>
      <c r="F821" s="310"/>
      <c r="G821" s="311"/>
    </row>
    <row r="822">
      <c r="D822" s="308"/>
      <c r="E822" s="309"/>
      <c r="F822" s="310"/>
      <c r="G822" s="311"/>
    </row>
    <row r="823">
      <c r="D823" s="308"/>
      <c r="E823" s="309"/>
      <c r="F823" s="310"/>
      <c r="G823" s="311"/>
    </row>
    <row r="824">
      <c r="D824" s="308"/>
      <c r="E824" s="309"/>
      <c r="F824" s="310"/>
      <c r="G824" s="311"/>
    </row>
    <row r="825">
      <c r="D825" s="308"/>
      <c r="E825" s="309"/>
      <c r="F825" s="310"/>
      <c r="G825" s="311"/>
    </row>
    <row r="826">
      <c r="D826" s="308"/>
      <c r="E826" s="309"/>
      <c r="F826" s="310"/>
      <c r="G826" s="311"/>
    </row>
    <row r="827">
      <c r="D827" s="308"/>
      <c r="E827" s="309"/>
      <c r="F827" s="310"/>
      <c r="G827" s="311"/>
    </row>
    <row r="828">
      <c r="D828" s="308"/>
      <c r="E828" s="309"/>
      <c r="F828" s="310"/>
      <c r="G828" s="311"/>
    </row>
    <row r="829">
      <c r="D829" s="308"/>
      <c r="E829" s="309"/>
      <c r="F829" s="310"/>
      <c r="G829" s="311"/>
    </row>
    <row r="830">
      <c r="D830" s="308"/>
      <c r="E830" s="309"/>
      <c r="F830" s="310"/>
      <c r="G830" s="311"/>
    </row>
    <row r="831">
      <c r="D831" s="308"/>
      <c r="E831" s="309"/>
      <c r="F831" s="310"/>
      <c r="G831" s="311"/>
    </row>
    <row r="832">
      <c r="D832" s="308"/>
      <c r="E832" s="309"/>
      <c r="F832" s="310"/>
      <c r="G832" s="311"/>
    </row>
    <row r="833">
      <c r="D833" s="308"/>
      <c r="E833" s="309"/>
      <c r="F833" s="310"/>
      <c r="G833" s="311"/>
    </row>
    <row r="834">
      <c r="D834" s="308"/>
      <c r="E834" s="309"/>
      <c r="F834" s="310"/>
      <c r="G834" s="311"/>
    </row>
    <row r="835">
      <c r="D835" s="308"/>
      <c r="E835" s="309"/>
      <c r="F835" s="310"/>
      <c r="G835" s="311"/>
    </row>
    <row r="836">
      <c r="D836" s="308"/>
      <c r="E836" s="309"/>
      <c r="F836" s="310"/>
      <c r="G836" s="311"/>
    </row>
    <row r="837">
      <c r="D837" s="308"/>
      <c r="E837" s="309"/>
      <c r="F837" s="310"/>
      <c r="G837" s="311"/>
    </row>
    <row r="838">
      <c r="D838" s="308"/>
      <c r="E838" s="309"/>
      <c r="F838" s="310"/>
      <c r="G838" s="311"/>
    </row>
    <row r="839">
      <c r="D839" s="308"/>
      <c r="E839" s="309"/>
      <c r="F839" s="310"/>
      <c r="G839" s="311"/>
    </row>
    <row r="840">
      <c r="D840" s="308"/>
      <c r="E840" s="309"/>
      <c r="F840" s="310"/>
      <c r="G840" s="311"/>
    </row>
    <row r="841">
      <c r="D841" s="308"/>
      <c r="E841" s="309"/>
      <c r="F841" s="310"/>
      <c r="G841" s="311"/>
    </row>
    <row r="842">
      <c r="D842" s="308"/>
      <c r="E842" s="309"/>
      <c r="F842" s="310"/>
      <c r="G842" s="311"/>
    </row>
    <row r="843">
      <c r="D843" s="308"/>
      <c r="E843" s="309"/>
      <c r="F843" s="310"/>
      <c r="G843" s="311"/>
    </row>
    <row r="844">
      <c r="D844" s="308"/>
      <c r="E844" s="309"/>
      <c r="F844" s="310"/>
      <c r="G844" s="311"/>
    </row>
    <row r="845">
      <c r="D845" s="308"/>
      <c r="E845" s="309"/>
      <c r="F845" s="310"/>
      <c r="G845" s="311"/>
    </row>
    <row r="846">
      <c r="D846" s="308"/>
      <c r="E846" s="309"/>
      <c r="F846" s="310"/>
      <c r="G846" s="311"/>
    </row>
    <row r="847">
      <c r="D847" s="308"/>
      <c r="E847" s="309"/>
      <c r="F847" s="310"/>
      <c r="G847" s="311"/>
    </row>
    <row r="848">
      <c r="D848" s="308"/>
      <c r="E848" s="309"/>
      <c r="F848" s="310"/>
      <c r="G848" s="311"/>
    </row>
    <row r="849">
      <c r="D849" s="308"/>
      <c r="E849" s="309"/>
      <c r="F849" s="310"/>
      <c r="G849" s="311"/>
    </row>
    <row r="850">
      <c r="D850" s="308"/>
      <c r="E850" s="309"/>
      <c r="F850" s="310"/>
      <c r="G850" s="311"/>
    </row>
    <row r="851">
      <c r="D851" s="308"/>
      <c r="E851" s="309"/>
      <c r="F851" s="310"/>
      <c r="G851" s="311"/>
    </row>
    <row r="852">
      <c r="D852" s="308"/>
      <c r="E852" s="309"/>
      <c r="F852" s="310"/>
      <c r="G852" s="311"/>
    </row>
    <row r="853">
      <c r="D853" s="308"/>
      <c r="E853" s="309"/>
      <c r="F853" s="310"/>
      <c r="G853" s="311"/>
    </row>
    <row r="854">
      <c r="D854" s="308"/>
      <c r="E854" s="309"/>
      <c r="F854" s="310"/>
      <c r="G854" s="311"/>
    </row>
    <row r="855">
      <c r="D855" s="308"/>
      <c r="E855" s="309"/>
      <c r="F855" s="310"/>
      <c r="G855" s="311"/>
    </row>
    <row r="856">
      <c r="D856" s="308"/>
      <c r="E856" s="309"/>
      <c r="F856" s="310"/>
      <c r="G856" s="311"/>
    </row>
    <row r="857">
      <c r="D857" s="308"/>
      <c r="E857" s="309"/>
      <c r="F857" s="310"/>
      <c r="G857" s="311"/>
    </row>
    <row r="858">
      <c r="D858" s="308"/>
      <c r="E858" s="309"/>
      <c r="F858" s="310"/>
      <c r="G858" s="311"/>
    </row>
    <row r="859">
      <c r="D859" s="308"/>
      <c r="E859" s="309"/>
      <c r="F859" s="310"/>
      <c r="G859" s="311"/>
    </row>
    <row r="860">
      <c r="D860" s="308"/>
      <c r="E860" s="309"/>
      <c r="F860" s="310"/>
      <c r="G860" s="311"/>
    </row>
    <row r="861">
      <c r="D861" s="308"/>
      <c r="E861" s="309"/>
      <c r="F861" s="310"/>
      <c r="G861" s="311"/>
    </row>
    <row r="862">
      <c r="D862" s="308"/>
      <c r="E862" s="309"/>
      <c r="F862" s="310"/>
      <c r="G862" s="311"/>
    </row>
    <row r="863">
      <c r="D863" s="308"/>
      <c r="E863" s="309"/>
      <c r="F863" s="310"/>
      <c r="G863" s="311"/>
    </row>
    <row r="864">
      <c r="D864" s="308"/>
      <c r="E864" s="309"/>
      <c r="F864" s="310"/>
      <c r="G864" s="311"/>
    </row>
    <row r="865">
      <c r="D865" s="308"/>
      <c r="E865" s="309"/>
      <c r="F865" s="310"/>
      <c r="G865" s="311"/>
    </row>
    <row r="866">
      <c r="D866" s="308"/>
      <c r="E866" s="309"/>
      <c r="F866" s="310"/>
      <c r="G866" s="311"/>
    </row>
    <row r="867">
      <c r="D867" s="308"/>
      <c r="E867" s="309"/>
      <c r="F867" s="310"/>
      <c r="G867" s="311"/>
    </row>
    <row r="868">
      <c r="D868" s="308"/>
      <c r="E868" s="309"/>
      <c r="F868" s="310"/>
      <c r="G868" s="311"/>
    </row>
    <row r="869">
      <c r="D869" s="308"/>
      <c r="E869" s="309"/>
      <c r="F869" s="310"/>
      <c r="G869" s="311"/>
    </row>
    <row r="870">
      <c r="D870" s="308"/>
      <c r="E870" s="309"/>
      <c r="F870" s="310"/>
      <c r="G870" s="311"/>
    </row>
    <row r="871">
      <c r="D871" s="308"/>
      <c r="E871" s="309"/>
      <c r="F871" s="310"/>
      <c r="G871" s="311"/>
    </row>
    <row r="872">
      <c r="D872" s="308"/>
      <c r="E872" s="309"/>
      <c r="F872" s="310"/>
      <c r="G872" s="311"/>
    </row>
    <row r="873">
      <c r="D873" s="308"/>
      <c r="E873" s="309"/>
      <c r="F873" s="310"/>
      <c r="G873" s="311"/>
    </row>
    <row r="874">
      <c r="D874" s="308"/>
      <c r="E874" s="309"/>
      <c r="F874" s="310"/>
      <c r="G874" s="311"/>
    </row>
    <row r="875">
      <c r="D875" s="308"/>
      <c r="E875" s="309"/>
      <c r="F875" s="310"/>
      <c r="G875" s="311"/>
    </row>
    <row r="876">
      <c r="D876" s="308"/>
      <c r="E876" s="309"/>
      <c r="F876" s="310"/>
      <c r="G876" s="311"/>
    </row>
    <row r="877">
      <c r="D877" s="308"/>
      <c r="E877" s="309"/>
      <c r="F877" s="310"/>
      <c r="G877" s="311"/>
    </row>
    <row r="878">
      <c r="D878" s="308"/>
      <c r="E878" s="309"/>
      <c r="F878" s="310"/>
      <c r="G878" s="311"/>
    </row>
    <row r="879">
      <c r="D879" s="308"/>
      <c r="E879" s="309"/>
      <c r="F879" s="310"/>
      <c r="G879" s="311"/>
    </row>
    <row r="880">
      <c r="D880" s="308"/>
      <c r="E880" s="309"/>
      <c r="F880" s="310"/>
      <c r="G880" s="311"/>
    </row>
    <row r="881">
      <c r="D881" s="308"/>
      <c r="E881" s="309"/>
      <c r="F881" s="310"/>
      <c r="G881" s="311"/>
    </row>
    <row r="882">
      <c r="D882" s="308"/>
      <c r="E882" s="309"/>
      <c r="F882" s="310"/>
      <c r="G882" s="311"/>
    </row>
    <row r="883">
      <c r="D883" s="308"/>
      <c r="E883" s="309"/>
      <c r="F883" s="310"/>
      <c r="G883" s="311"/>
    </row>
    <row r="884">
      <c r="D884" s="308"/>
      <c r="E884" s="309"/>
      <c r="F884" s="310"/>
      <c r="G884" s="311"/>
    </row>
    <row r="885">
      <c r="D885" s="308"/>
      <c r="E885" s="309"/>
      <c r="F885" s="310"/>
      <c r="G885" s="311"/>
    </row>
    <row r="886">
      <c r="D886" s="308"/>
      <c r="E886" s="309"/>
      <c r="F886" s="310"/>
      <c r="G886" s="311"/>
    </row>
    <row r="887">
      <c r="D887" s="308"/>
      <c r="E887" s="309"/>
      <c r="F887" s="310"/>
      <c r="G887" s="311"/>
    </row>
    <row r="888">
      <c r="D888" s="308"/>
      <c r="E888" s="309"/>
      <c r="F888" s="310"/>
      <c r="G888" s="311"/>
    </row>
    <row r="889">
      <c r="D889" s="308"/>
      <c r="E889" s="309"/>
      <c r="F889" s="310"/>
      <c r="G889" s="311"/>
    </row>
    <row r="890">
      <c r="D890" s="308"/>
      <c r="E890" s="309"/>
      <c r="F890" s="310"/>
      <c r="G890" s="311"/>
    </row>
    <row r="891">
      <c r="D891" s="308"/>
      <c r="E891" s="309"/>
      <c r="F891" s="310"/>
      <c r="G891" s="311"/>
    </row>
    <row r="892">
      <c r="D892" s="308"/>
      <c r="E892" s="309"/>
      <c r="F892" s="310"/>
      <c r="G892" s="311"/>
    </row>
    <row r="893">
      <c r="D893" s="308"/>
      <c r="E893" s="309"/>
      <c r="F893" s="310"/>
      <c r="G893" s="311"/>
    </row>
    <row r="894">
      <c r="D894" s="308"/>
      <c r="E894" s="309"/>
      <c r="F894" s="310"/>
      <c r="G894" s="311"/>
    </row>
    <row r="895">
      <c r="D895" s="308"/>
      <c r="E895" s="309"/>
      <c r="F895" s="310"/>
      <c r="G895" s="311"/>
    </row>
    <row r="896">
      <c r="D896" s="308"/>
      <c r="E896" s="309"/>
      <c r="F896" s="310"/>
      <c r="G896" s="311"/>
    </row>
    <row r="897">
      <c r="D897" s="308"/>
      <c r="E897" s="309"/>
      <c r="F897" s="310"/>
      <c r="G897" s="311"/>
    </row>
    <row r="898">
      <c r="D898" s="308"/>
      <c r="E898" s="309"/>
      <c r="F898" s="310"/>
      <c r="G898" s="311"/>
    </row>
    <row r="899">
      <c r="D899" s="308"/>
      <c r="E899" s="309"/>
      <c r="F899" s="310"/>
      <c r="G899" s="311"/>
    </row>
    <row r="900">
      <c r="D900" s="308"/>
      <c r="E900" s="309"/>
      <c r="F900" s="310"/>
      <c r="G900" s="311"/>
    </row>
    <row r="901">
      <c r="D901" s="308"/>
      <c r="E901" s="309"/>
      <c r="F901" s="310"/>
      <c r="G901" s="311"/>
    </row>
    <row r="902">
      <c r="D902" s="308"/>
      <c r="E902" s="309"/>
      <c r="F902" s="310"/>
      <c r="G902" s="311"/>
    </row>
    <row r="903">
      <c r="D903" s="308"/>
      <c r="E903" s="309"/>
      <c r="F903" s="310"/>
      <c r="G903" s="311"/>
    </row>
    <row r="904">
      <c r="D904" s="308"/>
      <c r="E904" s="309"/>
      <c r="F904" s="310"/>
      <c r="G904" s="311"/>
    </row>
    <row r="905">
      <c r="D905" s="308"/>
      <c r="E905" s="309"/>
      <c r="F905" s="310"/>
      <c r="G905" s="311"/>
    </row>
    <row r="906">
      <c r="D906" s="308"/>
      <c r="E906" s="309"/>
      <c r="F906" s="310"/>
      <c r="G906" s="311"/>
    </row>
    <row r="907">
      <c r="D907" s="308"/>
      <c r="E907" s="309"/>
      <c r="F907" s="310"/>
      <c r="G907" s="311"/>
    </row>
    <row r="908">
      <c r="D908" s="308"/>
      <c r="E908" s="309"/>
      <c r="F908" s="310"/>
      <c r="G908" s="311"/>
    </row>
    <row r="909">
      <c r="D909" s="308"/>
      <c r="E909" s="309"/>
      <c r="F909" s="310"/>
      <c r="G909" s="311"/>
    </row>
    <row r="910">
      <c r="D910" s="308"/>
      <c r="E910" s="309"/>
      <c r="F910" s="310"/>
      <c r="G910" s="311"/>
    </row>
    <row r="911">
      <c r="D911" s="308"/>
      <c r="E911" s="309"/>
      <c r="F911" s="310"/>
      <c r="G911" s="311"/>
    </row>
    <row r="912">
      <c r="D912" s="308"/>
      <c r="E912" s="309"/>
      <c r="F912" s="310"/>
      <c r="G912" s="311"/>
    </row>
    <row r="913">
      <c r="D913" s="308"/>
      <c r="E913" s="309"/>
      <c r="F913" s="310"/>
      <c r="G913" s="311"/>
    </row>
    <row r="914">
      <c r="D914" s="308"/>
      <c r="E914" s="309"/>
      <c r="F914" s="310"/>
      <c r="G914" s="311"/>
    </row>
    <row r="915">
      <c r="D915" s="308"/>
      <c r="E915" s="309"/>
      <c r="F915" s="310"/>
      <c r="G915" s="311"/>
    </row>
    <row r="916">
      <c r="D916" s="308"/>
      <c r="E916" s="309"/>
      <c r="F916" s="310"/>
      <c r="G916" s="311"/>
    </row>
    <row r="917">
      <c r="D917" s="308"/>
      <c r="E917" s="309"/>
      <c r="F917" s="310"/>
      <c r="G917" s="311"/>
    </row>
    <row r="918">
      <c r="D918" s="308"/>
      <c r="E918" s="309"/>
      <c r="F918" s="310"/>
      <c r="G918" s="311"/>
    </row>
    <row r="919">
      <c r="D919" s="308"/>
      <c r="E919" s="309"/>
      <c r="F919" s="310"/>
      <c r="G919" s="311"/>
    </row>
    <row r="920">
      <c r="D920" s="308"/>
      <c r="E920" s="309"/>
      <c r="F920" s="310"/>
      <c r="G920" s="311"/>
    </row>
    <row r="921">
      <c r="D921" s="308"/>
      <c r="E921" s="309"/>
      <c r="F921" s="310"/>
      <c r="G921" s="311"/>
    </row>
    <row r="922">
      <c r="D922" s="308"/>
      <c r="E922" s="309"/>
      <c r="F922" s="310"/>
      <c r="G922" s="311"/>
    </row>
    <row r="923">
      <c r="D923" s="308"/>
      <c r="E923" s="309"/>
      <c r="F923" s="310"/>
      <c r="G923" s="311"/>
    </row>
    <row r="924">
      <c r="D924" s="308"/>
      <c r="E924" s="309"/>
      <c r="F924" s="310"/>
      <c r="G924" s="311"/>
    </row>
    <row r="925">
      <c r="D925" s="308"/>
      <c r="E925" s="309"/>
      <c r="F925" s="310"/>
      <c r="G925" s="311"/>
    </row>
    <row r="926">
      <c r="D926" s="308"/>
      <c r="E926" s="309"/>
      <c r="F926" s="310"/>
      <c r="G926" s="311"/>
    </row>
    <row r="927">
      <c r="D927" s="308"/>
      <c r="E927" s="309"/>
      <c r="F927" s="310"/>
      <c r="G927" s="311"/>
    </row>
    <row r="928">
      <c r="D928" s="308"/>
      <c r="E928" s="309"/>
      <c r="F928" s="310"/>
      <c r="G928" s="311"/>
    </row>
    <row r="929">
      <c r="D929" s="308"/>
      <c r="E929" s="309"/>
      <c r="F929" s="310"/>
      <c r="G929" s="311"/>
    </row>
    <row r="930">
      <c r="D930" s="308"/>
      <c r="E930" s="309"/>
      <c r="F930" s="310"/>
      <c r="G930" s="311"/>
    </row>
    <row r="931">
      <c r="D931" s="308"/>
      <c r="E931" s="309"/>
      <c r="F931" s="310"/>
      <c r="G931" s="311"/>
    </row>
    <row r="932">
      <c r="D932" s="308"/>
      <c r="E932" s="309"/>
      <c r="F932" s="310"/>
      <c r="G932" s="311"/>
    </row>
    <row r="933">
      <c r="D933" s="308"/>
      <c r="E933" s="309"/>
      <c r="F933" s="310"/>
      <c r="G933" s="311"/>
    </row>
    <row r="934">
      <c r="D934" s="308"/>
      <c r="E934" s="309"/>
      <c r="F934" s="310"/>
      <c r="G934" s="311"/>
    </row>
    <row r="935">
      <c r="D935" s="308"/>
      <c r="E935" s="309"/>
      <c r="F935" s="310"/>
      <c r="G935" s="311"/>
    </row>
    <row r="936">
      <c r="D936" s="308"/>
      <c r="E936" s="309"/>
      <c r="F936" s="310"/>
      <c r="G936" s="311"/>
    </row>
    <row r="937">
      <c r="D937" s="308"/>
      <c r="E937" s="309"/>
      <c r="F937" s="310"/>
      <c r="G937" s="311"/>
    </row>
    <row r="938">
      <c r="D938" s="308"/>
      <c r="E938" s="309"/>
      <c r="F938" s="310"/>
      <c r="G938" s="311"/>
    </row>
    <row r="939">
      <c r="D939" s="308"/>
      <c r="E939" s="309"/>
      <c r="F939" s="310"/>
      <c r="G939" s="311"/>
    </row>
    <row r="940">
      <c r="D940" s="308"/>
      <c r="E940" s="309"/>
      <c r="F940" s="310"/>
      <c r="G940" s="311"/>
    </row>
    <row r="941">
      <c r="D941" s="308"/>
      <c r="E941" s="309"/>
      <c r="F941" s="310"/>
      <c r="G941" s="311"/>
    </row>
    <row r="942">
      <c r="D942" s="308"/>
      <c r="E942" s="309"/>
      <c r="F942" s="310"/>
      <c r="G942" s="311"/>
    </row>
    <row r="943">
      <c r="D943" s="308"/>
      <c r="E943" s="309"/>
      <c r="F943" s="310"/>
      <c r="G943" s="311"/>
    </row>
    <row r="944">
      <c r="D944" s="308"/>
      <c r="E944" s="309"/>
      <c r="F944" s="310"/>
      <c r="G944" s="311"/>
    </row>
    <row r="945">
      <c r="D945" s="308"/>
      <c r="E945" s="309"/>
      <c r="F945" s="310"/>
      <c r="G945" s="311"/>
    </row>
    <row r="946">
      <c r="D946" s="308"/>
      <c r="E946" s="309"/>
      <c r="F946" s="310"/>
      <c r="G946" s="311"/>
    </row>
    <row r="947">
      <c r="D947" s="308"/>
      <c r="E947" s="309"/>
      <c r="F947" s="310"/>
      <c r="G947" s="311"/>
    </row>
    <row r="948">
      <c r="D948" s="308"/>
      <c r="E948" s="309"/>
      <c r="F948" s="310"/>
      <c r="G948" s="311"/>
    </row>
    <row r="949">
      <c r="D949" s="308"/>
      <c r="E949" s="309"/>
      <c r="F949" s="310"/>
      <c r="G949" s="311"/>
    </row>
    <row r="950">
      <c r="D950" s="308"/>
      <c r="E950" s="309"/>
      <c r="F950" s="310"/>
      <c r="G950" s="311"/>
    </row>
    <row r="951">
      <c r="D951" s="308"/>
      <c r="E951" s="309"/>
      <c r="F951" s="310"/>
      <c r="G951" s="311"/>
    </row>
    <row r="952">
      <c r="D952" s="308"/>
      <c r="E952" s="309"/>
      <c r="F952" s="310"/>
      <c r="G952" s="311"/>
    </row>
    <row r="953">
      <c r="D953" s="308"/>
      <c r="E953" s="309"/>
      <c r="F953" s="310"/>
      <c r="G953" s="311"/>
    </row>
    <row r="954">
      <c r="D954" s="308"/>
      <c r="E954" s="309"/>
      <c r="F954" s="310"/>
      <c r="G954" s="311"/>
    </row>
    <row r="955">
      <c r="D955" s="308"/>
      <c r="E955" s="309"/>
      <c r="F955" s="310"/>
      <c r="G955" s="311"/>
    </row>
    <row r="956">
      <c r="D956" s="308"/>
      <c r="E956" s="309"/>
      <c r="F956" s="310"/>
      <c r="G956" s="311"/>
    </row>
    <row r="957">
      <c r="D957" s="308"/>
      <c r="E957" s="309"/>
      <c r="F957" s="310"/>
      <c r="G957" s="311"/>
    </row>
    <row r="958">
      <c r="D958" s="308"/>
      <c r="E958" s="309"/>
      <c r="F958" s="310"/>
      <c r="G958" s="311"/>
    </row>
    <row r="959">
      <c r="D959" s="308"/>
      <c r="E959" s="309"/>
      <c r="F959" s="310"/>
      <c r="G959" s="311"/>
    </row>
    <row r="960">
      <c r="D960" s="308"/>
      <c r="E960" s="309"/>
      <c r="F960" s="310"/>
      <c r="G960" s="311"/>
    </row>
    <row r="961">
      <c r="D961" s="308"/>
      <c r="E961" s="309"/>
      <c r="F961" s="310"/>
      <c r="G961" s="311"/>
    </row>
    <row r="962">
      <c r="D962" s="308"/>
      <c r="E962" s="309"/>
      <c r="F962" s="310"/>
      <c r="G962" s="311"/>
    </row>
    <row r="963">
      <c r="D963" s="308"/>
      <c r="E963" s="309"/>
      <c r="F963" s="310"/>
      <c r="G963" s="311"/>
    </row>
    <row r="964">
      <c r="D964" s="308"/>
      <c r="E964" s="309"/>
      <c r="F964" s="310"/>
      <c r="G964" s="311"/>
    </row>
    <row r="965">
      <c r="D965" s="308"/>
      <c r="E965" s="309"/>
      <c r="F965" s="310"/>
      <c r="G965" s="311"/>
    </row>
    <row r="966">
      <c r="D966" s="308"/>
      <c r="E966" s="309"/>
      <c r="F966" s="310"/>
      <c r="G966" s="311"/>
    </row>
    <row r="967">
      <c r="D967" s="308"/>
      <c r="E967" s="309"/>
      <c r="F967" s="310"/>
      <c r="G967" s="311"/>
    </row>
    <row r="968">
      <c r="D968" s="308"/>
      <c r="E968" s="309"/>
      <c r="F968" s="310"/>
      <c r="G968" s="311"/>
    </row>
    <row r="969">
      <c r="D969" s="308"/>
      <c r="E969" s="309"/>
      <c r="F969" s="310"/>
      <c r="G969" s="311"/>
    </row>
    <row r="970">
      <c r="D970" s="308"/>
      <c r="E970" s="309"/>
      <c r="F970" s="310"/>
      <c r="G970" s="311"/>
    </row>
    <row r="971">
      <c r="D971" s="308"/>
      <c r="E971" s="309"/>
      <c r="F971" s="310"/>
      <c r="G971" s="311"/>
    </row>
    <row r="972">
      <c r="D972" s="308"/>
      <c r="E972" s="309"/>
      <c r="F972" s="310"/>
      <c r="G972" s="311"/>
    </row>
    <row r="973">
      <c r="D973" s="308"/>
      <c r="E973" s="309"/>
      <c r="F973" s="310"/>
      <c r="G973" s="311"/>
    </row>
    <row r="974">
      <c r="D974" s="308"/>
      <c r="E974" s="309"/>
      <c r="F974" s="310"/>
      <c r="G974" s="311"/>
    </row>
    <row r="975">
      <c r="D975" s="308"/>
      <c r="E975" s="309"/>
      <c r="F975" s="310"/>
      <c r="G975" s="311"/>
    </row>
    <row r="976">
      <c r="D976" s="308"/>
      <c r="E976" s="309"/>
      <c r="F976" s="310"/>
      <c r="G976" s="311"/>
    </row>
    <row r="977">
      <c r="D977" s="308"/>
      <c r="E977" s="309"/>
      <c r="F977" s="310"/>
      <c r="G977" s="311"/>
    </row>
    <row r="978">
      <c r="D978" s="308"/>
      <c r="E978" s="309"/>
      <c r="F978" s="310"/>
      <c r="G978" s="311"/>
    </row>
    <row r="979">
      <c r="D979" s="308"/>
      <c r="E979" s="309"/>
      <c r="F979" s="310"/>
      <c r="G979" s="311"/>
    </row>
    <row r="980">
      <c r="D980" s="308"/>
      <c r="E980" s="309"/>
      <c r="F980" s="310"/>
      <c r="G980" s="311"/>
    </row>
    <row r="981">
      <c r="D981" s="308"/>
      <c r="E981" s="309"/>
      <c r="F981" s="310"/>
      <c r="G981" s="311"/>
    </row>
    <row r="982">
      <c r="D982" s="308"/>
      <c r="E982" s="309"/>
      <c r="F982" s="310"/>
      <c r="G982" s="311"/>
    </row>
    <row r="983">
      <c r="D983" s="308"/>
      <c r="E983" s="309"/>
      <c r="F983" s="310"/>
      <c r="G983" s="311"/>
    </row>
    <row r="984">
      <c r="D984" s="308"/>
      <c r="E984" s="309"/>
      <c r="F984" s="310"/>
      <c r="G984" s="311"/>
    </row>
    <row r="985">
      <c r="D985" s="308"/>
      <c r="E985" s="309"/>
      <c r="F985" s="310"/>
      <c r="G985" s="311"/>
    </row>
    <row r="986">
      <c r="D986" s="308"/>
      <c r="E986" s="309"/>
      <c r="F986" s="310"/>
      <c r="G986" s="311"/>
    </row>
    <row r="987">
      <c r="D987" s="308"/>
      <c r="E987" s="309"/>
      <c r="F987" s="310"/>
      <c r="G987" s="311"/>
    </row>
    <row r="988">
      <c r="D988" s="308"/>
      <c r="E988" s="309"/>
      <c r="F988" s="310"/>
      <c r="G988" s="311"/>
    </row>
    <row r="989">
      <c r="D989" s="308"/>
      <c r="E989" s="309"/>
      <c r="F989" s="310"/>
      <c r="G989" s="311"/>
    </row>
    <row r="990">
      <c r="D990" s="308"/>
      <c r="E990" s="309"/>
      <c r="F990" s="310"/>
      <c r="G990" s="311"/>
    </row>
    <row r="991">
      <c r="D991" s="308"/>
      <c r="E991" s="309"/>
      <c r="F991" s="310"/>
      <c r="G991" s="311"/>
    </row>
    <row r="992">
      <c r="D992" s="308"/>
      <c r="E992" s="309"/>
      <c r="F992" s="310"/>
      <c r="G992" s="311"/>
    </row>
    <row r="993">
      <c r="D993" s="308"/>
      <c r="E993" s="309"/>
      <c r="F993" s="310"/>
      <c r="G993" s="311"/>
    </row>
    <row r="994">
      <c r="D994" s="308"/>
      <c r="E994" s="309"/>
      <c r="F994" s="310"/>
      <c r="G994" s="311"/>
    </row>
    <row r="995">
      <c r="D995" s="308"/>
      <c r="E995" s="309"/>
      <c r="F995" s="310"/>
      <c r="G995" s="311"/>
    </row>
    <row r="996">
      <c r="D996" s="308"/>
      <c r="E996" s="309"/>
      <c r="F996" s="310"/>
      <c r="G996" s="311"/>
    </row>
    <row r="997">
      <c r="D997" s="308"/>
      <c r="E997" s="309"/>
      <c r="F997" s="310"/>
      <c r="G997" s="311"/>
    </row>
    <row r="998">
      <c r="D998" s="308"/>
      <c r="E998" s="309"/>
      <c r="F998" s="310"/>
      <c r="G998" s="311"/>
    </row>
    <row r="999">
      <c r="D999" s="308"/>
      <c r="E999" s="309"/>
      <c r="F999" s="310"/>
      <c r="G999" s="311"/>
    </row>
    <row r="1000">
      <c r="D1000" s="308"/>
      <c r="E1000" s="309"/>
      <c r="F1000" s="310"/>
      <c r="G1000" s="311"/>
    </row>
    <row r="1001">
      <c r="D1001" s="308"/>
      <c r="E1001" s="309"/>
      <c r="F1001" s="310"/>
      <c r="G1001" s="311"/>
    </row>
    <row r="1002">
      <c r="D1002" s="308"/>
      <c r="E1002" s="309"/>
      <c r="F1002" s="310"/>
      <c r="G1002" s="311"/>
    </row>
    <row r="1003">
      <c r="D1003" s="308"/>
      <c r="E1003" s="309"/>
      <c r="F1003" s="310"/>
      <c r="G1003" s="311"/>
    </row>
    <row r="1004">
      <c r="D1004" s="308"/>
      <c r="E1004" s="309"/>
      <c r="F1004" s="310"/>
      <c r="G1004" s="311"/>
    </row>
    <row r="1005">
      <c r="D1005" s="308"/>
      <c r="E1005" s="309"/>
      <c r="F1005" s="310"/>
      <c r="G1005" s="311"/>
    </row>
    <row r="1006">
      <c r="D1006" s="308"/>
      <c r="E1006" s="309"/>
      <c r="F1006" s="310"/>
      <c r="G1006" s="311"/>
    </row>
    <row r="1007">
      <c r="D1007" s="308"/>
      <c r="E1007" s="309"/>
      <c r="F1007" s="310"/>
      <c r="G1007" s="311"/>
    </row>
    <row r="1008">
      <c r="D1008" s="308"/>
      <c r="E1008" s="309"/>
      <c r="F1008" s="310"/>
      <c r="G1008" s="311"/>
    </row>
    <row r="1009">
      <c r="D1009" s="308"/>
      <c r="E1009" s="309"/>
      <c r="F1009" s="310"/>
      <c r="G1009" s="311"/>
    </row>
    <row r="1010">
      <c r="D1010" s="308"/>
      <c r="E1010" s="309"/>
      <c r="F1010" s="310"/>
      <c r="G1010" s="311"/>
    </row>
    <row r="1011">
      <c r="D1011" s="308"/>
      <c r="E1011" s="309"/>
      <c r="F1011" s="310"/>
      <c r="G1011" s="311"/>
    </row>
    <row r="1012">
      <c r="D1012" s="308"/>
      <c r="E1012" s="309"/>
      <c r="F1012" s="310"/>
      <c r="G1012" s="311"/>
    </row>
    <row r="1013">
      <c r="D1013" s="308"/>
      <c r="E1013" s="309"/>
      <c r="F1013" s="310"/>
      <c r="G1013" s="311"/>
    </row>
    <row r="1014">
      <c r="D1014" s="308"/>
      <c r="E1014" s="309"/>
      <c r="F1014" s="310"/>
      <c r="G1014" s="311"/>
    </row>
    <row r="1015">
      <c r="D1015" s="308"/>
      <c r="E1015" s="309"/>
      <c r="F1015" s="310"/>
      <c r="G1015" s="311"/>
    </row>
    <row r="1016">
      <c r="D1016" s="308"/>
      <c r="E1016" s="309"/>
      <c r="F1016" s="310"/>
      <c r="G1016" s="311"/>
    </row>
    <row r="1017">
      <c r="D1017" s="308"/>
      <c r="E1017" s="309"/>
      <c r="F1017" s="310"/>
      <c r="G1017" s="311"/>
    </row>
    <row r="1018">
      <c r="D1018" s="308"/>
      <c r="E1018" s="309"/>
      <c r="F1018" s="310"/>
      <c r="G1018" s="311"/>
    </row>
    <row r="1019">
      <c r="D1019" s="308"/>
      <c r="E1019" s="309"/>
      <c r="F1019" s="310"/>
      <c r="G1019" s="311"/>
    </row>
    <row r="1020">
      <c r="D1020" s="308"/>
      <c r="E1020" s="309"/>
      <c r="F1020" s="310"/>
      <c r="G1020" s="311"/>
    </row>
    <row r="1021">
      <c r="D1021" s="308"/>
      <c r="E1021" s="309"/>
      <c r="F1021" s="310"/>
      <c r="G1021" s="311"/>
    </row>
    <row r="1022">
      <c r="D1022" s="308"/>
      <c r="E1022" s="309"/>
      <c r="F1022" s="310"/>
      <c r="G1022" s="311"/>
    </row>
    <row r="1023">
      <c r="D1023" s="308"/>
      <c r="E1023" s="309"/>
      <c r="F1023" s="310"/>
      <c r="G1023" s="311"/>
    </row>
    <row r="1024">
      <c r="D1024" s="308"/>
      <c r="E1024" s="309"/>
      <c r="F1024" s="310"/>
      <c r="G1024" s="311"/>
    </row>
    <row r="1025">
      <c r="D1025" s="308"/>
      <c r="E1025" s="309"/>
      <c r="F1025" s="310"/>
      <c r="G1025" s="311"/>
    </row>
    <row r="1026">
      <c r="D1026" s="308"/>
      <c r="E1026" s="309"/>
      <c r="F1026" s="310"/>
      <c r="G1026" s="311"/>
    </row>
    <row r="1027">
      <c r="D1027" s="308"/>
      <c r="E1027" s="309"/>
      <c r="F1027" s="310"/>
      <c r="G1027" s="311"/>
    </row>
    <row r="1028">
      <c r="D1028" s="308"/>
      <c r="E1028" s="309"/>
      <c r="F1028" s="310"/>
      <c r="G1028" s="311"/>
    </row>
    <row r="1029">
      <c r="D1029" s="308"/>
      <c r="E1029" s="309"/>
      <c r="F1029" s="310"/>
      <c r="G1029" s="311"/>
    </row>
    <row r="1030">
      <c r="D1030" s="308"/>
      <c r="E1030" s="309"/>
      <c r="F1030" s="310"/>
      <c r="G1030" s="311"/>
    </row>
    <row r="1031">
      <c r="D1031" s="308"/>
      <c r="E1031" s="309"/>
      <c r="F1031" s="310"/>
      <c r="G1031" s="311"/>
    </row>
    <row r="1032">
      <c r="D1032" s="308"/>
      <c r="E1032" s="309"/>
      <c r="F1032" s="310"/>
      <c r="G1032" s="311"/>
    </row>
    <row r="1033">
      <c r="D1033" s="308"/>
      <c r="E1033" s="309"/>
      <c r="F1033" s="310"/>
      <c r="G1033" s="311"/>
    </row>
    <row r="1034">
      <c r="D1034" s="308"/>
      <c r="E1034" s="309"/>
      <c r="F1034" s="310"/>
      <c r="G1034" s="311"/>
    </row>
    <row r="1035">
      <c r="D1035" s="308"/>
      <c r="E1035" s="309"/>
      <c r="F1035" s="310"/>
      <c r="G1035" s="311"/>
    </row>
    <row r="1036">
      <c r="D1036" s="308"/>
      <c r="E1036" s="309"/>
      <c r="F1036" s="310"/>
      <c r="G1036" s="311"/>
    </row>
    <row r="1037">
      <c r="D1037" s="308"/>
      <c r="E1037" s="309"/>
      <c r="F1037" s="310"/>
      <c r="G1037" s="311"/>
    </row>
    <row r="1038">
      <c r="D1038" s="308"/>
      <c r="E1038" s="309"/>
      <c r="F1038" s="310"/>
      <c r="G1038" s="311"/>
    </row>
    <row r="1039">
      <c r="D1039" s="308"/>
      <c r="E1039" s="309"/>
      <c r="F1039" s="310"/>
      <c r="G1039" s="311"/>
    </row>
    <row r="1040">
      <c r="D1040" s="308"/>
      <c r="E1040" s="309"/>
      <c r="F1040" s="310"/>
      <c r="G1040" s="311"/>
    </row>
    <row r="1041">
      <c r="D1041" s="308"/>
      <c r="E1041" s="309"/>
      <c r="F1041" s="310"/>
      <c r="G1041" s="311"/>
    </row>
    <row r="1042">
      <c r="D1042" s="308"/>
      <c r="E1042" s="309"/>
      <c r="F1042" s="310"/>
      <c r="G1042" s="311"/>
    </row>
    <row r="1043">
      <c r="D1043" s="308"/>
      <c r="E1043" s="309"/>
      <c r="F1043" s="310"/>
      <c r="G1043" s="311"/>
    </row>
    <row r="1044">
      <c r="D1044" s="308"/>
      <c r="E1044" s="309"/>
      <c r="F1044" s="310"/>
      <c r="G1044" s="311"/>
    </row>
    <row r="1045">
      <c r="D1045" s="308"/>
      <c r="E1045" s="309"/>
      <c r="F1045" s="310"/>
      <c r="G1045" s="311"/>
    </row>
    <row r="1046">
      <c r="D1046" s="308"/>
      <c r="E1046" s="309"/>
      <c r="F1046" s="310"/>
      <c r="G1046" s="311"/>
    </row>
    <row r="1047">
      <c r="D1047" s="308"/>
      <c r="E1047" s="309"/>
      <c r="F1047" s="310"/>
      <c r="G1047" s="311"/>
    </row>
    <row r="1048">
      <c r="D1048" s="308"/>
      <c r="E1048" s="309"/>
      <c r="F1048" s="310"/>
      <c r="G1048" s="311"/>
    </row>
    <row r="1049">
      <c r="D1049" s="308"/>
      <c r="E1049" s="309"/>
      <c r="F1049" s="310"/>
      <c r="G1049" s="311"/>
    </row>
    <row r="1050">
      <c r="D1050" s="308"/>
      <c r="E1050" s="309"/>
      <c r="F1050" s="310"/>
      <c r="G1050" s="311"/>
    </row>
    <row r="1051">
      <c r="D1051" s="308"/>
      <c r="E1051" s="309"/>
      <c r="F1051" s="310"/>
      <c r="G1051" s="311"/>
    </row>
    <row r="1052">
      <c r="D1052" s="308"/>
      <c r="E1052" s="309"/>
      <c r="F1052" s="310"/>
      <c r="G1052" s="311"/>
    </row>
    <row r="1053">
      <c r="D1053" s="308"/>
      <c r="E1053" s="309"/>
      <c r="F1053" s="310"/>
      <c r="G1053" s="311"/>
    </row>
    <row r="1054">
      <c r="D1054" s="308"/>
      <c r="E1054" s="309"/>
      <c r="F1054" s="310"/>
      <c r="G1054" s="311"/>
    </row>
    <row r="1055">
      <c r="D1055" s="308"/>
      <c r="E1055" s="309"/>
      <c r="F1055" s="310"/>
      <c r="G1055" s="311"/>
    </row>
    <row r="1056">
      <c r="D1056" s="308"/>
      <c r="E1056" s="309"/>
      <c r="F1056" s="310"/>
      <c r="G1056" s="311"/>
    </row>
    <row r="1057">
      <c r="D1057" s="308"/>
      <c r="E1057" s="309"/>
      <c r="F1057" s="310"/>
      <c r="G1057" s="311"/>
    </row>
    <row r="1058">
      <c r="D1058" s="308"/>
      <c r="E1058" s="309"/>
      <c r="F1058" s="310"/>
      <c r="G1058" s="311"/>
    </row>
    <row r="1059">
      <c r="D1059" s="308"/>
      <c r="E1059" s="309"/>
      <c r="F1059" s="310"/>
      <c r="G1059" s="311"/>
    </row>
    <row r="1060">
      <c r="D1060" s="308"/>
      <c r="E1060" s="309"/>
      <c r="F1060" s="310"/>
      <c r="G1060" s="311"/>
    </row>
    <row r="1061">
      <c r="D1061" s="308"/>
      <c r="E1061" s="309"/>
      <c r="F1061" s="310"/>
      <c r="G1061" s="311"/>
    </row>
    <row r="1062">
      <c r="D1062" s="308"/>
      <c r="E1062" s="309"/>
      <c r="F1062" s="310"/>
      <c r="G1062" s="311"/>
    </row>
    <row r="1063">
      <c r="D1063" s="308"/>
      <c r="E1063" s="309"/>
      <c r="F1063" s="310"/>
      <c r="G1063" s="311"/>
    </row>
    <row r="1064">
      <c r="D1064" s="308"/>
      <c r="E1064" s="309"/>
      <c r="F1064" s="310"/>
      <c r="G1064" s="311"/>
    </row>
    <row r="1065">
      <c r="D1065" s="308"/>
      <c r="E1065" s="309"/>
      <c r="F1065" s="310"/>
      <c r="G1065" s="311"/>
    </row>
    <row r="1066">
      <c r="D1066" s="308"/>
      <c r="E1066" s="309"/>
      <c r="F1066" s="310"/>
      <c r="G1066" s="311"/>
    </row>
    <row r="1067">
      <c r="D1067" s="308"/>
      <c r="E1067" s="309"/>
      <c r="F1067" s="310"/>
      <c r="G1067" s="311"/>
    </row>
    <row r="1068">
      <c r="D1068" s="308"/>
      <c r="E1068" s="309"/>
      <c r="F1068" s="310"/>
      <c r="G1068" s="311"/>
    </row>
    <row r="1069">
      <c r="D1069" s="308"/>
      <c r="E1069" s="309"/>
      <c r="F1069" s="310"/>
      <c r="G1069" s="311"/>
    </row>
    <row r="1070">
      <c r="D1070" s="308"/>
      <c r="E1070" s="309"/>
      <c r="F1070" s="310"/>
      <c r="G1070" s="311"/>
    </row>
    <row r="1071">
      <c r="D1071" s="308"/>
      <c r="E1071" s="309"/>
      <c r="F1071" s="310"/>
      <c r="G1071" s="311"/>
    </row>
    <row r="1072">
      <c r="D1072" s="308"/>
      <c r="E1072" s="309"/>
      <c r="F1072" s="310"/>
      <c r="G1072" s="311"/>
    </row>
    <row r="1073">
      <c r="D1073" s="308"/>
      <c r="E1073" s="309"/>
      <c r="F1073" s="310"/>
      <c r="G1073" s="311"/>
    </row>
    <row r="1074">
      <c r="D1074" s="308"/>
      <c r="E1074" s="309"/>
      <c r="F1074" s="310"/>
      <c r="G1074" s="311"/>
    </row>
    <row r="1075">
      <c r="D1075" s="308"/>
      <c r="E1075" s="309"/>
      <c r="F1075" s="310"/>
      <c r="G1075" s="311"/>
    </row>
    <row r="1076">
      <c r="D1076" s="308"/>
      <c r="E1076" s="309"/>
      <c r="F1076" s="310"/>
      <c r="G1076" s="311"/>
    </row>
    <row r="1077">
      <c r="D1077" s="308"/>
      <c r="E1077" s="309"/>
      <c r="F1077" s="310"/>
      <c r="G1077" s="311"/>
    </row>
    <row r="1078">
      <c r="D1078" s="308"/>
      <c r="E1078" s="309"/>
      <c r="F1078" s="310"/>
      <c r="G1078" s="311"/>
    </row>
    <row r="1079">
      <c r="D1079" s="308"/>
      <c r="E1079" s="309"/>
      <c r="F1079" s="310"/>
      <c r="G1079" s="311"/>
    </row>
    <row r="1080">
      <c r="D1080" s="308"/>
      <c r="E1080" s="309"/>
      <c r="F1080" s="310"/>
      <c r="G1080" s="311"/>
    </row>
    <row r="1081">
      <c r="D1081" s="308"/>
      <c r="E1081" s="309"/>
      <c r="F1081" s="310"/>
      <c r="G1081" s="31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25"/>
    <col customWidth="1" min="4" max="4" width="14.13"/>
    <col customWidth="1" min="5" max="6" width="13.25"/>
    <col customWidth="1" min="7" max="7" width="14.75"/>
  </cols>
  <sheetData>
    <row r="1">
      <c r="A1" s="247" t="s">
        <v>7</v>
      </c>
      <c r="B1" s="247" t="s">
        <v>67</v>
      </c>
      <c r="C1" s="247" t="s">
        <v>801</v>
      </c>
      <c r="D1" s="248" t="s">
        <v>460</v>
      </c>
      <c r="E1" s="249" t="s">
        <v>802</v>
      </c>
      <c r="F1" s="250" t="s">
        <v>803</v>
      </c>
      <c r="G1" s="251" t="s">
        <v>804</v>
      </c>
    </row>
    <row r="2">
      <c r="A2" s="252" t="s">
        <v>816</v>
      </c>
      <c r="B2" s="253"/>
      <c r="C2" s="253"/>
      <c r="D2" s="254"/>
      <c r="E2" s="255"/>
      <c r="F2" s="256"/>
      <c r="G2" s="257"/>
    </row>
    <row r="3">
      <c r="A3" s="276">
        <v>7.0</v>
      </c>
      <c r="B3" s="276" t="s">
        <v>705</v>
      </c>
      <c r="C3" s="277" t="s">
        <v>505</v>
      </c>
      <c r="D3" s="278">
        <v>45931.0</v>
      </c>
      <c r="E3" s="279">
        <v>20.25</v>
      </c>
      <c r="F3" s="280">
        <v>5.26</v>
      </c>
      <c r="G3" s="281">
        <v>1.0</v>
      </c>
    </row>
    <row r="4">
      <c r="A4" s="276">
        <v>7.0</v>
      </c>
      <c r="B4" s="276" t="s">
        <v>704</v>
      </c>
      <c r="C4" s="277" t="s">
        <v>505</v>
      </c>
      <c r="D4" s="278">
        <v>45932.0</v>
      </c>
      <c r="E4" s="279">
        <v>15.25</v>
      </c>
      <c r="F4" s="280">
        <v>4.21</v>
      </c>
      <c r="G4" s="281">
        <v>1.0</v>
      </c>
    </row>
    <row r="5">
      <c r="A5" s="276">
        <v>4.0</v>
      </c>
      <c r="B5" s="276" t="s">
        <v>703</v>
      </c>
      <c r="C5" s="277" t="s">
        <v>593</v>
      </c>
      <c r="D5" s="278">
        <v>45934.0</v>
      </c>
      <c r="E5" s="279">
        <v>5.43</v>
      </c>
      <c r="F5" s="280">
        <v>1.77</v>
      </c>
      <c r="G5" s="281">
        <v>1.0</v>
      </c>
    </row>
    <row r="6">
      <c r="A6" s="290">
        <v>5.0</v>
      </c>
      <c r="B6" s="290" t="s">
        <v>696</v>
      </c>
      <c r="C6" s="291" t="s">
        <v>695</v>
      </c>
      <c r="D6" s="292">
        <v>45935.0</v>
      </c>
      <c r="E6" s="293">
        <v>4.58</v>
      </c>
      <c r="F6" s="294">
        <v>4.23</v>
      </c>
      <c r="G6" s="295">
        <v>1.0</v>
      </c>
    </row>
    <row r="7">
      <c r="A7" s="276">
        <v>7.0</v>
      </c>
      <c r="B7" s="276" t="s">
        <v>697</v>
      </c>
      <c r="C7" s="277" t="s">
        <v>505</v>
      </c>
      <c r="D7" s="278">
        <v>45935.0</v>
      </c>
      <c r="E7" s="279">
        <v>10.25</v>
      </c>
      <c r="F7" s="280">
        <v>3.16</v>
      </c>
      <c r="G7" s="281">
        <v>1.0</v>
      </c>
    </row>
    <row r="8">
      <c r="A8" s="276">
        <v>7.0</v>
      </c>
      <c r="B8" s="276" t="s">
        <v>698</v>
      </c>
      <c r="C8" s="277" t="s">
        <v>505</v>
      </c>
      <c r="D8" s="278">
        <v>45935.0</v>
      </c>
      <c r="E8" s="279">
        <v>13.78</v>
      </c>
      <c r="F8" s="280">
        <v>3.9</v>
      </c>
      <c r="G8" s="281">
        <v>1.0</v>
      </c>
    </row>
    <row r="9">
      <c r="A9" s="276">
        <v>7.0</v>
      </c>
      <c r="B9" s="276" t="s">
        <v>699</v>
      </c>
      <c r="C9" s="277" t="s">
        <v>505</v>
      </c>
      <c r="D9" s="278">
        <v>45935.0</v>
      </c>
      <c r="E9" s="279">
        <v>15.25</v>
      </c>
      <c r="F9" s="280">
        <v>4.21</v>
      </c>
      <c r="G9" s="281">
        <v>1.0</v>
      </c>
    </row>
    <row r="10">
      <c r="A10" s="276">
        <v>7.0</v>
      </c>
      <c r="B10" s="276" t="s">
        <v>700</v>
      </c>
      <c r="C10" s="277" t="s">
        <v>505</v>
      </c>
      <c r="D10" s="278">
        <v>45935.0</v>
      </c>
      <c r="E10" s="279">
        <v>13.78</v>
      </c>
      <c r="F10" s="280">
        <v>3.9</v>
      </c>
      <c r="G10" s="281">
        <v>1.0</v>
      </c>
    </row>
    <row r="11">
      <c r="A11" s="276">
        <v>7.0</v>
      </c>
      <c r="B11" s="276" t="s">
        <v>701</v>
      </c>
      <c r="C11" s="277" t="s">
        <v>505</v>
      </c>
      <c r="D11" s="278">
        <v>45935.0</v>
      </c>
      <c r="E11" s="279">
        <v>9.25</v>
      </c>
      <c r="F11" s="280">
        <v>2.95</v>
      </c>
      <c r="G11" s="281">
        <v>1.0</v>
      </c>
    </row>
    <row r="12">
      <c r="A12" s="276">
        <v>7.0</v>
      </c>
      <c r="B12" s="276" t="s">
        <v>702</v>
      </c>
      <c r="C12" s="277" t="s">
        <v>505</v>
      </c>
      <c r="D12" s="278">
        <v>45935.0</v>
      </c>
      <c r="E12" s="279">
        <v>14.25</v>
      </c>
      <c r="F12" s="280">
        <v>4.0</v>
      </c>
      <c r="G12" s="281">
        <v>1.0</v>
      </c>
    </row>
    <row r="13">
      <c r="A13" s="252" t="s">
        <v>817</v>
      </c>
      <c r="B13" s="253"/>
      <c r="C13" s="253"/>
      <c r="D13" s="254"/>
      <c r="E13" s="282">
        <v>122.07</v>
      </c>
      <c r="F13" s="283">
        <v>3.76</v>
      </c>
      <c r="G13" s="284">
        <v>10.0</v>
      </c>
    </row>
    <row r="14">
      <c r="A14" s="285"/>
      <c r="B14" s="285"/>
      <c r="C14" s="285"/>
      <c r="D14" s="286"/>
      <c r="E14" s="287"/>
      <c r="F14" s="288"/>
      <c r="G14" s="289"/>
    </row>
    <row r="15">
      <c r="A15" s="252" t="s">
        <v>818</v>
      </c>
      <c r="B15" s="253"/>
      <c r="C15" s="253"/>
      <c r="D15" s="254"/>
      <c r="E15" s="255"/>
      <c r="F15" s="256"/>
      <c r="G15" s="257"/>
    </row>
    <row r="16">
      <c r="A16" s="258">
        <v>1.0</v>
      </c>
      <c r="B16" s="258" t="s">
        <v>691</v>
      </c>
      <c r="C16" s="259" t="s">
        <v>22</v>
      </c>
      <c r="D16" s="260">
        <v>45937.0</v>
      </c>
      <c r="E16" s="261">
        <v>-4.76</v>
      </c>
      <c r="F16" s="262">
        <v>0.9</v>
      </c>
      <c r="G16" s="263">
        <v>1.0</v>
      </c>
    </row>
    <row r="17">
      <c r="A17" s="258">
        <v>1.0</v>
      </c>
      <c r="B17" s="258" t="s">
        <v>692</v>
      </c>
      <c r="C17" s="259" t="s">
        <v>22</v>
      </c>
      <c r="D17" s="260">
        <v>45937.0</v>
      </c>
      <c r="E17" s="261">
        <v>31.52</v>
      </c>
      <c r="F17" s="262">
        <v>1.66</v>
      </c>
      <c r="G17" s="263">
        <v>1.0</v>
      </c>
    </row>
    <row r="18">
      <c r="A18" s="276">
        <v>4.0</v>
      </c>
      <c r="B18" s="276" t="s">
        <v>693</v>
      </c>
      <c r="C18" s="277" t="s">
        <v>593</v>
      </c>
      <c r="D18" s="278">
        <v>45937.0</v>
      </c>
      <c r="E18" s="279">
        <v>7.93</v>
      </c>
      <c r="F18" s="280">
        <v>2.12</v>
      </c>
      <c r="G18" s="281">
        <v>1.0</v>
      </c>
    </row>
    <row r="19">
      <c r="A19" s="276">
        <v>7.0</v>
      </c>
      <c r="B19" s="276" t="s">
        <v>694</v>
      </c>
      <c r="C19" s="277" t="s">
        <v>505</v>
      </c>
      <c r="D19" s="278">
        <v>45937.0</v>
      </c>
      <c r="E19" s="279">
        <v>11.25</v>
      </c>
      <c r="F19" s="280">
        <v>3.37</v>
      </c>
      <c r="G19" s="281">
        <v>1.0</v>
      </c>
    </row>
    <row r="20">
      <c r="A20" s="276">
        <v>4.0</v>
      </c>
      <c r="B20" s="276" t="s">
        <v>690</v>
      </c>
      <c r="C20" s="277" t="s">
        <v>593</v>
      </c>
      <c r="D20" s="278">
        <v>45938.0</v>
      </c>
      <c r="E20" s="279">
        <v>12.93</v>
      </c>
      <c r="F20" s="280">
        <v>2.83</v>
      </c>
      <c r="G20" s="281">
        <v>1.0</v>
      </c>
    </row>
    <row r="21">
      <c r="A21" s="276">
        <v>4.0</v>
      </c>
      <c r="B21" s="276" t="s">
        <v>689</v>
      </c>
      <c r="C21" s="277" t="s">
        <v>593</v>
      </c>
      <c r="D21" s="278">
        <v>45939.0</v>
      </c>
      <c r="E21" s="279">
        <v>6.93</v>
      </c>
      <c r="F21" s="280">
        <v>1.98</v>
      </c>
      <c r="G21" s="281">
        <v>1.0</v>
      </c>
    </row>
    <row r="22">
      <c r="A22" s="276">
        <v>7.0</v>
      </c>
      <c r="B22" s="276" t="s">
        <v>688</v>
      </c>
      <c r="C22" s="277" t="s">
        <v>505</v>
      </c>
      <c r="D22" s="278">
        <v>45940.0</v>
      </c>
      <c r="E22" s="279">
        <v>5.25</v>
      </c>
      <c r="F22" s="280">
        <v>2.11</v>
      </c>
      <c r="G22" s="281">
        <v>1.0</v>
      </c>
    </row>
    <row r="23">
      <c r="A23" s="276">
        <v>7.0</v>
      </c>
      <c r="B23" s="276" t="s">
        <v>683</v>
      </c>
      <c r="C23" s="277" t="s">
        <v>505</v>
      </c>
      <c r="D23" s="278">
        <v>45941.0</v>
      </c>
      <c r="E23" s="279">
        <v>11.25</v>
      </c>
      <c r="F23" s="280">
        <v>3.37</v>
      </c>
      <c r="G23" s="281">
        <v>1.0</v>
      </c>
    </row>
    <row r="24">
      <c r="A24" s="264">
        <v>10.0</v>
      </c>
      <c r="B24" s="264" t="s">
        <v>684</v>
      </c>
      <c r="C24" s="265" t="s">
        <v>484</v>
      </c>
      <c r="D24" s="266">
        <v>45941.0</v>
      </c>
      <c r="E24" s="267">
        <v>14.91</v>
      </c>
      <c r="F24" s="268">
        <v>3.11</v>
      </c>
      <c r="G24" s="269">
        <v>1.0</v>
      </c>
    </row>
    <row r="25">
      <c r="A25" s="264">
        <v>10.0</v>
      </c>
      <c r="B25" s="264" t="s">
        <v>685</v>
      </c>
      <c r="C25" s="265" t="s">
        <v>484</v>
      </c>
      <c r="D25" s="266">
        <v>45941.0</v>
      </c>
      <c r="E25" s="267">
        <v>13.91</v>
      </c>
      <c r="F25" s="268">
        <v>2.96</v>
      </c>
      <c r="G25" s="269">
        <v>1.0</v>
      </c>
    </row>
    <row r="26">
      <c r="A26" s="264">
        <v>10.0</v>
      </c>
      <c r="B26" s="264" t="s">
        <v>686</v>
      </c>
      <c r="C26" s="265" t="s">
        <v>484</v>
      </c>
      <c r="D26" s="266">
        <v>45941.0</v>
      </c>
      <c r="E26" s="267">
        <v>12.91</v>
      </c>
      <c r="F26" s="268">
        <v>2.82</v>
      </c>
      <c r="G26" s="269">
        <v>1.0</v>
      </c>
    </row>
    <row r="27">
      <c r="A27" s="264">
        <v>10.0</v>
      </c>
      <c r="B27" s="264" t="s">
        <v>687</v>
      </c>
      <c r="C27" s="265" t="s">
        <v>484</v>
      </c>
      <c r="D27" s="266">
        <v>45941.0</v>
      </c>
      <c r="E27" s="267">
        <v>11.91</v>
      </c>
      <c r="F27" s="268">
        <v>2.68</v>
      </c>
      <c r="G27" s="269">
        <v>1.0</v>
      </c>
    </row>
    <row r="28">
      <c r="A28" s="264">
        <v>10.0</v>
      </c>
      <c r="B28" s="264" t="s">
        <v>680</v>
      </c>
      <c r="C28" s="265" t="s">
        <v>484</v>
      </c>
      <c r="D28" s="266">
        <v>45942.0</v>
      </c>
      <c r="E28" s="267">
        <v>10.51</v>
      </c>
      <c r="F28" s="268">
        <v>2.48</v>
      </c>
      <c r="G28" s="269">
        <v>1.0</v>
      </c>
    </row>
    <row r="29">
      <c r="A29" s="264">
        <v>10.0</v>
      </c>
      <c r="B29" s="264" t="s">
        <v>681</v>
      </c>
      <c r="C29" s="265" t="s">
        <v>484</v>
      </c>
      <c r="D29" s="266">
        <v>45942.0</v>
      </c>
      <c r="E29" s="267">
        <v>8.91</v>
      </c>
      <c r="F29" s="268">
        <v>2.26</v>
      </c>
      <c r="G29" s="269">
        <v>1.0</v>
      </c>
    </row>
    <row r="30">
      <c r="A30" s="264">
        <v>10.0</v>
      </c>
      <c r="B30" s="264" t="s">
        <v>682</v>
      </c>
      <c r="C30" s="265" t="s">
        <v>484</v>
      </c>
      <c r="D30" s="266">
        <v>45942.0</v>
      </c>
      <c r="E30" s="267">
        <v>11.91</v>
      </c>
      <c r="F30" s="268">
        <v>2.68</v>
      </c>
      <c r="G30" s="269">
        <v>1.0</v>
      </c>
    </row>
    <row r="31">
      <c r="A31" s="252" t="s">
        <v>819</v>
      </c>
      <c r="B31" s="253"/>
      <c r="C31" s="253"/>
      <c r="D31" s="254"/>
      <c r="E31" s="282">
        <v>167.27</v>
      </c>
      <c r="F31" s="283">
        <v>2.49</v>
      </c>
      <c r="G31" s="284">
        <v>15.0</v>
      </c>
    </row>
    <row r="32">
      <c r="A32" s="285"/>
      <c r="B32" s="285"/>
      <c r="C32" s="285"/>
      <c r="D32" s="286"/>
      <c r="E32" s="287"/>
      <c r="F32" s="288"/>
      <c r="G32" s="289"/>
    </row>
    <row r="33">
      <c r="A33" s="252" t="s">
        <v>820</v>
      </c>
      <c r="B33" s="253"/>
      <c r="C33" s="253"/>
      <c r="D33" s="254"/>
      <c r="E33" s="255"/>
      <c r="F33" s="256"/>
      <c r="G33" s="257"/>
    </row>
    <row r="34">
      <c r="A34" s="264">
        <v>10.0</v>
      </c>
      <c r="B34" s="264" t="s">
        <v>676</v>
      </c>
      <c r="C34" s="265" t="s">
        <v>484</v>
      </c>
      <c r="D34" s="266">
        <v>45943.0</v>
      </c>
      <c r="E34" s="267">
        <v>8.91</v>
      </c>
      <c r="F34" s="268">
        <v>2.26</v>
      </c>
      <c r="G34" s="269">
        <v>1.0</v>
      </c>
    </row>
    <row r="35">
      <c r="A35" s="264">
        <v>10.0</v>
      </c>
      <c r="B35" s="264" t="s">
        <v>677</v>
      </c>
      <c r="C35" s="265" t="s">
        <v>484</v>
      </c>
      <c r="D35" s="266">
        <v>45943.0</v>
      </c>
      <c r="E35" s="267">
        <v>8.91</v>
      </c>
      <c r="F35" s="268">
        <v>2.26</v>
      </c>
      <c r="G35" s="269">
        <v>1.0</v>
      </c>
    </row>
    <row r="36">
      <c r="A36" s="264">
        <v>10.0</v>
      </c>
      <c r="B36" s="264" t="s">
        <v>678</v>
      </c>
      <c r="C36" s="265" t="s">
        <v>484</v>
      </c>
      <c r="D36" s="266">
        <v>45943.0</v>
      </c>
      <c r="E36" s="267">
        <v>7.91</v>
      </c>
      <c r="F36" s="268">
        <v>2.12</v>
      </c>
      <c r="G36" s="269">
        <v>1.0</v>
      </c>
    </row>
    <row r="37">
      <c r="A37" s="264">
        <v>10.0</v>
      </c>
      <c r="B37" s="264" t="s">
        <v>679</v>
      </c>
      <c r="C37" s="265" t="s">
        <v>484</v>
      </c>
      <c r="D37" s="266">
        <v>45943.0</v>
      </c>
      <c r="E37" s="267">
        <v>12.71</v>
      </c>
      <c r="F37" s="268">
        <v>2.79</v>
      </c>
      <c r="G37" s="269">
        <v>1.0</v>
      </c>
    </row>
    <row r="38">
      <c r="A38" s="276">
        <v>7.0</v>
      </c>
      <c r="B38" s="276" t="s">
        <v>675</v>
      </c>
      <c r="C38" s="277" t="s">
        <v>505</v>
      </c>
      <c r="D38" s="278">
        <v>45944.0</v>
      </c>
      <c r="E38" s="279">
        <v>9.25</v>
      </c>
      <c r="F38" s="280">
        <v>2.95</v>
      </c>
      <c r="G38" s="281">
        <v>1.0</v>
      </c>
    </row>
    <row r="39">
      <c r="A39" s="258">
        <v>1.0</v>
      </c>
      <c r="B39" s="258" t="s">
        <v>671</v>
      </c>
      <c r="C39" s="259" t="s">
        <v>22</v>
      </c>
      <c r="D39" s="260">
        <v>45945.0</v>
      </c>
      <c r="E39" s="261">
        <v>36.59</v>
      </c>
      <c r="F39" s="262">
        <v>1.77</v>
      </c>
      <c r="G39" s="263">
        <v>1.0</v>
      </c>
    </row>
    <row r="40">
      <c r="A40" s="276">
        <v>4.0</v>
      </c>
      <c r="B40" s="276" t="s">
        <v>672</v>
      </c>
      <c r="C40" s="277" t="s">
        <v>593</v>
      </c>
      <c r="D40" s="278">
        <v>45945.0</v>
      </c>
      <c r="E40" s="279">
        <v>3.93</v>
      </c>
      <c r="F40" s="280">
        <v>1.56</v>
      </c>
      <c r="G40" s="281">
        <v>1.0</v>
      </c>
    </row>
    <row r="41">
      <c r="A41" s="264">
        <v>10.0</v>
      </c>
      <c r="B41" s="264" t="s">
        <v>673</v>
      </c>
      <c r="C41" s="265" t="s">
        <v>484</v>
      </c>
      <c r="D41" s="266">
        <v>45945.0</v>
      </c>
      <c r="E41" s="267">
        <v>9.91</v>
      </c>
      <c r="F41" s="268">
        <v>2.4</v>
      </c>
      <c r="G41" s="269">
        <v>1.0</v>
      </c>
    </row>
    <row r="42">
      <c r="A42" s="264">
        <v>10.0</v>
      </c>
      <c r="B42" s="264" t="s">
        <v>674</v>
      </c>
      <c r="C42" s="265" t="s">
        <v>484</v>
      </c>
      <c r="D42" s="266">
        <v>45945.0</v>
      </c>
      <c r="E42" s="267">
        <v>12.91</v>
      </c>
      <c r="F42" s="268">
        <v>2.82</v>
      </c>
      <c r="G42" s="269">
        <v>1.0</v>
      </c>
    </row>
    <row r="43">
      <c r="A43" s="276">
        <v>7.0</v>
      </c>
      <c r="B43" s="276" t="s">
        <v>663</v>
      </c>
      <c r="C43" s="277" t="s">
        <v>505</v>
      </c>
      <c r="D43" s="278">
        <v>45946.0</v>
      </c>
      <c r="E43" s="279">
        <v>10.25</v>
      </c>
      <c r="F43" s="280">
        <v>3.16</v>
      </c>
      <c r="G43" s="281">
        <v>1.0</v>
      </c>
    </row>
    <row r="44">
      <c r="A44" s="264">
        <v>10.0</v>
      </c>
      <c r="B44" s="264" t="s">
        <v>664</v>
      </c>
      <c r="C44" s="265" t="s">
        <v>484</v>
      </c>
      <c r="D44" s="266">
        <v>45946.0</v>
      </c>
      <c r="E44" s="267">
        <v>10.51</v>
      </c>
      <c r="F44" s="268">
        <v>2.48</v>
      </c>
      <c r="G44" s="269">
        <v>1.0</v>
      </c>
    </row>
    <row r="45">
      <c r="A45" s="264">
        <v>10.0</v>
      </c>
      <c r="B45" s="264" t="s">
        <v>665</v>
      </c>
      <c r="C45" s="265" t="s">
        <v>484</v>
      </c>
      <c r="D45" s="266">
        <v>45946.0</v>
      </c>
      <c r="E45" s="267">
        <v>7.91</v>
      </c>
      <c r="F45" s="268">
        <v>2.12</v>
      </c>
      <c r="G45" s="269">
        <v>1.0</v>
      </c>
    </row>
    <row r="46">
      <c r="A46" s="264">
        <v>10.0</v>
      </c>
      <c r="B46" s="264" t="s">
        <v>666</v>
      </c>
      <c r="C46" s="265" t="s">
        <v>484</v>
      </c>
      <c r="D46" s="266">
        <v>45946.0</v>
      </c>
      <c r="E46" s="267">
        <v>7.91</v>
      </c>
      <c r="F46" s="268">
        <v>2.12</v>
      </c>
      <c r="G46" s="269">
        <v>1.0</v>
      </c>
    </row>
    <row r="47">
      <c r="A47" s="264">
        <v>10.0</v>
      </c>
      <c r="B47" s="264" t="s">
        <v>667</v>
      </c>
      <c r="C47" s="265" t="s">
        <v>484</v>
      </c>
      <c r="D47" s="266">
        <v>45946.0</v>
      </c>
      <c r="E47" s="267">
        <v>7.91</v>
      </c>
      <c r="F47" s="268">
        <v>2.12</v>
      </c>
      <c r="G47" s="269">
        <v>1.0</v>
      </c>
    </row>
    <row r="48">
      <c r="A48" s="264">
        <v>10.0</v>
      </c>
      <c r="B48" s="264" t="s">
        <v>668</v>
      </c>
      <c r="C48" s="265" t="s">
        <v>484</v>
      </c>
      <c r="D48" s="266">
        <v>45946.0</v>
      </c>
      <c r="E48" s="267">
        <v>11.91</v>
      </c>
      <c r="F48" s="268">
        <v>2.68</v>
      </c>
      <c r="G48" s="269">
        <v>1.0</v>
      </c>
    </row>
    <row r="49">
      <c r="A49" s="264">
        <v>10.0</v>
      </c>
      <c r="B49" s="264" t="s">
        <v>669</v>
      </c>
      <c r="C49" s="265" t="s">
        <v>484</v>
      </c>
      <c r="D49" s="266">
        <v>45946.0</v>
      </c>
      <c r="E49" s="267">
        <v>7.91</v>
      </c>
      <c r="F49" s="268">
        <v>2.12</v>
      </c>
      <c r="G49" s="269">
        <v>1.0</v>
      </c>
    </row>
    <row r="50">
      <c r="A50" s="264">
        <v>10.0</v>
      </c>
      <c r="B50" s="264" t="s">
        <v>670</v>
      </c>
      <c r="C50" s="265" t="s">
        <v>484</v>
      </c>
      <c r="D50" s="266">
        <v>45946.0</v>
      </c>
      <c r="E50" s="267">
        <v>11.91</v>
      </c>
      <c r="F50" s="268">
        <v>2.68</v>
      </c>
      <c r="G50" s="269">
        <v>1.0</v>
      </c>
    </row>
    <row r="51">
      <c r="A51" s="296">
        <v>6.0</v>
      </c>
      <c r="B51" s="296" t="s">
        <v>646</v>
      </c>
      <c r="C51" s="297" t="s">
        <v>645</v>
      </c>
      <c r="D51" s="298">
        <v>45948.0</v>
      </c>
      <c r="E51" s="299">
        <v>2.58</v>
      </c>
      <c r="F51" s="300">
        <v>2.82</v>
      </c>
      <c r="G51" s="301">
        <v>1.0</v>
      </c>
    </row>
    <row r="52">
      <c r="A52" s="276">
        <v>4.0</v>
      </c>
      <c r="B52" s="276" t="s">
        <v>647</v>
      </c>
      <c r="C52" s="277" t="s">
        <v>593</v>
      </c>
      <c r="D52" s="278">
        <v>45948.0</v>
      </c>
      <c r="E52" s="279">
        <v>5.43</v>
      </c>
      <c r="F52" s="280">
        <v>1.77</v>
      </c>
      <c r="G52" s="281">
        <v>1.0</v>
      </c>
    </row>
    <row r="53">
      <c r="A53" s="276">
        <v>4.0</v>
      </c>
      <c r="B53" s="276" t="s">
        <v>648</v>
      </c>
      <c r="C53" s="277" t="s">
        <v>593</v>
      </c>
      <c r="D53" s="278">
        <v>45948.0</v>
      </c>
      <c r="E53" s="279">
        <v>5.43</v>
      </c>
      <c r="F53" s="280">
        <v>1.77</v>
      </c>
      <c r="G53" s="281">
        <v>1.0</v>
      </c>
    </row>
    <row r="54">
      <c r="A54" s="276">
        <v>7.0</v>
      </c>
      <c r="B54" s="276" t="s">
        <v>649</v>
      </c>
      <c r="C54" s="277" t="s">
        <v>505</v>
      </c>
      <c r="D54" s="278">
        <v>45948.0</v>
      </c>
      <c r="E54" s="279">
        <v>7.25</v>
      </c>
      <c r="F54" s="280">
        <v>2.53</v>
      </c>
      <c r="G54" s="281">
        <v>1.0</v>
      </c>
    </row>
    <row r="55">
      <c r="A55" s="264">
        <v>10.0</v>
      </c>
      <c r="B55" s="264" t="s">
        <v>650</v>
      </c>
      <c r="C55" s="265" t="s">
        <v>484</v>
      </c>
      <c r="D55" s="266">
        <v>45948.0</v>
      </c>
      <c r="E55" s="267">
        <v>7.91</v>
      </c>
      <c r="F55" s="268">
        <v>2.12</v>
      </c>
      <c r="G55" s="269">
        <v>1.0</v>
      </c>
    </row>
    <row r="56">
      <c r="A56" s="264">
        <v>10.0</v>
      </c>
      <c r="B56" s="264" t="s">
        <v>651</v>
      </c>
      <c r="C56" s="265" t="s">
        <v>484</v>
      </c>
      <c r="D56" s="266">
        <v>45948.0</v>
      </c>
      <c r="E56" s="267">
        <v>10.91</v>
      </c>
      <c r="F56" s="268">
        <v>2.54</v>
      </c>
      <c r="G56" s="269">
        <v>1.0</v>
      </c>
    </row>
    <row r="57">
      <c r="A57" s="264">
        <v>10.0</v>
      </c>
      <c r="B57" s="264" t="s">
        <v>652</v>
      </c>
      <c r="C57" s="265" t="s">
        <v>484</v>
      </c>
      <c r="D57" s="266">
        <v>45948.0</v>
      </c>
      <c r="E57" s="267">
        <v>10.91</v>
      </c>
      <c r="F57" s="268">
        <v>2.54</v>
      </c>
      <c r="G57" s="269">
        <v>1.0</v>
      </c>
    </row>
    <row r="58">
      <c r="A58" s="264">
        <v>10.0</v>
      </c>
      <c r="B58" s="264" t="s">
        <v>653</v>
      </c>
      <c r="C58" s="265" t="s">
        <v>484</v>
      </c>
      <c r="D58" s="266">
        <v>45948.0</v>
      </c>
      <c r="E58" s="267">
        <v>8.91</v>
      </c>
      <c r="F58" s="268">
        <v>2.26</v>
      </c>
      <c r="G58" s="269">
        <v>1.0</v>
      </c>
    </row>
    <row r="59">
      <c r="A59" s="264">
        <v>10.0</v>
      </c>
      <c r="B59" s="264" t="s">
        <v>654</v>
      </c>
      <c r="C59" s="265" t="s">
        <v>484</v>
      </c>
      <c r="D59" s="266">
        <v>45948.0</v>
      </c>
      <c r="E59" s="267">
        <v>8.11</v>
      </c>
      <c r="F59" s="268">
        <v>2.15</v>
      </c>
      <c r="G59" s="269">
        <v>1.0</v>
      </c>
    </row>
    <row r="60">
      <c r="A60" s="264">
        <v>10.0</v>
      </c>
      <c r="B60" s="264" t="s">
        <v>655</v>
      </c>
      <c r="C60" s="265" t="s">
        <v>484</v>
      </c>
      <c r="D60" s="266">
        <v>45948.0</v>
      </c>
      <c r="E60" s="267">
        <v>10.91</v>
      </c>
      <c r="F60" s="268">
        <v>2.54</v>
      </c>
      <c r="G60" s="269">
        <v>1.0</v>
      </c>
    </row>
    <row r="61">
      <c r="A61" s="264">
        <v>10.0</v>
      </c>
      <c r="B61" s="264" t="s">
        <v>656</v>
      </c>
      <c r="C61" s="265" t="s">
        <v>484</v>
      </c>
      <c r="D61" s="266">
        <v>45948.0</v>
      </c>
      <c r="E61" s="267">
        <v>11.91</v>
      </c>
      <c r="F61" s="268">
        <v>2.68</v>
      </c>
      <c r="G61" s="269">
        <v>1.0</v>
      </c>
    </row>
    <row r="62">
      <c r="A62" s="264">
        <v>10.0</v>
      </c>
      <c r="B62" s="264" t="s">
        <v>657</v>
      </c>
      <c r="C62" s="265" t="s">
        <v>484</v>
      </c>
      <c r="D62" s="266">
        <v>45948.0</v>
      </c>
      <c r="E62" s="267">
        <v>11.91</v>
      </c>
      <c r="F62" s="268">
        <v>2.68</v>
      </c>
      <c r="G62" s="269">
        <v>1.0</v>
      </c>
    </row>
    <row r="63">
      <c r="A63" s="264">
        <v>10.0</v>
      </c>
      <c r="B63" s="264" t="s">
        <v>658</v>
      </c>
      <c r="C63" s="265" t="s">
        <v>484</v>
      </c>
      <c r="D63" s="266">
        <v>45948.0</v>
      </c>
      <c r="E63" s="267">
        <v>10.91</v>
      </c>
      <c r="F63" s="268">
        <v>2.54</v>
      </c>
      <c r="G63" s="269">
        <v>1.0</v>
      </c>
    </row>
    <row r="64">
      <c r="A64" s="264">
        <v>12.0</v>
      </c>
      <c r="B64" s="264" t="s">
        <v>659</v>
      </c>
      <c r="C64" s="265" t="s">
        <v>484</v>
      </c>
      <c r="D64" s="266">
        <v>45948.0</v>
      </c>
      <c r="E64" s="267">
        <v>7.92</v>
      </c>
      <c r="F64" s="268">
        <v>2.12</v>
      </c>
      <c r="G64" s="269">
        <v>1.0</v>
      </c>
    </row>
    <row r="65">
      <c r="A65" s="264">
        <v>12.0</v>
      </c>
      <c r="B65" s="264" t="s">
        <v>660</v>
      </c>
      <c r="C65" s="265" t="s">
        <v>484</v>
      </c>
      <c r="D65" s="266">
        <v>45948.0</v>
      </c>
      <c r="E65" s="267">
        <v>10.42</v>
      </c>
      <c r="F65" s="268">
        <v>2.47</v>
      </c>
      <c r="G65" s="269">
        <v>1.0</v>
      </c>
    </row>
    <row r="66">
      <c r="A66" s="264">
        <v>12.0</v>
      </c>
      <c r="B66" s="264" t="s">
        <v>661</v>
      </c>
      <c r="C66" s="265" t="s">
        <v>484</v>
      </c>
      <c r="D66" s="266">
        <v>45948.0</v>
      </c>
      <c r="E66" s="267">
        <v>10.42</v>
      </c>
      <c r="F66" s="268">
        <v>2.47</v>
      </c>
      <c r="G66" s="269">
        <v>1.0</v>
      </c>
    </row>
    <row r="67">
      <c r="A67" s="264">
        <v>12.0</v>
      </c>
      <c r="B67" s="264" t="s">
        <v>662</v>
      </c>
      <c r="C67" s="265" t="s">
        <v>484</v>
      </c>
      <c r="D67" s="266">
        <v>45948.0</v>
      </c>
      <c r="E67" s="267">
        <v>7.92</v>
      </c>
      <c r="F67" s="268">
        <v>2.12</v>
      </c>
      <c r="G67" s="269">
        <v>1.0</v>
      </c>
    </row>
    <row r="68">
      <c r="A68" s="276">
        <v>4.0</v>
      </c>
      <c r="B68" s="276" t="s">
        <v>632</v>
      </c>
      <c r="C68" s="277" t="s">
        <v>593</v>
      </c>
      <c r="D68" s="278">
        <v>45949.0</v>
      </c>
      <c r="E68" s="279">
        <v>4.93</v>
      </c>
      <c r="F68" s="280">
        <v>1.7</v>
      </c>
      <c r="G68" s="281">
        <v>1.0</v>
      </c>
    </row>
    <row r="69">
      <c r="A69" s="276">
        <v>4.0</v>
      </c>
      <c r="B69" s="276" t="s">
        <v>633</v>
      </c>
      <c r="C69" s="277" t="s">
        <v>593</v>
      </c>
      <c r="D69" s="278">
        <v>45949.0</v>
      </c>
      <c r="E69" s="279">
        <v>4.93</v>
      </c>
      <c r="F69" s="280">
        <v>1.7</v>
      </c>
      <c r="G69" s="281">
        <v>1.0</v>
      </c>
    </row>
    <row r="70">
      <c r="A70" s="264">
        <v>10.0</v>
      </c>
      <c r="B70" s="264" t="s">
        <v>634</v>
      </c>
      <c r="C70" s="265" t="s">
        <v>484</v>
      </c>
      <c r="D70" s="266">
        <v>45949.0</v>
      </c>
      <c r="E70" s="267">
        <v>12.91</v>
      </c>
      <c r="F70" s="268">
        <v>2.82</v>
      </c>
      <c r="G70" s="269">
        <v>1.0</v>
      </c>
    </row>
    <row r="71">
      <c r="A71" s="264">
        <v>10.0</v>
      </c>
      <c r="B71" s="264" t="s">
        <v>635</v>
      </c>
      <c r="C71" s="265" t="s">
        <v>484</v>
      </c>
      <c r="D71" s="266">
        <v>45949.0</v>
      </c>
      <c r="E71" s="267">
        <v>11.91</v>
      </c>
      <c r="F71" s="268">
        <v>2.68</v>
      </c>
      <c r="G71" s="269">
        <v>1.0</v>
      </c>
    </row>
    <row r="72">
      <c r="A72" s="264">
        <v>10.0</v>
      </c>
      <c r="B72" s="264" t="s">
        <v>636</v>
      </c>
      <c r="C72" s="265" t="s">
        <v>484</v>
      </c>
      <c r="D72" s="266">
        <v>45949.0</v>
      </c>
      <c r="E72" s="267">
        <v>7.99</v>
      </c>
      <c r="F72" s="268">
        <v>2.13</v>
      </c>
      <c r="G72" s="269">
        <v>1.0</v>
      </c>
    </row>
    <row r="73">
      <c r="A73" s="264">
        <v>10.0</v>
      </c>
      <c r="B73" s="264" t="s">
        <v>637</v>
      </c>
      <c r="C73" s="265" t="s">
        <v>484</v>
      </c>
      <c r="D73" s="266">
        <v>45949.0</v>
      </c>
      <c r="E73" s="267">
        <v>11.91</v>
      </c>
      <c r="F73" s="268">
        <v>2.68</v>
      </c>
      <c r="G73" s="269">
        <v>1.0</v>
      </c>
    </row>
    <row r="74">
      <c r="A74" s="264">
        <v>10.0</v>
      </c>
      <c r="B74" s="264" t="s">
        <v>638</v>
      </c>
      <c r="C74" s="265" t="s">
        <v>484</v>
      </c>
      <c r="D74" s="266">
        <v>45949.0</v>
      </c>
      <c r="E74" s="267">
        <v>12.91</v>
      </c>
      <c r="F74" s="268">
        <v>2.82</v>
      </c>
      <c r="G74" s="269">
        <v>1.0</v>
      </c>
    </row>
    <row r="75">
      <c r="A75" s="264">
        <v>12.0</v>
      </c>
      <c r="B75" s="264" t="s">
        <v>639</v>
      </c>
      <c r="C75" s="265" t="s">
        <v>484</v>
      </c>
      <c r="D75" s="266">
        <v>45949.0</v>
      </c>
      <c r="E75" s="267">
        <v>7.92</v>
      </c>
      <c r="F75" s="268">
        <v>2.12</v>
      </c>
      <c r="G75" s="269">
        <v>1.0</v>
      </c>
    </row>
    <row r="76">
      <c r="A76" s="264">
        <v>12.0</v>
      </c>
      <c r="B76" s="264" t="s">
        <v>640</v>
      </c>
      <c r="C76" s="265" t="s">
        <v>484</v>
      </c>
      <c r="D76" s="266">
        <v>45949.0</v>
      </c>
      <c r="E76" s="267">
        <v>10.92</v>
      </c>
      <c r="F76" s="268">
        <v>2.54</v>
      </c>
      <c r="G76" s="269">
        <v>1.0</v>
      </c>
    </row>
    <row r="77">
      <c r="A77" s="264">
        <v>12.0</v>
      </c>
      <c r="B77" s="264" t="s">
        <v>641</v>
      </c>
      <c r="C77" s="265" t="s">
        <v>484</v>
      </c>
      <c r="D77" s="266">
        <v>45949.0</v>
      </c>
      <c r="E77" s="267">
        <v>10.92</v>
      </c>
      <c r="F77" s="268">
        <v>2.54</v>
      </c>
      <c r="G77" s="269">
        <v>1.0</v>
      </c>
    </row>
    <row r="78">
      <c r="A78" s="264">
        <v>12.0</v>
      </c>
      <c r="B78" s="264" t="s">
        <v>642</v>
      </c>
      <c r="C78" s="265" t="s">
        <v>484</v>
      </c>
      <c r="D78" s="266">
        <v>45949.0</v>
      </c>
      <c r="E78" s="267">
        <v>10.92</v>
      </c>
      <c r="F78" s="268">
        <v>2.54</v>
      </c>
      <c r="G78" s="269">
        <v>1.0</v>
      </c>
    </row>
    <row r="79">
      <c r="A79" s="264">
        <v>12.0</v>
      </c>
      <c r="B79" s="264" t="s">
        <v>643</v>
      </c>
      <c r="C79" s="265" t="s">
        <v>484</v>
      </c>
      <c r="D79" s="266">
        <v>45949.0</v>
      </c>
      <c r="E79" s="267">
        <v>7.92</v>
      </c>
      <c r="F79" s="268">
        <v>2.12</v>
      </c>
      <c r="G79" s="269">
        <v>1.0</v>
      </c>
    </row>
    <row r="80">
      <c r="A80" s="264">
        <v>12.0</v>
      </c>
      <c r="B80" s="264" t="s">
        <v>644</v>
      </c>
      <c r="C80" s="265" t="s">
        <v>484</v>
      </c>
      <c r="D80" s="266">
        <v>45949.0</v>
      </c>
      <c r="E80" s="267">
        <v>7.92</v>
      </c>
      <c r="F80" s="268">
        <v>2.12</v>
      </c>
      <c r="G80" s="269">
        <v>1.0</v>
      </c>
    </row>
    <row r="81">
      <c r="A81" s="252" t="s">
        <v>821</v>
      </c>
      <c r="B81" s="253"/>
      <c r="C81" s="253"/>
      <c r="D81" s="254"/>
      <c r="E81" s="282">
        <v>461.02</v>
      </c>
      <c r="F81" s="283">
        <v>2.36</v>
      </c>
      <c r="G81" s="284">
        <v>47.0</v>
      </c>
    </row>
    <row r="82">
      <c r="A82" s="285"/>
      <c r="B82" s="285"/>
      <c r="C82" s="285"/>
      <c r="D82" s="286"/>
      <c r="E82" s="287"/>
      <c r="F82" s="288"/>
      <c r="G82" s="289"/>
    </row>
    <row r="83">
      <c r="A83" s="252" t="s">
        <v>822</v>
      </c>
      <c r="B83" s="253"/>
      <c r="C83" s="253"/>
      <c r="D83" s="254"/>
      <c r="E83" s="255"/>
      <c r="F83" s="256"/>
      <c r="G83" s="257"/>
    </row>
    <row r="84">
      <c r="A84" s="296">
        <v>6.0</v>
      </c>
      <c r="B84" s="296" t="s">
        <v>625</v>
      </c>
      <c r="C84" s="297" t="s">
        <v>624</v>
      </c>
      <c r="D84" s="298">
        <v>45950.0</v>
      </c>
      <c r="E84" s="299">
        <v>13.58</v>
      </c>
      <c r="F84" s="300">
        <v>10.56</v>
      </c>
      <c r="G84" s="301">
        <v>1.0</v>
      </c>
    </row>
    <row r="85">
      <c r="A85" s="264">
        <v>10.0</v>
      </c>
      <c r="B85" s="264" t="s">
        <v>626</v>
      </c>
      <c r="C85" s="265" t="s">
        <v>484</v>
      </c>
      <c r="D85" s="266">
        <v>45950.0</v>
      </c>
      <c r="E85" s="267">
        <v>11.91</v>
      </c>
      <c r="F85" s="268">
        <v>2.68</v>
      </c>
      <c r="G85" s="269">
        <v>1.0</v>
      </c>
    </row>
    <row r="86">
      <c r="A86" s="264">
        <v>10.0</v>
      </c>
      <c r="B86" s="264" t="s">
        <v>627</v>
      </c>
      <c r="C86" s="265" t="s">
        <v>484</v>
      </c>
      <c r="D86" s="266">
        <v>45950.0</v>
      </c>
      <c r="E86" s="267">
        <v>9.16</v>
      </c>
      <c r="F86" s="268">
        <v>2.29</v>
      </c>
      <c r="G86" s="269">
        <v>1.0</v>
      </c>
    </row>
    <row r="87">
      <c r="A87" s="264">
        <v>10.0</v>
      </c>
      <c r="B87" s="264" t="s">
        <v>628</v>
      </c>
      <c r="C87" s="265" t="s">
        <v>484</v>
      </c>
      <c r="D87" s="266">
        <v>45950.0</v>
      </c>
      <c r="E87" s="267">
        <v>9.16</v>
      </c>
      <c r="F87" s="268">
        <v>2.29</v>
      </c>
      <c r="G87" s="269">
        <v>1.0</v>
      </c>
    </row>
    <row r="88">
      <c r="A88" s="264">
        <v>12.0</v>
      </c>
      <c r="B88" s="264" t="s">
        <v>629</v>
      </c>
      <c r="C88" s="265" t="s">
        <v>484</v>
      </c>
      <c r="D88" s="266">
        <v>45950.0</v>
      </c>
      <c r="E88" s="267">
        <v>9.17</v>
      </c>
      <c r="F88" s="268">
        <v>2.3</v>
      </c>
      <c r="G88" s="269">
        <v>1.0</v>
      </c>
    </row>
    <row r="89">
      <c r="A89" s="264">
        <v>12.0</v>
      </c>
      <c r="B89" s="264" t="s">
        <v>630</v>
      </c>
      <c r="C89" s="265" t="s">
        <v>484</v>
      </c>
      <c r="D89" s="266">
        <v>45950.0</v>
      </c>
      <c r="E89" s="267">
        <v>11.92</v>
      </c>
      <c r="F89" s="268">
        <v>2.68</v>
      </c>
      <c r="G89" s="269">
        <v>1.0</v>
      </c>
    </row>
    <row r="90">
      <c r="A90" s="264">
        <v>12.0</v>
      </c>
      <c r="B90" s="264" t="s">
        <v>631</v>
      </c>
      <c r="C90" s="265" t="s">
        <v>484</v>
      </c>
      <c r="D90" s="266">
        <v>45950.0</v>
      </c>
      <c r="E90" s="267">
        <v>9.17</v>
      </c>
      <c r="F90" s="268">
        <v>2.3</v>
      </c>
      <c r="G90" s="269">
        <v>1.0</v>
      </c>
    </row>
    <row r="91">
      <c r="A91" s="264">
        <v>12.0</v>
      </c>
      <c r="B91" s="264" t="s">
        <v>620</v>
      </c>
      <c r="C91" s="265" t="s">
        <v>484</v>
      </c>
      <c r="D91" s="266">
        <v>45951.0</v>
      </c>
      <c r="E91" s="267">
        <v>11.92</v>
      </c>
      <c r="F91" s="268">
        <v>2.68</v>
      </c>
      <c r="G91" s="269">
        <v>1.0</v>
      </c>
    </row>
    <row r="92">
      <c r="A92" s="264">
        <v>12.0</v>
      </c>
      <c r="B92" s="264" t="s">
        <v>621</v>
      </c>
      <c r="C92" s="265" t="s">
        <v>484</v>
      </c>
      <c r="D92" s="266">
        <v>45951.0</v>
      </c>
      <c r="E92" s="267">
        <v>10.02</v>
      </c>
      <c r="F92" s="268">
        <v>2.42</v>
      </c>
      <c r="G92" s="269">
        <v>1.0</v>
      </c>
    </row>
    <row r="93">
      <c r="A93" s="264">
        <v>12.0</v>
      </c>
      <c r="B93" s="264" t="s">
        <v>622</v>
      </c>
      <c r="C93" s="265" t="s">
        <v>484</v>
      </c>
      <c r="D93" s="266">
        <v>45951.0</v>
      </c>
      <c r="E93" s="267">
        <v>17.92</v>
      </c>
      <c r="F93" s="268">
        <v>3.53</v>
      </c>
      <c r="G93" s="269">
        <v>1.0</v>
      </c>
    </row>
    <row r="94">
      <c r="A94" s="264">
        <v>12.0</v>
      </c>
      <c r="B94" s="264" t="s">
        <v>623</v>
      </c>
      <c r="C94" s="265" t="s">
        <v>484</v>
      </c>
      <c r="D94" s="266">
        <v>45951.0</v>
      </c>
      <c r="E94" s="267">
        <v>10.92</v>
      </c>
      <c r="F94" s="268">
        <v>2.54</v>
      </c>
      <c r="G94" s="269">
        <v>1.0</v>
      </c>
    </row>
    <row r="95">
      <c r="A95" s="264">
        <v>12.0</v>
      </c>
      <c r="B95" s="264" t="s">
        <v>617</v>
      </c>
      <c r="C95" s="265" t="s">
        <v>484</v>
      </c>
      <c r="D95" s="266">
        <v>45952.0</v>
      </c>
      <c r="E95" s="267">
        <v>7.92</v>
      </c>
      <c r="F95" s="268">
        <v>2.12</v>
      </c>
      <c r="G95" s="269">
        <v>1.0</v>
      </c>
    </row>
    <row r="96">
      <c r="A96" s="264">
        <v>12.0</v>
      </c>
      <c r="B96" s="264" t="s">
        <v>618</v>
      </c>
      <c r="C96" s="265" t="s">
        <v>484</v>
      </c>
      <c r="D96" s="266">
        <v>45952.0</v>
      </c>
      <c r="E96" s="267">
        <v>11.92</v>
      </c>
      <c r="F96" s="268">
        <v>2.68</v>
      </c>
      <c r="G96" s="269">
        <v>1.0</v>
      </c>
    </row>
    <row r="97">
      <c r="A97" s="264">
        <v>12.0</v>
      </c>
      <c r="B97" s="264" t="s">
        <v>619</v>
      </c>
      <c r="C97" s="265" t="s">
        <v>484</v>
      </c>
      <c r="D97" s="266">
        <v>45952.0</v>
      </c>
      <c r="E97" s="267">
        <v>9.92</v>
      </c>
      <c r="F97" s="268">
        <v>2.4</v>
      </c>
      <c r="G97" s="269">
        <v>1.0</v>
      </c>
    </row>
    <row r="98">
      <c r="A98" s="276">
        <v>7.0</v>
      </c>
      <c r="B98" s="276" t="s">
        <v>610</v>
      </c>
      <c r="C98" s="277" t="s">
        <v>505</v>
      </c>
      <c r="D98" s="278">
        <v>45953.0</v>
      </c>
      <c r="E98" s="279">
        <v>9.25</v>
      </c>
      <c r="F98" s="280">
        <v>2.95</v>
      </c>
      <c r="G98" s="281">
        <v>1.0</v>
      </c>
    </row>
    <row r="99">
      <c r="A99" s="264">
        <v>12.0</v>
      </c>
      <c r="B99" s="264" t="s">
        <v>611</v>
      </c>
      <c r="C99" s="265" t="s">
        <v>484</v>
      </c>
      <c r="D99" s="266">
        <v>45953.0</v>
      </c>
      <c r="E99" s="267">
        <v>11.92</v>
      </c>
      <c r="F99" s="268">
        <v>2.68</v>
      </c>
      <c r="G99" s="269">
        <v>1.0</v>
      </c>
    </row>
    <row r="100">
      <c r="A100" s="264">
        <v>12.0</v>
      </c>
      <c r="B100" s="264" t="s">
        <v>612</v>
      </c>
      <c r="C100" s="265" t="s">
        <v>484</v>
      </c>
      <c r="D100" s="266">
        <v>45953.0</v>
      </c>
      <c r="E100" s="267">
        <v>7.13</v>
      </c>
      <c r="F100" s="268">
        <v>2.01</v>
      </c>
      <c r="G100" s="269">
        <v>1.0</v>
      </c>
    </row>
    <row r="101">
      <c r="A101" s="264">
        <v>12.0</v>
      </c>
      <c r="B101" s="264" t="s">
        <v>613</v>
      </c>
      <c r="C101" s="265" t="s">
        <v>484</v>
      </c>
      <c r="D101" s="266">
        <v>45953.0</v>
      </c>
      <c r="E101" s="267">
        <v>9.17</v>
      </c>
      <c r="F101" s="268">
        <v>2.3</v>
      </c>
      <c r="G101" s="269">
        <v>1.0</v>
      </c>
    </row>
    <row r="102">
      <c r="A102" s="264">
        <v>12.0</v>
      </c>
      <c r="B102" s="264" t="s">
        <v>614</v>
      </c>
      <c r="C102" s="265" t="s">
        <v>484</v>
      </c>
      <c r="D102" s="266">
        <v>45953.0</v>
      </c>
      <c r="E102" s="267">
        <v>6.92</v>
      </c>
      <c r="F102" s="268">
        <v>1.98</v>
      </c>
      <c r="G102" s="269">
        <v>1.0</v>
      </c>
    </row>
    <row r="103">
      <c r="A103" s="264">
        <v>12.0</v>
      </c>
      <c r="B103" s="264" t="s">
        <v>615</v>
      </c>
      <c r="C103" s="265" t="s">
        <v>484</v>
      </c>
      <c r="D103" s="266">
        <v>45953.0</v>
      </c>
      <c r="E103" s="267">
        <v>9.17</v>
      </c>
      <c r="F103" s="268">
        <v>2.3</v>
      </c>
      <c r="G103" s="269">
        <v>1.0</v>
      </c>
    </row>
    <row r="104">
      <c r="A104" s="264">
        <v>12.0</v>
      </c>
      <c r="B104" s="264" t="s">
        <v>616</v>
      </c>
      <c r="C104" s="265" t="s">
        <v>484</v>
      </c>
      <c r="D104" s="266">
        <v>45953.0</v>
      </c>
      <c r="E104" s="267">
        <v>11.92</v>
      </c>
      <c r="F104" s="268">
        <v>2.68</v>
      </c>
      <c r="G104" s="269">
        <v>1.0</v>
      </c>
    </row>
    <row r="105">
      <c r="A105" s="264">
        <v>12.0</v>
      </c>
      <c r="B105" s="264" t="s">
        <v>607</v>
      </c>
      <c r="C105" s="265" t="s">
        <v>484</v>
      </c>
      <c r="D105" s="266">
        <v>45954.0</v>
      </c>
      <c r="E105" s="267">
        <v>7.92</v>
      </c>
      <c r="F105" s="268">
        <v>2.12</v>
      </c>
      <c r="G105" s="269">
        <v>1.0</v>
      </c>
    </row>
    <row r="106">
      <c r="A106" s="264">
        <v>12.0</v>
      </c>
      <c r="B106" s="264" t="s">
        <v>608</v>
      </c>
      <c r="C106" s="265" t="s">
        <v>484</v>
      </c>
      <c r="D106" s="266">
        <v>45954.0</v>
      </c>
      <c r="E106" s="267">
        <v>10.92</v>
      </c>
      <c r="F106" s="268">
        <v>2.54</v>
      </c>
      <c r="G106" s="269">
        <v>1.0</v>
      </c>
    </row>
    <row r="107">
      <c r="A107" s="264">
        <v>12.0</v>
      </c>
      <c r="B107" s="264" t="s">
        <v>609</v>
      </c>
      <c r="C107" s="265" t="s">
        <v>484</v>
      </c>
      <c r="D107" s="266">
        <v>45954.0</v>
      </c>
      <c r="E107" s="267">
        <v>11.92</v>
      </c>
      <c r="F107" s="268">
        <v>2.68</v>
      </c>
      <c r="G107" s="269">
        <v>1.0</v>
      </c>
    </row>
    <row r="108">
      <c r="A108" s="276">
        <v>4.0</v>
      </c>
      <c r="B108" s="276" t="s">
        <v>594</v>
      </c>
      <c r="C108" s="277" t="s">
        <v>593</v>
      </c>
      <c r="D108" s="278">
        <v>45955.0</v>
      </c>
      <c r="E108" s="279">
        <v>8.03</v>
      </c>
      <c r="F108" s="280">
        <v>2.14</v>
      </c>
      <c r="G108" s="281">
        <v>1.0</v>
      </c>
    </row>
    <row r="109">
      <c r="A109" s="276">
        <v>7.0</v>
      </c>
      <c r="B109" s="276" t="s">
        <v>595</v>
      </c>
      <c r="C109" s="277" t="s">
        <v>505</v>
      </c>
      <c r="D109" s="278">
        <v>45955.0</v>
      </c>
      <c r="E109" s="279">
        <v>7.25</v>
      </c>
      <c r="F109" s="280">
        <v>2.53</v>
      </c>
      <c r="G109" s="281">
        <v>1.0</v>
      </c>
    </row>
    <row r="110">
      <c r="A110" s="264">
        <v>10.0</v>
      </c>
      <c r="B110" s="264" t="s">
        <v>596</v>
      </c>
      <c r="C110" s="265" t="s">
        <v>484</v>
      </c>
      <c r="D110" s="266">
        <v>45955.0</v>
      </c>
      <c r="E110" s="267">
        <v>7.91</v>
      </c>
      <c r="F110" s="268">
        <v>2.12</v>
      </c>
      <c r="G110" s="269">
        <v>1.0</v>
      </c>
    </row>
    <row r="111">
      <c r="A111" s="264">
        <v>10.0</v>
      </c>
      <c r="B111" s="264" t="s">
        <v>597</v>
      </c>
      <c r="C111" s="265" t="s">
        <v>484</v>
      </c>
      <c r="D111" s="266">
        <v>45955.0</v>
      </c>
      <c r="E111" s="267">
        <v>7.31</v>
      </c>
      <c r="F111" s="268">
        <v>2.03</v>
      </c>
      <c r="G111" s="269">
        <v>1.0</v>
      </c>
    </row>
    <row r="112">
      <c r="A112" s="264">
        <v>10.0</v>
      </c>
      <c r="B112" s="264" t="s">
        <v>598</v>
      </c>
      <c r="C112" s="265" t="s">
        <v>484</v>
      </c>
      <c r="D112" s="266">
        <v>45955.0</v>
      </c>
      <c r="E112" s="267">
        <v>7.91</v>
      </c>
      <c r="F112" s="268">
        <v>2.12</v>
      </c>
      <c r="G112" s="269">
        <v>1.0</v>
      </c>
    </row>
    <row r="113">
      <c r="A113" s="264">
        <v>10.0</v>
      </c>
      <c r="B113" s="264" t="s">
        <v>599</v>
      </c>
      <c r="C113" s="265" t="s">
        <v>484</v>
      </c>
      <c r="D113" s="266">
        <v>45955.0</v>
      </c>
      <c r="E113" s="267">
        <v>8.01</v>
      </c>
      <c r="F113" s="268">
        <v>2.13</v>
      </c>
      <c r="G113" s="269">
        <v>1.0</v>
      </c>
    </row>
    <row r="114">
      <c r="A114" s="264">
        <v>10.0</v>
      </c>
      <c r="B114" s="264" t="s">
        <v>600</v>
      </c>
      <c r="C114" s="265" t="s">
        <v>484</v>
      </c>
      <c r="D114" s="266">
        <v>45955.0</v>
      </c>
      <c r="E114" s="267">
        <v>7.91</v>
      </c>
      <c r="F114" s="268">
        <v>2.12</v>
      </c>
      <c r="G114" s="269">
        <v>1.0</v>
      </c>
    </row>
    <row r="115">
      <c r="A115" s="264">
        <v>12.0</v>
      </c>
      <c r="B115" s="264" t="s">
        <v>601</v>
      </c>
      <c r="C115" s="265" t="s">
        <v>484</v>
      </c>
      <c r="D115" s="266">
        <v>45955.0</v>
      </c>
      <c r="E115" s="267">
        <v>8.02</v>
      </c>
      <c r="F115" s="268">
        <v>2.13</v>
      </c>
      <c r="G115" s="269">
        <v>1.0</v>
      </c>
    </row>
    <row r="116">
      <c r="A116" s="264">
        <v>12.0</v>
      </c>
      <c r="B116" s="264" t="s">
        <v>602</v>
      </c>
      <c r="C116" s="265" t="s">
        <v>484</v>
      </c>
      <c r="D116" s="266">
        <v>45955.0</v>
      </c>
      <c r="E116" s="267">
        <v>8.12</v>
      </c>
      <c r="F116" s="268">
        <v>2.15</v>
      </c>
      <c r="G116" s="269">
        <v>1.0</v>
      </c>
    </row>
    <row r="117">
      <c r="A117" s="264">
        <v>12.0</v>
      </c>
      <c r="B117" s="264" t="s">
        <v>603</v>
      </c>
      <c r="C117" s="265" t="s">
        <v>484</v>
      </c>
      <c r="D117" s="266">
        <v>45955.0</v>
      </c>
      <c r="E117" s="267">
        <v>7.92</v>
      </c>
      <c r="F117" s="268">
        <v>2.12</v>
      </c>
      <c r="G117" s="269">
        <v>1.0</v>
      </c>
    </row>
    <row r="118">
      <c r="A118" s="264">
        <v>12.0</v>
      </c>
      <c r="B118" s="264" t="s">
        <v>604</v>
      </c>
      <c r="C118" s="265" t="s">
        <v>484</v>
      </c>
      <c r="D118" s="266">
        <v>45955.0</v>
      </c>
      <c r="E118" s="267">
        <v>7.92</v>
      </c>
      <c r="F118" s="268">
        <v>2.12</v>
      </c>
      <c r="G118" s="269">
        <v>1.0</v>
      </c>
    </row>
    <row r="119">
      <c r="A119" s="312">
        <v>14.0</v>
      </c>
      <c r="B119" s="312" t="s">
        <v>605</v>
      </c>
      <c r="C119" s="313" t="s">
        <v>494</v>
      </c>
      <c r="D119" s="314">
        <v>45955.0</v>
      </c>
      <c r="E119" s="315">
        <v>5.96</v>
      </c>
      <c r="F119" s="316">
        <v>2.48</v>
      </c>
      <c r="G119" s="317">
        <v>1.0</v>
      </c>
    </row>
    <row r="120">
      <c r="A120" s="312">
        <v>14.0</v>
      </c>
      <c r="B120" s="312" t="s">
        <v>606</v>
      </c>
      <c r="C120" s="313" t="s">
        <v>494</v>
      </c>
      <c r="D120" s="314">
        <v>45955.0</v>
      </c>
      <c r="E120" s="315">
        <v>11.96</v>
      </c>
      <c r="F120" s="316">
        <v>3.96</v>
      </c>
      <c r="G120" s="317">
        <v>1.0</v>
      </c>
    </row>
    <row r="121">
      <c r="A121" s="290">
        <v>5.0</v>
      </c>
      <c r="B121" s="290" t="s">
        <v>583</v>
      </c>
      <c r="C121" s="291" t="s">
        <v>582</v>
      </c>
      <c r="D121" s="292">
        <v>45956.0</v>
      </c>
      <c r="E121" s="293">
        <v>5.58</v>
      </c>
      <c r="F121" s="294">
        <v>4.93</v>
      </c>
      <c r="G121" s="295">
        <v>1.0</v>
      </c>
    </row>
    <row r="122">
      <c r="A122" s="264">
        <v>10.0</v>
      </c>
      <c r="B122" s="264" t="s">
        <v>584</v>
      </c>
      <c r="C122" s="265" t="s">
        <v>484</v>
      </c>
      <c r="D122" s="266">
        <v>45956.0</v>
      </c>
      <c r="E122" s="267">
        <v>9.91</v>
      </c>
      <c r="F122" s="268">
        <v>2.4</v>
      </c>
      <c r="G122" s="269">
        <v>1.0</v>
      </c>
    </row>
    <row r="123">
      <c r="A123" s="264">
        <v>12.0</v>
      </c>
      <c r="B123" s="264" t="s">
        <v>585</v>
      </c>
      <c r="C123" s="265" t="s">
        <v>484</v>
      </c>
      <c r="D123" s="266">
        <v>45956.0</v>
      </c>
      <c r="E123" s="267">
        <v>7.92</v>
      </c>
      <c r="F123" s="268">
        <v>2.12</v>
      </c>
      <c r="G123" s="269">
        <v>1.0</v>
      </c>
    </row>
    <row r="124">
      <c r="A124" s="264">
        <v>12.0</v>
      </c>
      <c r="B124" s="264" t="s">
        <v>586</v>
      </c>
      <c r="C124" s="265" t="s">
        <v>484</v>
      </c>
      <c r="D124" s="266">
        <v>45956.0</v>
      </c>
      <c r="E124" s="267">
        <v>9.92</v>
      </c>
      <c r="F124" s="268">
        <v>2.4</v>
      </c>
      <c r="G124" s="269">
        <v>1.0</v>
      </c>
    </row>
    <row r="125">
      <c r="A125" s="264">
        <v>12.0</v>
      </c>
      <c r="B125" s="264" t="s">
        <v>587</v>
      </c>
      <c r="C125" s="265" t="s">
        <v>484</v>
      </c>
      <c r="D125" s="266">
        <v>45956.0</v>
      </c>
      <c r="E125" s="267">
        <v>10.97</v>
      </c>
      <c r="F125" s="268">
        <v>2.55</v>
      </c>
      <c r="G125" s="269">
        <v>1.0</v>
      </c>
    </row>
    <row r="126">
      <c r="A126" s="264">
        <v>12.0</v>
      </c>
      <c r="B126" s="264" t="s">
        <v>588</v>
      </c>
      <c r="C126" s="265" t="s">
        <v>484</v>
      </c>
      <c r="D126" s="266">
        <v>45956.0</v>
      </c>
      <c r="E126" s="267">
        <v>9.92</v>
      </c>
      <c r="F126" s="268">
        <v>2.4</v>
      </c>
      <c r="G126" s="269">
        <v>1.0</v>
      </c>
    </row>
    <row r="127">
      <c r="A127" s="264">
        <v>12.0</v>
      </c>
      <c r="B127" s="264" t="s">
        <v>589</v>
      </c>
      <c r="C127" s="265" t="s">
        <v>484</v>
      </c>
      <c r="D127" s="266">
        <v>45956.0</v>
      </c>
      <c r="E127" s="267">
        <v>7.92</v>
      </c>
      <c r="F127" s="268">
        <v>2.12</v>
      </c>
      <c r="G127" s="269">
        <v>1.0</v>
      </c>
    </row>
    <row r="128">
      <c r="A128" s="264">
        <v>12.0</v>
      </c>
      <c r="B128" s="264" t="s">
        <v>590</v>
      </c>
      <c r="C128" s="265" t="s">
        <v>484</v>
      </c>
      <c r="D128" s="266">
        <v>45956.0</v>
      </c>
      <c r="E128" s="267">
        <v>10.97</v>
      </c>
      <c r="F128" s="268">
        <v>2.55</v>
      </c>
      <c r="G128" s="269">
        <v>1.0</v>
      </c>
    </row>
    <row r="129">
      <c r="A129" s="312">
        <v>14.0</v>
      </c>
      <c r="B129" s="312" t="s">
        <v>591</v>
      </c>
      <c r="C129" s="313" t="s">
        <v>494</v>
      </c>
      <c r="D129" s="314">
        <v>45956.0</v>
      </c>
      <c r="E129" s="315">
        <v>7.96</v>
      </c>
      <c r="F129" s="316">
        <v>2.97</v>
      </c>
      <c r="G129" s="317">
        <v>1.0</v>
      </c>
    </row>
    <row r="130">
      <c r="A130" s="312">
        <v>14.0</v>
      </c>
      <c r="B130" s="312" t="s">
        <v>592</v>
      </c>
      <c r="C130" s="313" t="s">
        <v>494</v>
      </c>
      <c r="D130" s="314">
        <v>45956.0</v>
      </c>
      <c r="E130" s="315">
        <v>7.96</v>
      </c>
      <c r="F130" s="316">
        <v>2.97</v>
      </c>
      <c r="G130" s="317">
        <v>1.0</v>
      </c>
    </row>
    <row r="131">
      <c r="A131" s="252" t="s">
        <v>823</v>
      </c>
      <c r="B131" s="253"/>
      <c r="C131" s="253"/>
      <c r="D131" s="254"/>
      <c r="E131" s="282">
        <v>444.11</v>
      </c>
      <c r="F131" s="283">
        <v>2.67</v>
      </c>
      <c r="G131" s="284">
        <v>47.0</v>
      </c>
    </row>
    <row r="132">
      <c r="A132" s="285"/>
      <c r="B132" s="285"/>
      <c r="C132" s="285"/>
      <c r="D132" s="286"/>
      <c r="E132" s="287"/>
      <c r="F132" s="288"/>
      <c r="G132" s="289"/>
    </row>
    <row r="133">
      <c r="A133" s="252" t="s">
        <v>824</v>
      </c>
      <c r="B133" s="253"/>
      <c r="C133" s="253"/>
      <c r="D133" s="254"/>
      <c r="E133" s="255"/>
      <c r="F133" s="256"/>
      <c r="G133" s="257"/>
    </row>
    <row r="134">
      <c r="A134" s="312">
        <v>14.0</v>
      </c>
      <c r="B134" s="312" t="s">
        <v>579</v>
      </c>
      <c r="C134" s="313" t="s">
        <v>494</v>
      </c>
      <c r="D134" s="314">
        <v>45957.0</v>
      </c>
      <c r="E134" s="315">
        <v>8.46</v>
      </c>
      <c r="F134" s="316">
        <v>3.1</v>
      </c>
      <c r="G134" s="317">
        <v>1.0</v>
      </c>
    </row>
    <row r="135">
      <c r="A135" s="312">
        <v>14.0</v>
      </c>
      <c r="B135" s="312" t="s">
        <v>580</v>
      </c>
      <c r="C135" s="313" t="s">
        <v>494</v>
      </c>
      <c r="D135" s="314">
        <v>45957.0</v>
      </c>
      <c r="E135" s="315">
        <v>8.46</v>
      </c>
      <c r="F135" s="316">
        <v>3.1</v>
      </c>
      <c r="G135" s="317">
        <v>1.0</v>
      </c>
    </row>
    <row r="136">
      <c r="A136" s="312">
        <v>14.0</v>
      </c>
      <c r="B136" s="312" t="s">
        <v>581</v>
      </c>
      <c r="C136" s="313" t="s">
        <v>494</v>
      </c>
      <c r="D136" s="314">
        <v>45957.0</v>
      </c>
      <c r="E136" s="315">
        <v>11.96</v>
      </c>
      <c r="F136" s="316">
        <v>3.96</v>
      </c>
      <c r="G136" s="317">
        <v>1.0</v>
      </c>
    </row>
    <row r="137">
      <c r="A137" s="312">
        <v>14.0</v>
      </c>
      <c r="B137" s="312" t="s">
        <v>577</v>
      </c>
      <c r="C137" s="313" t="s">
        <v>494</v>
      </c>
      <c r="D137" s="314">
        <v>45958.0</v>
      </c>
      <c r="E137" s="315">
        <v>8.76</v>
      </c>
      <c r="F137" s="316">
        <v>3.17</v>
      </c>
      <c r="G137" s="317">
        <v>1.0</v>
      </c>
    </row>
    <row r="138">
      <c r="A138" s="312">
        <v>14.0</v>
      </c>
      <c r="B138" s="312" t="s">
        <v>578</v>
      </c>
      <c r="C138" s="313" t="s">
        <v>494</v>
      </c>
      <c r="D138" s="314">
        <v>45958.0</v>
      </c>
      <c r="E138" s="315">
        <v>7.96</v>
      </c>
      <c r="F138" s="316">
        <v>2.97</v>
      </c>
      <c r="G138" s="317">
        <v>1.0</v>
      </c>
    </row>
    <row r="139">
      <c r="A139" s="312">
        <v>14.0</v>
      </c>
      <c r="B139" s="312" t="s">
        <v>575</v>
      </c>
      <c r="C139" s="313" t="s">
        <v>494</v>
      </c>
      <c r="D139" s="314">
        <v>45959.0</v>
      </c>
      <c r="E139" s="315">
        <v>10.96</v>
      </c>
      <c r="F139" s="316">
        <v>3.72</v>
      </c>
      <c r="G139" s="317">
        <v>1.0</v>
      </c>
    </row>
    <row r="140">
      <c r="A140" s="312">
        <v>14.0</v>
      </c>
      <c r="B140" s="312" t="s">
        <v>576</v>
      </c>
      <c r="C140" s="313" t="s">
        <v>494</v>
      </c>
      <c r="D140" s="314">
        <v>45959.0</v>
      </c>
      <c r="E140" s="315">
        <v>10.96</v>
      </c>
      <c r="F140" s="316">
        <v>3.72</v>
      </c>
      <c r="G140" s="317">
        <v>1.0</v>
      </c>
    </row>
    <row r="141">
      <c r="A141" s="312">
        <v>14.0</v>
      </c>
      <c r="B141" s="312" t="s">
        <v>568</v>
      </c>
      <c r="C141" s="313" t="s">
        <v>494</v>
      </c>
      <c r="D141" s="314">
        <v>45960.0</v>
      </c>
      <c r="E141" s="315">
        <v>5.96</v>
      </c>
      <c r="F141" s="316">
        <v>2.48</v>
      </c>
      <c r="G141" s="317">
        <v>1.0</v>
      </c>
    </row>
    <row r="142">
      <c r="A142" s="312">
        <v>14.0</v>
      </c>
      <c r="B142" s="312" t="s">
        <v>569</v>
      </c>
      <c r="C142" s="313" t="s">
        <v>494</v>
      </c>
      <c r="D142" s="314">
        <v>45960.0</v>
      </c>
      <c r="E142" s="315">
        <v>9.66</v>
      </c>
      <c r="F142" s="316">
        <v>3.39</v>
      </c>
      <c r="G142" s="317">
        <v>1.0</v>
      </c>
    </row>
    <row r="143">
      <c r="A143" s="312">
        <v>14.0</v>
      </c>
      <c r="B143" s="312" t="s">
        <v>570</v>
      </c>
      <c r="C143" s="313" t="s">
        <v>494</v>
      </c>
      <c r="D143" s="314">
        <v>45960.0</v>
      </c>
      <c r="E143" s="315">
        <v>5.96</v>
      </c>
      <c r="F143" s="316">
        <v>2.48</v>
      </c>
      <c r="G143" s="317">
        <v>1.0</v>
      </c>
    </row>
    <row r="144">
      <c r="A144" s="312">
        <v>14.0</v>
      </c>
      <c r="B144" s="312" t="s">
        <v>571</v>
      </c>
      <c r="C144" s="313" t="s">
        <v>494</v>
      </c>
      <c r="D144" s="314">
        <v>45960.0</v>
      </c>
      <c r="E144" s="315">
        <v>7.96</v>
      </c>
      <c r="F144" s="316">
        <v>2.97</v>
      </c>
      <c r="G144" s="317">
        <v>1.0</v>
      </c>
    </row>
    <row r="145">
      <c r="A145" s="312">
        <v>14.0</v>
      </c>
      <c r="B145" s="312" t="s">
        <v>572</v>
      </c>
      <c r="C145" s="313" t="s">
        <v>494</v>
      </c>
      <c r="D145" s="314">
        <v>45960.0</v>
      </c>
      <c r="E145" s="315">
        <v>10.96</v>
      </c>
      <c r="F145" s="316">
        <v>3.72</v>
      </c>
      <c r="G145" s="317">
        <v>1.0</v>
      </c>
    </row>
    <row r="146">
      <c r="A146" s="312">
        <v>14.0</v>
      </c>
      <c r="B146" s="312" t="s">
        <v>573</v>
      </c>
      <c r="C146" s="313" t="s">
        <v>494</v>
      </c>
      <c r="D146" s="314">
        <v>45960.0</v>
      </c>
      <c r="E146" s="315">
        <v>5.96</v>
      </c>
      <c r="F146" s="316">
        <v>2.48</v>
      </c>
      <c r="G146" s="317">
        <v>1.0</v>
      </c>
    </row>
    <row r="147">
      <c r="A147" s="312">
        <v>14.0</v>
      </c>
      <c r="B147" s="312" t="s">
        <v>574</v>
      </c>
      <c r="C147" s="313" t="s">
        <v>494</v>
      </c>
      <c r="D147" s="314">
        <v>45960.0</v>
      </c>
      <c r="E147" s="315">
        <v>9.66</v>
      </c>
      <c r="F147" s="316">
        <v>3.39</v>
      </c>
      <c r="G147" s="317">
        <v>1.0</v>
      </c>
    </row>
    <row r="148">
      <c r="A148" s="290">
        <v>5.0</v>
      </c>
      <c r="B148" s="290" t="s">
        <v>557</v>
      </c>
      <c r="C148" s="291" t="s">
        <v>556</v>
      </c>
      <c r="D148" s="292">
        <v>45961.0</v>
      </c>
      <c r="E148" s="293">
        <v>3.58</v>
      </c>
      <c r="F148" s="294">
        <v>3.52</v>
      </c>
      <c r="G148" s="295">
        <v>1.0</v>
      </c>
    </row>
    <row r="149">
      <c r="A149" s="264">
        <v>10.0</v>
      </c>
      <c r="B149" s="264" t="s">
        <v>558</v>
      </c>
      <c r="C149" s="265" t="s">
        <v>484</v>
      </c>
      <c r="D149" s="266">
        <v>45961.0</v>
      </c>
      <c r="E149" s="267">
        <v>8.91</v>
      </c>
      <c r="F149" s="268">
        <v>2.26</v>
      </c>
      <c r="G149" s="269">
        <v>1.0</v>
      </c>
    </row>
    <row r="150">
      <c r="A150" s="264">
        <v>10.0</v>
      </c>
      <c r="B150" s="264" t="s">
        <v>559</v>
      </c>
      <c r="C150" s="265" t="s">
        <v>484</v>
      </c>
      <c r="D150" s="266">
        <v>45961.0</v>
      </c>
      <c r="E150" s="267">
        <v>6.91</v>
      </c>
      <c r="F150" s="268">
        <v>1.98</v>
      </c>
      <c r="G150" s="269">
        <v>1.0</v>
      </c>
    </row>
    <row r="151">
      <c r="A151" s="264">
        <v>10.0</v>
      </c>
      <c r="B151" s="264" t="s">
        <v>560</v>
      </c>
      <c r="C151" s="265" t="s">
        <v>484</v>
      </c>
      <c r="D151" s="266">
        <v>45961.0</v>
      </c>
      <c r="E151" s="267">
        <v>6.51</v>
      </c>
      <c r="F151" s="268">
        <v>1.92</v>
      </c>
      <c r="G151" s="269">
        <v>1.0</v>
      </c>
    </row>
    <row r="152">
      <c r="A152" s="264">
        <v>12.0</v>
      </c>
      <c r="B152" s="264" t="s">
        <v>561</v>
      </c>
      <c r="C152" s="265" t="s">
        <v>484</v>
      </c>
      <c r="D152" s="266">
        <v>45961.0</v>
      </c>
      <c r="E152" s="267">
        <v>6.52</v>
      </c>
      <c r="F152" s="268">
        <v>1.92</v>
      </c>
      <c r="G152" s="269">
        <v>1.0</v>
      </c>
    </row>
    <row r="153">
      <c r="A153" s="264">
        <v>12.0</v>
      </c>
      <c r="B153" s="264" t="s">
        <v>562</v>
      </c>
      <c r="C153" s="265" t="s">
        <v>484</v>
      </c>
      <c r="D153" s="266">
        <v>45961.0</v>
      </c>
      <c r="E153" s="267">
        <v>6.92</v>
      </c>
      <c r="F153" s="268">
        <v>1.98</v>
      </c>
      <c r="G153" s="269">
        <v>1.0</v>
      </c>
    </row>
    <row r="154">
      <c r="A154" s="264">
        <v>15.0</v>
      </c>
      <c r="B154" s="264" t="s">
        <v>563</v>
      </c>
      <c r="C154" s="265" t="s">
        <v>484</v>
      </c>
      <c r="D154" s="266">
        <v>45961.0</v>
      </c>
      <c r="E154" s="267">
        <v>6.91</v>
      </c>
      <c r="F154" s="268">
        <v>1.97</v>
      </c>
      <c r="G154" s="269">
        <v>1.0</v>
      </c>
    </row>
    <row r="155">
      <c r="A155" s="312">
        <v>14.0</v>
      </c>
      <c r="B155" s="312" t="s">
        <v>564</v>
      </c>
      <c r="C155" s="313" t="s">
        <v>494</v>
      </c>
      <c r="D155" s="314">
        <v>45961.0</v>
      </c>
      <c r="E155" s="315">
        <v>9.96</v>
      </c>
      <c r="F155" s="316">
        <v>3.47</v>
      </c>
      <c r="G155" s="317">
        <v>1.0</v>
      </c>
    </row>
    <row r="156">
      <c r="A156" s="312">
        <v>14.0</v>
      </c>
      <c r="B156" s="312" t="s">
        <v>565</v>
      </c>
      <c r="C156" s="313" t="s">
        <v>494</v>
      </c>
      <c r="D156" s="314">
        <v>45961.0</v>
      </c>
      <c r="E156" s="315">
        <v>3.16</v>
      </c>
      <c r="F156" s="316">
        <v>1.78</v>
      </c>
      <c r="G156" s="317">
        <v>1.0</v>
      </c>
    </row>
    <row r="157">
      <c r="A157" s="312">
        <v>14.0</v>
      </c>
      <c r="B157" s="312" t="s">
        <v>566</v>
      </c>
      <c r="C157" s="313" t="s">
        <v>494</v>
      </c>
      <c r="D157" s="314">
        <v>45961.0</v>
      </c>
      <c r="E157" s="315">
        <v>10.96</v>
      </c>
      <c r="F157" s="316">
        <v>3.72</v>
      </c>
      <c r="G157" s="317">
        <v>1.0</v>
      </c>
    </row>
    <row r="158">
      <c r="A158" s="312">
        <v>14.0</v>
      </c>
      <c r="B158" s="312" t="s">
        <v>567</v>
      </c>
      <c r="C158" s="313" t="s">
        <v>494</v>
      </c>
      <c r="D158" s="314">
        <v>45961.0</v>
      </c>
      <c r="E158" s="315">
        <v>10.96</v>
      </c>
      <c r="F158" s="316">
        <v>3.72</v>
      </c>
      <c r="G158" s="317">
        <v>1.0</v>
      </c>
    </row>
    <row r="159">
      <c r="A159" s="252" t="s">
        <v>825</v>
      </c>
      <c r="B159" s="253"/>
      <c r="C159" s="253"/>
      <c r="D159" s="254"/>
      <c r="E159" s="282">
        <v>204.94</v>
      </c>
      <c r="F159" s="283">
        <v>2.92</v>
      </c>
      <c r="G159" s="284">
        <v>25.0</v>
      </c>
    </row>
    <row r="160">
      <c r="A160" s="285"/>
      <c r="B160" s="285"/>
      <c r="C160" s="285"/>
      <c r="D160" s="286"/>
      <c r="E160" s="287"/>
      <c r="F160" s="288"/>
      <c r="G160" s="289"/>
    </row>
    <row r="161">
      <c r="A161" s="302" t="s">
        <v>826</v>
      </c>
      <c r="B161" s="303"/>
      <c r="C161" s="303"/>
      <c r="D161" s="304"/>
      <c r="E161" s="305">
        <v>1399.41</v>
      </c>
      <c r="F161" s="306">
        <v>2.67</v>
      </c>
      <c r="G161" s="307">
        <v>144.0</v>
      </c>
    </row>
    <row r="162">
      <c r="D162" s="308"/>
      <c r="E162" s="309"/>
      <c r="F162" s="310"/>
      <c r="G162" s="311"/>
    </row>
    <row r="163">
      <c r="D163" s="308"/>
      <c r="E163" s="309"/>
      <c r="F163" s="310"/>
      <c r="G163" s="311"/>
    </row>
    <row r="164">
      <c r="D164" s="308"/>
      <c r="E164" s="309"/>
      <c r="F164" s="310"/>
      <c r="G164" s="311"/>
    </row>
    <row r="165">
      <c r="D165" s="308"/>
      <c r="E165" s="309"/>
      <c r="F165" s="310"/>
      <c r="G165" s="311"/>
    </row>
    <row r="166">
      <c r="D166" s="308"/>
      <c r="E166" s="309"/>
      <c r="F166" s="310"/>
      <c r="G166" s="311"/>
    </row>
    <row r="167">
      <c r="D167" s="308"/>
      <c r="E167" s="309"/>
      <c r="F167" s="310"/>
      <c r="G167" s="311"/>
    </row>
    <row r="168">
      <c r="D168" s="308"/>
      <c r="E168" s="309"/>
      <c r="F168" s="310"/>
      <c r="G168" s="311"/>
    </row>
    <row r="169">
      <c r="D169" s="308"/>
      <c r="E169" s="309"/>
      <c r="F169" s="310"/>
      <c r="G169" s="311"/>
    </row>
    <row r="170">
      <c r="D170" s="308"/>
      <c r="E170" s="309"/>
      <c r="F170" s="310"/>
      <c r="G170" s="311"/>
    </row>
    <row r="171">
      <c r="D171" s="308"/>
      <c r="E171" s="309"/>
      <c r="F171" s="310"/>
      <c r="G171" s="311"/>
    </row>
    <row r="172">
      <c r="D172" s="308"/>
      <c r="E172" s="309"/>
      <c r="F172" s="310"/>
      <c r="G172" s="311"/>
    </row>
    <row r="173">
      <c r="D173" s="308"/>
      <c r="E173" s="309"/>
      <c r="F173" s="310"/>
      <c r="G173" s="311"/>
    </row>
    <row r="174">
      <c r="D174" s="308"/>
      <c r="E174" s="309"/>
      <c r="F174" s="310"/>
      <c r="G174" s="311"/>
    </row>
    <row r="175">
      <c r="D175" s="308"/>
      <c r="E175" s="309"/>
      <c r="F175" s="310"/>
      <c r="G175" s="311"/>
    </row>
    <row r="176">
      <c r="D176" s="308"/>
      <c r="E176" s="309"/>
      <c r="F176" s="310"/>
      <c r="G176" s="311"/>
    </row>
    <row r="177">
      <c r="D177" s="308"/>
      <c r="E177" s="309"/>
      <c r="F177" s="310"/>
      <c r="G177" s="311"/>
    </row>
    <row r="178">
      <c r="D178" s="308"/>
      <c r="E178" s="309"/>
      <c r="F178" s="310"/>
      <c r="G178" s="311"/>
    </row>
    <row r="179">
      <c r="D179" s="308"/>
      <c r="E179" s="309"/>
      <c r="F179" s="310"/>
      <c r="G179" s="311"/>
    </row>
    <row r="180">
      <c r="D180" s="308"/>
      <c r="E180" s="309"/>
      <c r="F180" s="310"/>
      <c r="G180" s="311"/>
    </row>
    <row r="181">
      <c r="D181" s="308"/>
      <c r="E181" s="309"/>
      <c r="F181" s="310"/>
      <c r="G181" s="311"/>
    </row>
    <row r="182">
      <c r="D182" s="308"/>
      <c r="E182" s="309"/>
      <c r="F182" s="310"/>
      <c r="G182" s="311"/>
    </row>
    <row r="183">
      <c r="D183" s="308"/>
      <c r="E183" s="309"/>
      <c r="F183" s="310"/>
      <c r="G183" s="311"/>
    </row>
    <row r="184">
      <c r="D184" s="308"/>
      <c r="E184" s="309"/>
      <c r="F184" s="310"/>
      <c r="G184" s="311"/>
    </row>
    <row r="185">
      <c r="D185" s="308"/>
      <c r="E185" s="309"/>
      <c r="F185" s="310"/>
      <c r="G185" s="311"/>
    </row>
    <row r="186">
      <c r="D186" s="308"/>
      <c r="E186" s="309"/>
      <c r="F186" s="310"/>
      <c r="G186" s="311"/>
    </row>
    <row r="187">
      <c r="D187" s="308"/>
      <c r="E187" s="309"/>
      <c r="F187" s="310"/>
      <c r="G187" s="311"/>
    </row>
    <row r="188">
      <c r="D188" s="308"/>
      <c r="E188" s="309"/>
      <c r="F188" s="310"/>
      <c r="G188" s="311"/>
    </row>
    <row r="189">
      <c r="D189" s="308"/>
      <c r="E189" s="309"/>
      <c r="F189" s="310"/>
      <c r="G189" s="311"/>
    </row>
    <row r="190">
      <c r="D190" s="308"/>
      <c r="E190" s="309"/>
      <c r="F190" s="310"/>
      <c r="G190" s="311"/>
    </row>
    <row r="191">
      <c r="D191" s="308"/>
      <c r="E191" s="309"/>
      <c r="F191" s="310"/>
      <c r="G191" s="311"/>
    </row>
    <row r="192">
      <c r="D192" s="308"/>
      <c r="E192" s="309"/>
      <c r="F192" s="310"/>
      <c r="G192" s="311"/>
    </row>
    <row r="193">
      <c r="D193" s="308"/>
      <c r="E193" s="309"/>
      <c r="F193" s="310"/>
      <c r="G193" s="311"/>
    </row>
    <row r="194">
      <c r="D194" s="308"/>
      <c r="E194" s="309"/>
      <c r="F194" s="310"/>
      <c r="G194" s="311"/>
    </row>
    <row r="195">
      <c r="D195" s="308"/>
      <c r="E195" s="309"/>
      <c r="F195" s="310"/>
      <c r="G195" s="311"/>
    </row>
    <row r="196">
      <c r="D196" s="308"/>
      <c r="E196" s="309"/>
      <c r="F196" s="310"/>
      <c r="G196" s="311"/>
    </row>
    <row r="197">
      <c r="D197" s="308"/>
      <c r="E197" s="309"/>
      <c r="F197" s="310"/>
      <c r="G197" s="311"/>
    </row>
    <row r="198">
      <c r="D198" s="308"/>
      <c r="E198" s="309"/>
      <c r="F198" s="310"/>
      <c r="G198" s="311"/>
    </row>
    <row r="199">
      <c r="D199" s="308"/>
      <c r="E199" s="309"/>
      <c r="F199" s="310"/>
      <c r="G199" s="311"/>
    </row>
    <row r="200">
      <c r="D200" s="308"/>
      <c r="E200" s="309"/>
      <c r="F200" s="310"/>
      <c r="G200" s="311"/>
    </row>
    <row r="201">
      <c r="D201" s="308"/>
      <c r="E201" s="309"/>
      <c r="F201" s="310"/>
      <c r="G201" s="311"/>
    </row>
    <row r="202">
      <c r="D202" s="308"/>
      <c r="E202" s="309"/>
      <c r="F202" s="310"/>
      <c r="G202" s="311"/>
    </row>
    <row r="203">
      <c r="D203" s="308"/>
      <c r="E203" s="309"/>
      <c r="F203" s="310"/>
      <c r="G203" s="311"/>
    </row>
    <row r="204">
      <c r="D204" s="308"/>
      <c r="E204" s="309"/>
      <c r="F204" s="310"/>
      <c r="G204" s="311"/>
    </row>
    <row r="205">
      <c r="D205" s="308"/>
      <c r="E205" s="309"/>
      <c r="F205" s="310"/>
      <c r="G205" s="311"/>
    </row>
    <row r="206">
      <c r="D206" s="308"/>
      <c r="E206" s="309"/>
      <c r="F206" s="310"/>
      <c r="G206" s="311"/>
    </row>
    <row r="207">
      <c r="D207" s="308"/>
      <c r="E207" s="309"/>
      <c r="F207" s="310"/>
      <c r="G207" s="311"/>
    </row>
    <row r="208">
      <c r="D208" s="308"/>
      <c r="E208" s="309"/>
      <c r="F208" s="310"/>
      <c r="G208" s="311"/>
    </row>
    <row r="209">
      <c r="D209" s="308"/>
      <c r="E209" s="309"/>
      <c r="F209" s="310"/>
      <c r="G209" s="311"/>
    </row>
    <row r="210">
      <c r="D210" s="308"/>
      <c r="E210" s="309"/>
      <c r="F210" s="310"/>
      <c r="G210" s="311"/>
    </row>
    <row r="211">
      <c r="D211" s="308"/>
      <c r="E211" s="309"/>
      <c r="F211" s="310"/>
      <c r="G211" s="311"/>
    </row>
    <row r="212">
      <c r="D212" s="308"/>
      <c r="E212" s="309"/>
      <c r="F212" s="310"/>
      <c r="G212" s="311"/>
    </row>
    <row r="213">
      <c r="D213" s="308"/>
      <c r="E213" s="309"/>
      <c r="F213" s="310"/>
      <c r="G213" s="311"/>
    </row>
    <row r="214">
      <c r="D214" s="308"/>
      <c r="E214" s="309"/>
      <c r="F214" s="310"/>
      <c r="G214" s="311"/>
    </row>
    <row r="215">
      <c r="D215" s="308"/>
      <c r="E215" s="309"/>
      <c r="F215" s="310"/>
      <c r="G215" s="311"/>
    </row>
    <row r="216">
      <c r="D216" s="308"/>
      <c r="E216" s="309"/>
      <c r="F216" s="310"/>
      <c r="G216" s="311"/>
    </row>
    <row r="217">
      <c r="D217" s="308"/>
      <c r="E217" s="309"/>
      <c r="F217" s="310"/>
      <c r="G217" s="311"/>
    </row>
    <row r="218">
      <c r="D218" s="308"/>
      <c r="E218" s="309"/>
      <c r="F218" s="310"/>
      <c r="G218" s="311"/>
    </row>
    <row r="219">
      <c r="D219" s="308"/>
      <c r="E219" s="309"/>
      <c r="F219" s="310"/>
      <c r="G219" s="311"/>
    </row>
    <row r="220">
      <c r="D220" s="308"/>
      <c r="E220" s="309"/>
      <c r="F220" s="310"/>
      <c r="G220" s="311"/>
    </row>
    <row r="221">
      <c r="D221" s="308"/>
      <c r="E221" s="309"/>
      <c r="F221" s="310"/>
      <c r="G221" s="311"/>
    </row>
    <row r="222">
      <c r="D222" s="308"/>
      <c r="E222" s="309"/>
      <c r="F222" s="310"/>
      <c r="G222" s="311"/>
    </row>
    <row r="223">
      <c r="D223" s="308"/>
      <c r="E223" s="309"/>
      <c r="F223" s="310"/>
      <c r="G223" s="311"/>
    </row>
    <row r="224">
      <c r="D224" s="308"/>
      <c r="E224" s="309"/>
      <c r="F224" s="310"/>
      <c r="G224" s="311"/>
    </row>
    <row r="225">
      <c r="D225" s="308"/>
      <c r="E225" s="309"/>
      <c r="F225" s="310"/>
      <c r="G225" s="311"/>
    </row>
    <row r="226">
      <c r="D226" s="308"/>
      <c r="E226" s="309"/>
      <c r="F226" s="310"/>
      <c r="G226" s="311"/>
    </row>
    <row r="227">
      <c r="D227" s="308"/>
      <c r="E227" s="309"/>
      <c r="F227" s="310"/>
      <c r="G227" s="311"/>
    </row>
    <row r="228">
      <c r="D228" s="308"/>
      <c r="E228" s="309"/>
      <c r="F228" s="310"/>
      <c r="G228" s="311"/>
    </row>
    <row r="229">
      <c r="D229" s="308"/>
      <c r="E229" s="309"/>
      <c r="F229" s="310"/>
      <c r="G229" s="311"/>
    </row>
    <row r="230">
      <c r="D230" s="308"/>
      <c r="E230" s="309"/>
      <c r="F230" s="310"/>
      <c r="G230" s="311"/>
    </row>
    <row r="231">
      <c r="D231" s="308"/>
      <c r="E231" s="309"/>
      <c r="F231" s="310"/>
      <c r="G231" s="311"/>
    </row>
    <row r="232">
      <c r="D232" s="308"/>
      <c r="E232" s="309"/>
      <c r="F232" s="310"/>
      <c r="G232" s="311"/>
    </row>
    <row r="233">
      <c r="D233" s="308"/>
      <c r="E233" s="309"/>
      <c r="F233" s="310"/>
      <c r="G233" s="311"/>
    </row>
    <row r="234">
      <c r="D234" s="308"/>
      <c r="E234" s="309"/>
      <c r="F234" s="310"/>
      <c r="G234" s="311"/>
    </row>
    <row r="235">
      <c r="D235" s="308"/>
      <c r="E235" s="309"/>
      <c r="F235" s="310"/>
      <c r="G235" s="311"/>
    </row>
    <row r="236">
      <c r="D236" s="308"/>
      <c r="E236" s="309"/>
      <c r="F236" s="310"/>
      <c r="G236" s="311"/>
    </row>
    <row r="237">
      <c r="D237" s="308"/>
      <c r="E237" s="309"/>
      <c r="F237" s="310"/>
      <c r="G237" s="311"/>
    </row>
    <row r="238">
      <c r="D238" s="308"/>
      <c r="E238" s="309"/>
      <c r="F238" s="310"/>
      <c r="G238" s="311"/>
    </row>
    <row r="239">
      <c r="D239" s="308"/>
      <c r="E239" s="309"/>
      <c r="F239" s="310"/>
      <c r="G239" s="311"/>
    </row>
    <row r="240">
      <c r="D240" s="308"/>
      <c r="E240" s="309"/>
      <c r="F240" s="310"/>
      <c r="G240" s="311"/>
    </row>
    <row r="241">
      <c r="D241" s="308"/>
      <c r="E241" s="309"/>
      <c r="F241" s="310"/>
      <c r="G241" s="311"/>
    </row>
    <row r="242">
      <c r="D242" s="308"/>
      <c r="E242" s="309"/>
      <c r="F242" s="310"/>
      <c r="G242" s="311"/>
    </row>
    <row r="243">
      <c r="D243" s="308"/>
      <c r="E243" s="309"/>
      <c r="F243" s="310"/>
      <c r="G243" s="311"/>
    </row>
    <row r="244">
      <c r="D244" s="308"/>
      <c r="E244" s="309"/>
      <c r="F244" s="310"/>
      <c r="G244" s="311"/>
    </row>
    <row r="245">
      <c r="D245" s="308"/>
      <c r="E245" s="309"/>
      <c r="F245" s="310"/>
      <c r="G245" s="311"/>
    </row>
    <row r="246">
      <c r="D246" s="308"/>
      <c r="E246" s="309"/>
      <c r="F246" s="310"/>
      <c r="G246" s="311"/>
    </row>
    <row r="247">
      <c r="D247" s="308"/>
      <c r="E247" s="309"/>
      <c r="F247" s="310"/>
      <c r="G247" s="311"/>
    </row>
    <row r="248">
      <c r="D248" s="308"/>
      <c r="E248" s="309"/>
      <c r="F248" s="310"/>
      <c r="G248" s="311"/>
    </row>
    <row r="249">
      <c r="D249" s="308"/>
      <c r="E249" s="309"/>
      <c r="F249" s="310"/>
      <c r="G249" s="311"/>
    </row>
    <row r="250">
      <c r="D250" s="308"/>
      <c r="E250" s="309"/>
      <c r="F250" s="310"/>
      <c r="G250" s="311"/>
    </row>
    <row r="251">
      <c r="D251" s="308"/>
      <c r="E251" s="309"/>
      <c r="F251" s="310"/>
      <c r="G251" s="311"/>
    </row>
    <row r="252">
      <c r="D252" s="308"/>
      <c r="E252" s="309"/>
      <c r="F252" s="310"/>
      <c r="G252" s="311"/>
    </row>
    <row r="253">
      <c r="D253" s="308"/>
      <c r="E253" s="309"/>
      <c r="F253" s="310"/>
      <c r="G253" s="311"/>
    </row>
    <row r="254">
      <c r="D254" s="308"/>
      <c r="E254" s="309"/>
      <c r="F254" s="310"/>
      <c r="G254" s="311"/>
    </row>
    <row r="255">
      <c r="D255" s="308"/>
      <c r="E255" s="309"/>
      <c r="F255" s="310"/>
      <c r="G255" s="311"/>
    </row>
    <row r="256">
      <c r="D256" s="308"/>
      <c r="E256" s="309"/>
      <c r="F256" s="310"/>
      <c r="G256" s="311"/>
    </row>
    <row r="257">
      <c r="D257" s="308"/>
      <c r="E257" s="309"/>
      <c r="F257" s="310"/>
      <c r="G257" s="311"/>
    </row>
    <row r="258">
      <c r="D258" s="308"/>
      <c r="E258" s="309"/>
      <c r="F258" s="310"/>
      <c r="G258" s="311"/>
    </row>
    <row r="259">
      <c r="D259" s="308"/>
      <c r="E259" s="309"/>
      <c r="F259" s="310"/>
      <c r="G259" s="311"/>
    </row>
    <row r="260">
      <c r="D260" s="308"/>
      <c r="E260" s="309"/>
      <c r="F260" s="310"/>
      <c r="G260" s="311"/>
    </row>
    <row r="261">
      <c r="D261" s="308"/>
      <c r="E261" s="309"/>
      <c r="F261" s="310"/>
      <c r="G261" s="311"/>
    </row>
    <row r="262">
      <c r="D262" s="308"/>
      <c r="E262" s="309"/>
      <c r="F262" s="310"/>
      <c r="G262" s="311"/>
    </row>
    <row r="263">
      <c r="D263" s="308"/>
      <c r="E263" s="309"/>
      <c r="F263" s="310"/>
      <c r="G263" s="311"/>
    </row>
    <row r="264">
      <c r="D264" s="308"/>
      <c r="E264" s="309"/>
      <c r="F264" s="310"/>
      <c r="G264" s="311"/>
    </row>
    <row r="265">
      <c r="D265" s="308"/>
      <c r="E265" s="309"/>
      <c r="F265" s="310"/>
      <c r="G265" s="311"/>
    </row>
    <row r="266">
      <c r="D266" s="308"/>
      <c r="E266" s="309"/>
      <c r="F266" s="310"/>
      <c r="G266" s="311"/>
    </row>
    <row r="267">
      <c r="D267" s="308"/>
      <c r="E267" s="309"/>
      <c r="F267" s="310"/>
      <c r="G267" s="311"/>
    </row>
    <row r="268">
      <c r="D268" s="308"/>
      <c r="E268" s="309"/>
      <c r="F268" s="310"/>
      <c r="G268" s="311"/>
    </row>
    <row r="269">
      <c r="D269" s="308"/>
      <c r="E269" s="309"/>
      <c r="F269" s="310"/>
      <c r="G269" s="311"/>
    </row>
    <row r="270">
      <c r="D270" s="308"/>
      <c r="E270" s="309"/>
      <c r="F270" s="310"/>
      <c r="G270" s="311"/>
    </row>
    <row r="271">
      <c r="D271" s="308"/>
      <c r="E271" s="309"/>
      <c r="F271" s="310"/>
      <c r="G271" s="311"/>
    </row>
    <row r="272">
      <c r="D272" s="308"/>
      <c r="E272" s="309"/>
      <c r="F272" s="310"/>
      <c r="G272" s="311"/>
    </row>
    <row r="273">
      <c r="D273" s="308"/>
      <c r="E273" s="309"/>
      <c r="F273" s="310"/>
      <c r="G273" s="311"/>
    </row>
    <row r="274">
      <c r="D274" s="308"/>
      <c r="E274" s="309"/>
      <c r="F274" s="310"/>
      <c r="G274" s="311"/>
    </row>
    <row r="275">
      <c r="D275" s="308"/>
      <c r="E275" s="309"/>
      <c r="F275" s="310"/>
      <c r="G275" s="311"/>
    </row>
    <row r="276">
      <c r="D276" s="308"/>
      <c r="E276" s="309"/>
      <c r="F276" s="310"/>
      <c r="G276" s="311"/>
    </row>
    <row r="277">
      <c r="D277" s="308"/>
      <c r="E277" s="309"/>
      <c r="F277" s="310"/>
      <c r="G277" s="311"/>
    </row>
    <row r="278">
      <c r="D278" s="308"/>
      <c r="E278" s="309"/>
      <c r="F278" s="310"/>
      <c r="G278" s="311"/>
    </row>
    <row r="279">
      <c r="D279" s="308"/>
      <c r="E279" s="309"/>
      <c r="F279" s="310"/>
      <c r="G279" s="311"/>
    </row>
    <row r="280">
      <c r="D280" s="308"/>
      <c r="E280" s="309"/>
      <c r="F280" s="310"/>
      <c r="G280" s="311"/>
    </row>
    <row r="281">
      <c r="D281" s="308"/>
      <c r="E281" s="309"/>
      <c r="F281" s="310"/>
      <c r="G281" s="311"/>
    </row>
    <row r="282">
      <c r="D282" s="308"/>
      <c r="E282" s="309"/>
      <c r="F282" s="310"/>
      <c r="G282" s="311"/>
    </row>
    <row r="283">
      <c r="D283" s="308"/>
      <c r="E283" s="309"/>
      <c r="F283" s="310"/>
      <c r="G283" s="311"/>
    </row>
    <row r="284">
      <c r="D284" s="308"/>
      <c r="E284" s="309"/>
      <c r="F284" s="310"/>
      <c r="G284" s="311"/>
    </row>
    <row r="285">
      <c r="D285" s="308"/>
      <c r="E285" s="309"/>
      <c r="F285" s="310"/>
      <c r="G285" s="311"/>
    </row>
    <row r="286">
      <c r="D286" s="308"/>
      <c r="E286" s="309"/>
      <c r="F286" s="310"/>
      <c r="G286" s="311"/>
    </row>
    <row r="287">
      <c r="D287" s="308"/>
      <c r="E287" s="309"/>
      <c r="F287" s="310"/>
      <c r="G287" s="311"/>
    </row>
    <row r="288">
      <c r="D288" s="308"/>
      <c r="E288" s="309"/>
      <c r="F288" s="310"/>
      <c r="G288" s="311"/>
    </row>
    <row r="289">
      <c r="D289" s="308"/>
      <c r="E289" s="309"/>
      <c r="F289" s="310"/>
      <c r="G289" s="311"/>
    </row>
    <row r="290">
      <c r="D290" s="308"/>
      <c r="E290" s="309"/>
      <c r="F290" s="310"/>
      <c r="G290" s="311"/>
    </row>
    <row r="291">
      <c r="D291" s="308"/>
      <c r="E291" s="309"/>
      <c r="F291" s="310"/>
      <c r="G291" s="311"/>
    </row>
    <row r="292">
      <c r="D292" s="308"/>
      <c r="E292" s="309"/>
      <c r="F292" s="310"/>
      <c r="G292" s="311"/>
    </row>
    <row r="293">
      <c r="D293" s="308"/>
      <c r="E293" s="309"/>
      <c r="F293" s="310"/>
      <c r="G293" s="311"/>
    </row>
    <row r="294">
      <c r="D294" s="308"/>
      <c r="E294" s="309"/>
      <c r="F294" s="310"/>
      <c r="G294" s="311"/>
    </row>
    <row r="295">
      <c r="D295" s="308"/>
      <c r="E295" s="309"/>
      <c r="F295" s="310"/>
      <c r="G295" s="311"/>
    </row>
    <row r="296">
      <c r="D296" s="308"/>
      <c r="E296" s="309"/>
      <c r="F296" s="310"/>
      <c r="G296" s="311"/>
    </row>
    <row r="297">
      <c r="D297" s="308"/>
      <c r="E297" s="309"/>
      <c r="F297" s="310"/>
      <c r="G297" s="311"/>
    </row>
    <row r="298">
      <c r="D298" s="308"/>
      <c r="E298" s="309"/>
      <c r="F298" s="310"/>
      <c r="G298" s="311"/>
    </row>
    <row r="299">
      <c r="D299" s="308"/>
      <c r="E299" s="309"/>
      <c r="F299" s="310"/>
      <c r="G299" s="311"/>
    </row>
    <row r="300">
      <c r="D300" s="308"/>
      <c r="E300" s="309"/>
      <c r="F300" s="310"/>
      <c r="G300" s="311"/>
    </row>
    <row r="301">
      <c r="D301" s="308"/>
      <c r="E301" s="309"/>
      <c r="F301" s="310"/>
      <c r="G301" s="311"/>
    </row>
    <row r="302">
      <c r="D302" s="308"/>
      <c r="E302" s="309"/>
      <c r="F302" s="310"/>
      <c r="G302" s="311"/>
    </row>
    <row r="303">
      <c r="D303" s="308"/>
      <c r="E303" s="309"/>
      <c r="F303" s="310"/>
      <c r="G303" s="311"/>
    </row>
    <row r="304">
      <c r="D304" s="308"/>
      <c r="E304" s="309"/>
      <c r="F304" s="310"/>
      <c r="G304" s="311"/>
    </row>
    <row r="305">
      <c r="D305" s="308"/>
      <c r="E305" s="309"/>
      <c r="F305" s="310"/>
      <c r="G305" s="311"/>
    </row>
    <row r="306">
      <c r="D306" s="308"/>
      <c r="E306" s="309"/>
      <c r="F306" s="310"/>
      <c r="G306" s="311"/>
    </row>
    <row r="307">
      <c r="D307" s="308"/>
      <c r="E307" s="309"/>
      <c r="F307" s="310"/>
      <c r="G307" s="311"/>
    </row>
    <row r="308">
      <c r="D308" s="308"/>
      <c r="E308" s="309"/>
      <c r="F308" s="310"/>
      <c r="G308" s="311"/>
    </row>
    <row r="309">
      <c r="D309" s="308"/>
      <c r="E309" s="309"/>
      <c r="F309" s="310"/>
      <c r="G309" s="311"/>
    </row>
    <row r="310">
      <c r="D310" s="308"/>
      <c r="E310" s="309"/>
      <c r="F310" s="310"/>
      <c r="G310" s="311"/>
    </row>
    <row r="311">
      <c r="D311" s="308"/>
      <c r="E311" s="309"/>
      <c r="F311" s="310"/>
      <c r="G311" s="311"/>
    </row>
    <row r="312">
      <c r="D312" s="308"/>
      <c r="E312" s="309"/>
      <c r="F312" s="310"/>
      <c r="G312" s="311"/>
    </row>
    <row r="313">
      <c r="D313" s="308"/>
      <c r="E313" s="309"/>
      <c r="F313" s="310"/>
      <c r="G313" s="311"/>
    </row>
    <row r="314">
      <c r="D314" s="308"/>
      <c r="E314" s="309"/>
      <c r="F314" s="310"/>
      <c r="G314" s="311"/>
    </row>
    <row r="315">
      <c r="D315" s="308"/>
      <c r="E315" s="309"/>
      <c r="F315" s="310"/>
      <c r="G315" s="311"/>
    </row>
    <row r="316">
      <c r="D316" s="308"/>
      <c r="E316" s="309"/>
      <c r="F316" s="310"/>
      <c r="G316" s="311"/>
    </row>
    <row r="317">
      <c r="D317" s="308"/>
      <c r="E317" s="309"/>
      <c r="F317" s="310"/>
      <c r="G317" s="311"/>
    </row>
    <row r="318">
      <c r="D318" s="308"/>
      <c r="E318" s="309"/>
      <c r="F318" s="310"/>
      <c r="G318" s="311"/>
    </row>
    <row r="319">
      <c r="D319" s="308"/>
      <c r="E319" s="309"/>
      <c r="F319" s="310"/>
      <c r="G319" s="311"/>
    </row>
    <row r="320">
      <c r="D320" s="308"/>
      <c r="E320" s="309"/>
      <c r="F320" s="310"/>
      <c r="G320" s="311"/>
    </row>
    <row r="321">
      <c r="D321" s="308"/>
      <c r="E321" s="309"/>
      <c r="F321" s="310"/>
      <c r="G321" s="311"/>
    </row>
    <row r="322">
      <c r="D322" s="308"/>
      <c r="E322" s="309"/>
      <c r="F322" s="310"/>
      <c r="G322" s="311"/>
    </row>
    <row r="323">
      <c r="D323" s="308"/>
      <c r="E323" s="309"/>
      <c r="F323" s="310"/>
      <c r="G323" s="311"/>
    </row>
    <row r="324">
      <c r="D324" s="308"/>
      <c r="E324" s="309"/>
      <c r="F324" s="310"/>
      <c r="G324" s="311"/>
    </row>
    <row r="325">
      <c r="D325" s="308"/>
      <c r="E325" s="309"/>
      <c r="F325" s="310"/>
      <c r="G325" s="311"/>
    </row>
    <row r="326">
      <c r="D326" s="308"/>
      <c r="E326" s="309"/>
      <c r="F326" s="310"/>
      <c r="G326" s="311"/>
    </row>
    <row r="327">
      <c r="D327" s="308"/>
      <c r="E327" s="309"/>
      <c r="F327" s="310"/>
      <c r="G327" s="311"/>
    </row>
    <row r="328">
      <c r="D328" s="308"/>
      <c r="E328" s="309"/>
      <c r="F328" s="310"/>
      <c r="G328" s="311"/>
    </row>
    <row r="329">
      <c r="D329" s="308"/>
      <c r="E329" s="309"/>
      <c r="F329" s="310"/>
      <c r="G329" s="311"/>
    </row>
    <row r="330">
      <c r="D330" s="308"/>
      <c r="E330" s="309"/>
      <c r="F330" s="310"/>
      <c r="G330" s="311"/>
    </row>
    <row r="331">
      <c r="D331" s="308"/>
      <c r="E331" s="309"/>
      <c r="F331" s="310"/>
      <c r="G331" s="311"/>
    </row>
    <row r="332">
      <c r="D332" s="308"/>
      <c r="E332" s="309"/>
      <c r="F332" s="310"/>
      <c r="G332" s="311"/>
    </row>
    <row r="333">
      <c r="D333" s="308"/>
      <c r="E333" s="309"/>
      <c r="F333" s="310"/>
      <c r="G333" s="311"/>
    </row>
    <row r="334">
      <c r="D334" s="308"/>
      <c r="E334" s="309"/>
      <c r="F334" s="310"/>
      <c r="G334" s="311"/>
    </row>
    <row r="335">
      <c r="D335" s="308"/>
      <c r="E335" s="309"/>
      <c r="F335" s="310"/>
      <c r="G335" s="311"/>
    </row>
    <row r="336">
      <c r="D336" s="308"/>
      <c r="E336" s="309"/>
      <c r="F336" s="310"/>
      <c r="G336" s="311"/>
    </row>
    <row r="337">
      <c r="D337" s="308"/>
      <c r="E337" s="309"/>
      <c r="F337" s="310"/>
      <c r="G337" s="311"/>
    </row>
    <row r="338">
      <c r="D338" s="308"/>
      <c r="E338" s="309"/>
      <c r="F338" s="310"/>
      <c r="G338" s="311"/>
    </row>
    <row r="339">
      <c r="D339" s="308"/>
      <c r="E339" s="309"/>
      <c r="F339" s="310"/>
      <c r="G339" s="311"/>
    </row>
    <row r="340">
      <c r="D340" s="308"/>
      <c r="E340" s="309"/>
      <c r="F340" s="310"/>
      <c r="G340" s="311"/>
    </row>
    <row r="341">
      <c r="D341" s="308"/>
      <c r="E341" s="309"/>
      <c r="F341" s="310"/>
      <c r="G341" s="311"/>
    </row>
    <row r="342">
      <c r="D342" s="308"/>
      <c r="E342" s="309"/>
      <c r="F342" s="310"/>
      <c r="G342" s="311"/>
    </row>
    <row r="343">
      <c r="D343" s="308"/>
      <c r="E343" s="309"/>
      <c r="F343" s="310"/>
      <c r="G343" s="311"/>
    </row>
    <row r="344">
      <c r="D344" s="308"/>
      <c r="E344" s="309"/>
      <c r="F344" s="310"/>
      <c r="G344" s="311"/>
    </row>
    <row r="345">
      <c r="D345" s="308"/>
      <c r="E345" s="309"/>
      <c r="F345" s="310"/>
      <c r="G345" s="311"/>
    </row>
    <row r="346">
      <c r="D346" s="308"/>
      <c r="E346" s="309"/>
      <c r="F346" s="310"/>
      <c r="G346" s="311"/>
    </row>
    <row r="347">
      <c r="D347" s="308"/>
      <c r="E347" s="309"/>
      <c r="F347" s="310"/>
      <c r="G347" s="311"/>
    </row>
    <row r="348">
      <c r="D348" s="308"/>
      <c r="E348" s="309"/>
      <c r="F348" s="310"/>
      <c r="G348" s="311"/>
    </row>
    <row r="349">
      <c r="D349" s="308"/>
      <c r="E349" s="309"/>
      <c r="F349" s="310"/>
      <c r="G349" s="311"/>
    </row>
    <row r="350">
      <c r="D350" s="308"/>
      <c r="E350" s="309"/>
      <c r="F350" s="310"/>
      <c r="G350" s="311"/>
    </row>
    <row r="351">
      <c r="D351" s="308"/>
      <c r="E351" s="309"/>
      <c r="F351" s="310"/>
      <c r="G351" s="311"/>
    </row>
    <row r="352">
      <c r="D352" s="308"/>
      <c r="E352" s="309"/>
      <c r="F352" s="310"/>
      <c r="G352" s="311"/>
    </row>
    <row r="353">
      <c r="D353" s="308"/>
      <c r="E353" s="309"/>
      <c r="F353" s="310"/>
      <c r="G353" s="311"/>
    </row>
    <row r="354">
      <c r="D354" s="308"/>
      <c r="E354" s="309"/>
      <c r="F354" s="310"/>
      <c r="G354" s="311"/>
    </row>
    <row r="355">
      <c r="D355" s="308"/>
      <c r="E355" s="309"/>
      <c r="F355" s="310"/>
      <c r="G355" s="311"/>
    </row>
    <row r="356">
      <c r="D356" s="308"/>
      <c r="E356" s="309"/>
      <c r="F356" s="310"/>
      <c r="G356" s="311"/>
    </row>
    <row r="357">
      <c r="D357" s="308"/>
      <c r="E357" s="309"/>
      <c r="F357" s="310"/>
      <c r="G357" s="311"/>
    </row>
    <row r="358">
      <c r="D358" s="308"/>
      <c r="E358" s="309"/>
      <c r="F358" s="310"/>
      <c r="G358" s="311"/>
    </row>
    <row r="359">
      <c r="D359" s="308"/>
      <c r="E359" s="309"/>
      <c r="F359" s="310"/>
      <c r="G359" s="311"/>
    </row>
    <row r="360">
      <c r="D360" s="308"/>
      <c r="E360" s="309"/>
      <c r="F360" s="310"/>
      <c r="G360" s="311"/>
    </row>
    <row r="361">
      <c r="D361" s="308"/>
      <c r="E361" s="309"/>
      <c r="F361" s="310"/>
      <c r="G361" s="311"/>
    </row>
    <row r="362">
      <c r="D362" s="308"/>
      <c r="E362" s="309"/>
      <c r="F362" s="310"/>
      <c r="G362" s="311"/>
    </row>
    <row r="363">
      <c r="D363" s="308"/>
      <c r="E363" s="309"/>
      <c r="F363" s="310"/>
      <c r="G363" s="311"/>
    </row>
    <row r="364">
      <c r="D364" s="308"/>
      <c r="E364" s="309"/>
      <c r="F364" s="310"/>
      <c r="G364" s="311"/>
    </row>
    <row r="365">
      <c r="D365" s="308"/>
      <c r="E365" s="309"/>
      <c r="F365" s="310"/>
      <c r="G365" s="311"/>
    </row>
    <row r="366">
      <c r="D366" s="308"/>
      <c r="E366" s="309"/>
      <c r="F366" s="310"/>
      <c r="G366" s="311"/>
    </row>
    <row r="367">
      <c r="D367" s="308"/>
      <c r="E367" s="309"/>
      <c r="F367" s="310"/>
      <c r="G367" s="311"/>
    </row>
    <row r="368">
      <c r="D368" s="308"/>
      <c r="E368" s="309"/>
      <c r="F368" s="310"/>
      <c r="G368" s="311"/>
    </row>
    <row r="369">
      <c r="D369" s="308"/>
      <c r="E369" s="309"/>
      <c r="F369" s="310"/>
      <c r="G369" s="311"/>
    </row>
    <row r="370">
      <c r="D370" s="308"/>
      <c r="E370" s="309"/>
      <c r="F370" s="310"/>
      <c r="G370" s="311"/>
    </row>
    <row r="371">
      <c r="D371" s="308"/>
      <c r="E371" s="309"/>
      <c r="F371" s="310"/>
      <c r="G371" s="311"/>
    </row>
    <row r="372">
      <c r="D372" s="308"/>
      <c r="E372" s="309"/>
      <c r="F372" s="310"/>
      <c r="G372" s="311"/>
    </row>
    <row r="373">
      <c r="D373" s="308"/>
      <c r="E373" s="309"/>
      <c r="F373" s="310"/>
      <c r="G373" s="311"/>
    </row>
    <row r="374">
      <c r="D374" s="308"/>
      <c r="E374" s="309"/>
      <c r="F374" s="310"/>
      <c r="G374" s="311"/>
    </row>
    <row r="375">
      <c r="D375" s="308"/>
      <c r="E375" s="309"/>
      <c r="F375" s="310"/>
      <c r="G375" s="311"/>
    </row>
    <row r="376">
      <c r="D376" s="308"/>
      <c r="E376" s="309"/>
      <c r="F376" s="310"/>
      <c r="G376" s="311"/>
    </row>
    <row r="377">
      <c r="D377" s="308"/>
      <c r="E377" s="309"/>
      <c r="F377" s="310"/>
      <c r="G377" s="311"/>
    </row>
    <row r="378">
      <c r="D378" s="308"/>
      <c r="E378" s="309"/>
      <c r="F378" s="310"/>
      <c r="G378" s="311"/>
    </row>
    <row r="379">
      <c r="D379" s="308"/>
      <c r="E379" s="309"/>
      <c r="F379" s="310"/>
      <c r="G379" s="311"/>
    </row>
    <row r="380">
      <c r="D380" s="308"/>
      <c r="E380" s="309"/>
      <c r="F380" s="310"/>
      <c r="G380" s="311"/>
    </row>
    <row r="381">
      <c r="D381" s="308"/>
      <c r="E381" s="309"/>
      <c r="F381" s="310"/>
      <c r="G381" s="311"/>
    </row>
    <row r="382">
      <c r="D382" s="308"/>
      <c r="E382" s="309"/>
      <c r="F382" s="310"/>
      <c r="G382" s="311"/>
    </row>
    <row r="383">
      <c r="D383" s="308"/>
      <c r="E383" s="309"/>
      <c r="F383" s="310"/>
      <c r="G383" s="311"/>
    </row>
    <row r="384">
      <c r="D384" s="308"/>
      <c r="E384" s="309"/>
      <c r="F384" s="310"/>
      <c r="G384" s="311"/>
    </row>
    <row r="385">
      <c r="D385" s="308"/>
      <c r="E385" s="309"/>
      <c r="F385" s="310"/>
      <c r="G385" s="311"/>
    </row>
    <row r="386">
      <c r="D386" s="308"/>
      <c r="E386" s="309"/>
      <c r="F386" s="310"/>
      <c r="G386" s="311"/>
    </row>
    <row r="387">
      <c r="D387" s="308"/>
      <c r="E387" s="309"/>
      <c r="F387" s="310"/>
      <c r="G387" s="311"/>
    </row>
    <row r="388">
      <c r="D388" s="308"/>
      <c r="E388" s="309"/>
      <c r="F388" s="310"/>
      <c r="G388" s="311"/>
    </row>
    <row r="389">
      <c r="D389" s="308"/>
      <c r="E389" s="309"/>
      <c r="F389" s="310"/>
      <c r="G389" s="311"/>
    </row>
    <row r="390">
      <c r="D390" s="308"/>
      <c r="E390" s="309"/>
      <c r="F390" s="310"/>
      <c r="G390" s="311"/>
    </row>
    <row r="391">
      <c r="D391" s="308"/>
      <c r="E391" s="309"/>
      <c r="F391" s="310"/>
      <c r="G391" s="311"/>
    </row>
    <row r="392">
      <c r="D392" s="308"/>
      <c r="E392" s="309"/>
      <c r="F392" s="310"/>
      <c r="G392" s="311"/>
    </row>
    <row r="393">
      <c r="D393" s="308"/>
      <c r="E393" s="309"/>
      <c r="F393" s="310"/>
      <c r="G393" s="311"/>
    </row>
    <row r="394">
      <c r="D394" s="308"/>
      <c r="E394" s="309"/>
      <c r="F394" s="310"/>
      <c r="G394" s="311"/>
    </row>
    <row r="395">
      <c r="D395" s="308"/>
      <c r="E395" s="309"/>
      <c r="F395" s="310"/>
      <c r="G395" s="311"/>
    </row>
    <row r="396">
      <c r="D396" s="308"/>
      <c r="E396" s="309"/>
      <c r="F396" s="310"/>
      <c r="G396" s="311"/>
    </row>
    <row r="397">
      <c r="D397" s="308"/>
      <c r="E397" s="309"/>
      <c r="F397" s="310"/>
      <c r="G397" s="311"/>
    </row>
    <row r="398">
      <c r="D398" s="308"/>
      <c r="E398" s="309"/>
      <c r="F398" s="310"/>
      <c r="G398" s="311"/>
    </row>
    <row r="399">
      <c r="D399" s="308"/>
      <c r="E399" s="309"/>
      <c r="F399" s="310"/>
      <c r="G399" s="311"/>
    </row>
    <row r="400">
      <c r="D400" s="308"/>
      <c r="E400" s="309"/>
      <c r="F400" s="310"/>
      <c r="G400" s="311"/>
    </row>
    <row r="401">
      <c r="D401" s="308"/>
      <c r="E401" s="309"/>
      <c r="F401" s="310"/>
      <c r="G401" s="311"/>
    </row>
    <row r="402">
      <c r="D402" s="308"/>
      <c r="E402" s="309"/>
      <c r="F402" s="310"/>
      <c r="G402" s="311"/>
    </row>
    <row r="403">
      <c r="D403" s="308"/>
      <c r="E403" s="309"/>
      <c r="F403" s="310"/>
      <c r="G403" s="311"/>
    </row>
    <row r="404">
      <c r="D404" s="308"/>
      <c r="E404" s="309"/>
      <c r="F404" s="310"/>
      <c r="G404" s="311"/>
    </row>
    <row r="405">
      <c r="D405" s="308"/>
      <c r="E405" s="309"/>
      <c r="F405" s="310"/>
      <c r="G405" s="311"/>
    </row>
    <row r="406">
      <c r="D406" s="308"/>
      <c r="E406" s="309"/>
      <c r="F406" s="310"/>
      <c r="G406" s="311"/>
    </row>
    <row r="407">
      <c r="D407" s="308"/>
      <c r="E407" s="309"/>
      <c r="F407" s="310"/>
      <c r="G407" s="311"/>
    </row>
    <row r="408">
      <c r="D408" s="308"/>
      <c r="E408" s="309"/>
      <c r="F408" s="310"/>
      <c r="G408" s="311"/>
    </row>
    <row r="409">
      <c r="D409" s="308"/>
      <c r="E409" s="309"/>
      <c r="F409" s="310"/>
      <c r="G409" s="311"/>
    </row>
    <row r="410">
      <c r="D410" s="308"/>
      <c r="E410" s="309"/>
      <c r="F410" s="310"/>
      <c r="G410" s="311"/>
    </row>
    <row r="411">
      <c r="D411" s="308"/>
      <c r="E411" s="309"/>
      <c r="F411" s="310"/>
      <c r="G411" s="311"/>
    </row>
    <row r="412">
      <c r="D412" s="308"/>
      <c r="E412" s="309"/>
      <c r="F412" s="310"/>
      <c r="G412" s="311"/>
    </row>
    <row r="413">
      <c r="D413" s="308"/>
      <c r="E413" s="309"/>
      <c r="F413" s="310"/>
      <c r="G413" s="311"/>
    </row>
    <row r="414">
      <c r="D414" s="308"/>
      <c r="E414" s="309"/>
      <c r="F414" s="310"/>
      <c r="G414" s="311"/>
    </row>
    <row r="415">
      <c r="D415" s="308"/>
      <c r="E415" s="309"/>
      <c r="F415" s="310"/>
      <c r="G415" s="311"/>
    </row>
    <row r="416">
      <c r="D416" s="308"/>
      <c r="E416" s="309"/>
      <c r="F416" s="310"/>
      <c r="G416" s="311"/>
    </row>
    <row r="417">
      <c r="D417" s="308"/>
      <c r="E417" s="309"/>
      <c r="F417" s="310"/>
      <c r="G417" s="311"/>
    </row>
    <row r="418">
      <c r="D418" s="308"/>
      <c r="E418" s="309"/>
      <c r="F418" s="310"/>
      <c r="G418" s="311"/>
    </row>
    <row r="419">
      <c r="D419" s="308"/>
      <c r="E419" s="309"/>
      <c r="F419" s="310"/>
      <c r="G419" s="311"/>
    </row>
    <row r="420">
      <c r="D420" s="308"/>
      <c r="E420" s="309"/>
      <c r="F420" s="310"/>
      <c r="G420" s="311"/>
    </row>
    <row r="421">
      <c r="D421" s="308"/>
      <c r="E421" s="309"/>
      <c r="F421" s="310"/>
      <c r="G421" s="311"/>
    </row>
    <row r="422">
      <c r="D422" s="308"/>
      <c r="E422" s="309"/>
      <c r="F422" s="310"/>
      <c r="G422" s="311"/>
    </row>
    <row r="423">
      <c r="D423" s="308"/>
      <c r="E423" s="309"/>
      <c r="F423" s="310"/>
      <c r="G423" s="311"/>
    </row>
    <row r="424">
      <c r="D424" s="308"/>
      <c r="E424" s="309"/>
      <c r="F424" s="310"/>
      <c r="G424" s="311"/>
    </row>
    <row r="425">
      <c r="D425" s="308"/>
      <c r="E425" s="309"/>
      <c r="F425" s="310"/>
      <c r="G425" s="311"/>
    </row>
    <row r="426">
      <c r="D426" s="308"/>
      <c r="E426" s="309"/>
      <c r="F426" s="310"/>
      <c r="G426" s="311"/>
    </row>
    <row r="427">
      <c r="D427" s="308"/>
      <c r="E427" s="309"/>
      <c r="F427" s="310"/>
      <c r="G427" s="311"/>
    </row>
    <row r="428">
      <c r="D428" s="308"/>
      <c r="E428" s="309"/>
      <c r="F428" s="310"/>
      <c r="G428" s="311"/>
    </row>
    <row r="429">
      <c r="D429" s="308"/>
      <c r="E429" s="309"/>
      <c r="F429" s="310"/>
      <c r="G429" s="311"/>
    </row>
    <row r="430">
      <c r="D430" s="308"/>
      <c r="E430" s="309"/>
      <c r="F430" s="310"/>
      <c r="G430" s="311"/>
    </row>
    <row r="431">
      <c r="D431" s="308"/>
      <c r="E431" s="309"/>
      <c r="F431" s="310"/>
      <c r="G431" s="311"/>
    </row>
    <row r="432">
      <c r="D432" s="308"/>
      <c r="E432" s="309"/>
      <c r="F432" s="310"/>
      <c r="G432" s="311"/>
    </row>
    <row r="433">
      <c r="D433" s="308"/>
      <c r="E433" s="309"/>
      <c r="F433" s="310"/>
      <c r="G433" s="311"/>
    </row>
    <row r="434">
      <c r="D434" s="308"/>
      <c r="E434" s="309"/>
      <c r="F434" s="310"/>
      <c r="G434" s="311"/>
    </row>
    <row r="435">
      <c r="D435" s="308"/>
      <c r="E435" s="309"/>
      <c r="F435" s="310"/>
      <c r="G435" s="311"/>
    </row>
    <row r="436">
      <c r="D436" s="308"/>
      <c r="E436" s="309"/>
      <c r="F436" s="310"/>
      <c r="G436" s="311"/>
    </row>
    <row r="437">
      <c r="D437" s="308"/>
      <c r="E437" s="309"/>
      <c r="F437" s="310"/>
      <c r="G437" s="311"/>
    </row>
    <row r="438">
      <c r="D438" s="308"/>
      <c r="E438" s="309"/>
      <c r="F438" s="310"/>
      <c r="G438" s="311"/>
    </row>
    <row r="439">
      <c r="D439" s="308"/>
      <c r="E439" s="309"/>
      <c r="F439" s="310"/>
      <c r="G439" s="311"/>
    </row>
    <row r="440">
      <c r="D440" s="308"/>
      <c r="E440" s="309"/>
      <c r="F440" s="310"/>
      <c r="G440" s="311"/>
    </row>
    <row r="441">
      <c r="D441" s="308"/>
      <c r="E441" s="309"/>
      <c r="F441" s="310"/>
      <c r="G441" s="311"/>
    </row>
    <row r="442">
      <c r="D442" s="308"/>
      <c r="E442" s="309"/>
      <c r="F442" s="310"/>
      <c r="G442" s="311"/>
    </row>
    <row r="443">
      <c r="D443" s="308"/>
      <c r="E443" s="309"/>
      <c r="F443" s="310"/>
      <c r="G443" s="311"/>
    </row>
    <row r="444">
      <c r="D444" s="308"/>
      <c r="E444" s="309"/>
      <c r="F444" s="310"/>
      <c r="G444" s="311"/>
    </row>
    <row r="445">
      <c r="D445" s="308"/>
      <c r="E445" s="309"/>
      <c r="F445" s="310"/>
      <c r="G445" s="311"/>
    </row>
    <row r="446">
      <c r="D446" s="308"/>
      <c r="E446" s="309"/>
      <c r="F446" s="310"/>
      <c r="G446" s="311"/>
    </row>
    <row r="447">
      <c r="D447" s="308"/>
      <c r="E447" s="309"/>
      <c r="F447" s="310"/>
      <c r="G447" s="311"/>
    </row>
    <row r="448">
      <c r="D448" s="308"/>
      <c r="E448" s="309"/>
      <c r="F448" s="310"/>
      <c r="G448" s="311"/>
    </row>
    <row r="449">
      <c r="D449" s="308"/>
      <c r="E449" s="309"/>
      <c r="F449" s="310"/>
      <c r="G449" s="311"/>
    </row>
    <row r="450">
      <c r="D450" s="308"/>
      <c r="E450" s="309"/>
      <c r="F450" s="310"/>
      <c r="G450" s="311"/>
    </row>
    <row r="451">
      <c r="D451" s="308"/>
      <c r="E451" s="309"/>
      <c r="F451" s="310"/>
      <c r="G451" s="311"/>
    </row>
    <row r="452">
      <c r="D452" s="308"/>
      <c r="E452" s="309"/>
      <c r="F452" s="310"/>
      <c r="G452" s="311"/>
    </row>
    <row r="453">
      <c r="D453" s="308"/>
      <c r="E453" s="309"/>
      <c r="F453" s="310"/>
      <c r="G453" s="311"/>
    </row>
    <row r="454">
      <c r="D454" s="308"/>
      <c r="E454" s="309"/>
      <c r="F454" s="310"/>
      <c r="G454" s="311"/>
    </row>
    <row r="455">
      <c r="D455" s="308"/>
      <c r="E455" s="309"/>
      <c r="F455" s="310"/>
      <c r="G455" s="311"/>
    </row>
    <row r="456">
      <c r="D456" s="308"/>
      <c r="E456" s="309"/>
      <c r="F456" s="310"/>
      <c r="G456" s="311"/>
    </row>
    <row r="457">
      <c r="D457" s="308"/>
      <c r="E457" s="309"/>
      <c r="F457" s="310"/>
      <c r="G457" s="311"/>
    </row>
    <row r="458">
      <c r="D458" s="308"/>
      <c r="E458" s="309"/>
      <c r="F458" s="310"/>
      <c r="G458" s="311"/>
    </row>
    <row r="459">
      <c r="D459" s="308"/>
      <c r="E459" s="309"/>
      <c r="F459" s="310"/>
      <c r="G459" s="311"/>
    </row>
    <row r="460">
      <c r="D460" s="308"/>
      <c r="E460" s="309"/>
      <c r="F460" s="310"/>
      <c r="G460" s="311"/>
    </row>
    <row r="461">
      <c r="D461" s="308"/>
      <c r="E461" s="309"/>
      <c r="F461" s="310"/>
      <c r="G461" s="311"/>
    </row>
    <row r="462">
      <c r="D462" s="308"/>
      <c r="E462" s="309"/>
      <c r="F462" s="310"/>
      <c r="G462" s="311"/>
    </row>
    <row r="463">
      <c r="D463" s="308"/>
      <c r="E463" s="309"/>
      <c r="F463" s="310"/>
      <c r="G463" s="311"/>
    </row>
    <row r="464">
      <c r="D464" s="308"/>
      <c r="E464" s="309"/>
      <c r="F464" s="310"/>
      <c r="G464" s="311"/>
    </row>
    <row r="465">
      <c r="D465" s="308"/>
      <c r="E465" s="309"/>
      <c r="F465" s="310"/>
      <c r="G465" s="311"/>
    </row>
    <row r="466">
      <c r="D466" s="308"/>
      <c r="E466" s="309"/>
      <c r="F466" s="310"/>
      <c r="G466" s="311"/>
    </row>
    <row r="467">
      <c r="D467" s="308"/>
      <c r="E467" s="309"/>
      <c r="F467" s="310"/>
      <c r="G467" s="311"/>
    </row>
    <row r="468">
      <c r="D468" s="308"/>
      <c r="E468" s="309"/>
      <c r="F468" s="310"/>
      <c r="G468" s="311"/>
    </row>
    <row r="469">
      <c r="D469" s="308"/>
      <c r="E469" s="309"/>
      <c r="F469" s="310"/>
      <c r="G469" s="311"/>
    </row>
    <row r="470">
      <c r="D470" s="308"/>
      <c r="E470" s="309"/>
      <c r="F470" s="310"/>
      <c r="G470" s="311"/>
    </row>
    <row r="471">
      <c r="D471" s="308"/>
      <c r="E471" s="309"/>
      <c r="F471" s="310"/>
      <c r="G471" s="311"/>
    </row>
    <row r="472">
      <c r="D472" s="308"/>
      <c r="E472" s="309"/>
      <c r="F472" s="310"/>
      <c r="G472" s="311"/>
    </row>
    <row r="473">
      <c r="D473" s="308"/>
      <c r="E473" s="309"/>
      <c r="F473" s="310"/>
      <c r="G473" s="311"/>
    </row>
    <row r="474">
      <c r="D474" s="308"/>
      <c r="E474" s="309"/>
      <c r="F474" s="310"/>
      <c r="G474" s="311"/>
    </row>
    <row r="475">
      <c r="D475" s="308"/>
      <c r="E475" s="309"/>
      <c r="F475" s="310"/>
      <c r="G475" s="311"/>
    </row>
    <row r="476">
      <c r="D476" s="308"/>
      <c r="E476" s="309"/>
      <c r="F476" s="310"/>
      <c r="G476" s="311"/>
    </row>
    <row r="477">
      <c r="D477" s="308"/>
      <c r="E477" s="309"/>
      <c r="F477" s="310"/>
      <c r="G477" s="311"/>
    </row>
    <row r="478">
      <c r="D478" s="308"/>
      <c r="E478" s="309"/>
      <c r="F478" s="310"/>
      <c r="G478" s="311"/>
    </row>
    <row r="479">
      <c r="D479" s="308"/>
      <c r="E479" s="309"/>
      <c r="F479" s="310"/>
      <c r="G479" s="311"/>
    </row>
    <row r="480">
      <c r="D480" s="308"/>
      <c r="E480" s="309"/>
      <c r="F480" s="310"/>
      <c r="G480" s="311"/>
    </row>
    <row r="481">
      <c r="D481" s="308"/>
      <c r="E481" s="309"/>
      <c r="F481" s="310"/>
      <c r="G481" s="311"/>
    </row>
    <row r="482">
      <c r="D482" s="308"/>
      <c r="E482" s="309"/>
      <c r="F482" s="310"/>
      <c r="G482" s="311"/>
    </row>
    <row r="483">
      <c r="D483" s="308"/>
      <c r="E483" s="309"/>
      <c r="F483" s="310"/>
      <c r="G483" s="311"/>
    </row>
    <row r="484">
      <c r="D484" s="308"/>
      <c r="E484" s="309"/>
      <c r="F484" s="310"/>
      <c r="G484" s="311"/>
    </row>
    <row r="485">
      <c r="D485" s="308"/>
      <c r="E485" s="309"/>
      <c r="F485" s="310"/>
      <c r="G485" s="311"/>
    </row>
    <row r="486">
      <c r="D486" s="308"/>
      <c r="E486" s="309"/>
      <c r="F486" s="310"/>
      <c r="G486" s="311"/>
    </row>
    <row r="487">
      <c r="D487" s="308"/>
      <c r="E487" s="309"/>
      <c r="F487" s="310"/>
      <c r="G487" s="311"/>
    </row>
    <row r="488">
      <c r="D488" s="308"/>
      <c r="E488" s="309"/>
      <c r="F488" s="310"/>
      <c r="G488" s="311"/>
    </row>
    <row r="489">
      <c r="D489" s="308"/>
      <c r="E489" s="309"/>
      <c r="F489" s="310"/>
      <c r="G489" s="311"/>
    </row>
    <row r="490">
      <c r="D490" s="308"/>
      <c r="E490" s="309"/>
      <c r="F490" s="310"/>
      <c r="G490" s="311"/>
    </row>
    <row r="491">
      <c r="D491" s="308"/>
      <c r="E491" s="309"/>
      <c r="F491" s="310"/>
      <c r="G491" s="311"/>
    </row>
    <row r="492">
      <c r="D492" s="308"/>
      <c r="E492" s="309"/>
      <c r="F492" s="310"/>
      <c r="G492" s="311"/>
    </row>
    <row r="493">
      <c r="D493" s="308"/>
      <c r="E493" s="309"/>
      <c r="F493" s="310"/>
      <c r="G493" s="311"/>
    </row>
    <row r="494">
      <c r="D494" s="308"/>
      <c r="E494" s="309"/>
      <c r="F494" s="310"/>
      <c r="G494" s="311"/>
    </row>
    <row r="495">
      <c r="D495" s="308"/>
      <c r="E495" s="309"/>
      <c r="F495" s="310"/>
      <c r="G495" s="311"/>
    </row>
    <row r="496">
      <c r="D496" s="308"/>
      <c r="E496" s="309"/>
      <c r="F496" s="310"/>
      <c r="G496" s="311"/>
    </row>
    <row r="497">
      <c r="D497" s="308"/>
      <c r="E497" s="309"/>
      <c r="F497" s="310"/>
      <c r="G497" s="311"/>
    </row>
    <row r="498">
      <c r="D498" s="308"/>
      <c r="E498" s="309"/>
      <c r="F498" s="310"/>
      <c r="G498" s="311"/>
    </row>
    <row r="499">
      <c r="D499" s="308"/>
      <c r="E499" s="309"/>
      <c r="F499" s="310"/>
      <c r="G499" s="311"/>
    </row>
    <row r="500">
      <c r="D500" s="308"/>
      <c r="E500" s="309"/>
      <c r="F500" s="310"/>
      <c r="G500" s="311"/>
    </row>
    <row r="501">
      <c r="D501" s="308"/>
      <c r="E501" s="309"/>
      <c r="F501" s="310"/>
      <c r="G501" s="311"/>
    </row>
    <row r="502">
      <c r="D502" s="308"/>
      <c r="E502" s="309"/>
      <c r="F502" s="310"/>
      <c r="G502" s="311"/>
    </row>
    <row r="503">
      <c r="D503" s="308"/>
      <c r="E503" s="309"/>
      <c r="F503" s="310"/>
      <c r="G503" s="311"/>
    </row>
    <row r="504">
      <c r="D504" s="308"/>
      <c r="E504" s="309"/>
      <c r="F504" s="310"/>
      <c r="G504" s="311"/>
    </row>
    <row r="505">
      <c r="D505" s="308"/>
      <c r="E505" s="309"/>
      <c r="F505" s="310"/>
      <c r="G505" s="311"/>
    </row>
    <row r="506">
      <c r="D506" s="308"/>
      <c r="E506" s="309"/>
      <c r="F506" s="310"/>
      <c r="G506" s="311"/>
    </row>
    <row r="507">
      <c r="D507" s="308"/>
      <c r="E507" s="309"/>
      <c r="F507" s="310"/>
      <c r="G507" s="311"/>
    </row>
    <row r="508">
      <c r="D508" s="308"/>
      <c r="E508" s="309"/>
      <c r="F508" s="310"/>
      <c r="G508" s="311"/>
    </row>
    <row r="509">
      <c r="D509" s="308"/>
      <c r="E509" s="309"/>
      <c r="F509" s="310"/>
      <c r="G509" s="311"/>
    </row>
    <row r="510">
      <c r="D510" s="308"/>
      <c r="E510" s="309"/>
      <c r="F510" s="310"/>
      <c r="G510" s="311"/>
    </row>
    <row r="511">
      <c r="D511" s="308"/>
      <c r="E511" s="309"/>
      <c r="F511" s="310"/>
      <c r="G511" s="311"/>
    </row>
    <row r="512">
      <c r="D512" s="308"/>
      <c r="E512" s="309"/>
      <c r="F512" s="310"/>
      <c r="G512" s="311"/>
    </row>
    <row r="513">
      <c r="D513" s="308"/>
      <c r="E513" s="309"/>
      <c r="F513" s="310"/>
      <c r="G513" s="311"/>
    </row>
    <row r="514">
      <c r="D514" s="308"/>
      <c r="E514" s="309"/>
      <c r="F514" s="310"/>
      <c r="G514" s="311"/>
    </row>
    <row r="515">
      <c r="D515" s="308"/>
      <c r="E515" s="309"/>
      <c r="F515" s="310"/>
      <c r="G515" s="311"/>
    </row>
    <row r="516">
      <c r="D516" s="308"/>
      <c r="E516" s="309"/>
      <c r="F516" s="310"/>
      <c r="G516" s="311"/>
    </row>
    <row r="517">
      <c r="D517" s="308"/>
      <c r="E517" s="309"/>
      <c r="F517" s="310"/>
      <c r="G517" s="311"/>
    </row>
    <row r="518">
      <c r="D518" s="308"/>
      <c r="E518" s="309"/>
      <c r="F518" s="310"/>
      <c r="G518" s="311"/>
    </row>
    <row r="519">
      <c r="D519" s="308"/>
      <c r="E519" s="309"/>
      <c r="F519" s="310"/>
      <c r="G519" s="311"/>
    </row>
    <row r="520">
      <c r="D520" s="308"/>
      <c r="E520" s="309"/>
      <c r="F520" s="310"/>
      <c r="G520" s="311"/>
    </row>
    <row r="521">
      <c r="D521" s="308"/>
      <c r="E521" s="309"/>
      <c r="F521" s="310"/>
      <c r="G521" s="311"/>
    </row>
    <row r="522">
      <c r="D522" s="308"/>
      <c r="E522" s="309"/>
      <c r="F522" s="310"/>
      <c r="G522" s="311"/>
    </row>
    <row r="523">
      <c r="D523" s="308"/>
      <c r="E523" s="309"/>
      <c r="F523" s="310"/>
      <c r="G523" s="311"/>
    </row>
    <row r="524">
      <c r="D524" s="308"/>
      <c r="E524" s="309"/>
      <c r="F524" s="310"/>
      <c r="G524" s="311"/>
    </row>
    <row r="525">
      <c r="D525" s="308"/>
      <c r="E525" s="309"/>
      <c r="F525" s="310"/>
      <c r="G525" s="311"/>
    </row>
    <row r="526">
      <c r="D526" s="308"/>
      <c r="E526" s="309"/>
      <c r="F526" s="310"/>
      <c r="G526" s="311"/>
    </row>
    <row r="527">
      <c r="D527" s="308"/>
      <c r="E527" s="309"/>
      <c r="F527" s="310"/>
      <c r="G527" s="311"/>
    </row>
    <row r="528">
      <c r="D528" s="308"/>
      <c r="E528" s="309"/>
      <c r="F528" s="310"/>
      <c r="G528" s="311"/>
    </row>
    <row r="529">
      <c r="D529" s="308"/>
      <c r="E529" s="309"/>
      <c r="F529" s="310"/>
      <c r="G529" s="311"/>
    </row>
    <row r="530">
      <c r="D530" s="308"/>
      <c r="E530" s="309"/>
      <c r="F530" s="310"/>
      <c r="G530" s="311"/>
    </row>
    <row r="531">
      <c r="D531" s="308"/>
      <c r="E531" s="309"/>
      <c r="F531" s="310"/>
      <c r="G531" s="311"/>
    </row>
    <row r="532">
      <c r="D532" s="308"/>
      <c r="E532" s="309"/>
      <c r="F532" s="310"/>
      <c r="G532" s="311"/>
    </row>
    <row r="533">
      <c r="D533" s="308"/>
      <c r="E533" s="309"/>
      <c r="F533" s="310"/>
      <c r="G533" s="311"/>
    </row>
    <row r="534">
      <c r="D534" s="308"/>
      <c r="E534" s="309"/>
      <c r="F534" s="310"/>
      <c r="G534" s="311"/>
    </row>
    <row r="535">
      <c r="D535" s="308"/>
      <c r="E535" s="309"/>
      <c r="F535" s="310"/>
      <c r="G535" s="311"/>
    </row>
    <row r="536">
      <c r="D536" s="308"/>
      <c r="E536" s="309"/>
      <c r="F536" s="310"/>
      <c r="G536" s="311"/>
    </row>
    <row r="537">
      <c r="D537" s="308"/>
      <c r="E537" s="309"/>
      <c r="F537" s="310"/>
      <c r="G537" s="311"/>
    </row>
    <row r="538">
      <c r="D538" s="308"/>
      <c r="E538" s="309"/>
      <c r="F538" s="310"/>
      <c r="G538" s="311"/>
    </row>
    <row r="539">
      <c r="D539" s="308"/>
      <c r="E539" s="309"/>
      <c r="F539" s="310"/>
      <c r="G539" s="311"/>
    </row>
    <row r="540">
      <c r="D540" s="308"/>
      <c r="E540" s="309"/>
      <c r="F540" s="310"/>
      <c r="G540" s="311"/>
    </row>
    <row r="541">
      <c r="D541" s="308"/>
      <c r="E541" s="309"/>
      <c r="F541" s="310"/>
      <c r="G541" s="311"/>
    </row>
    <row r="542">
      <c r="D542" s="308"/>
      <c r="E542" s="309"/>
      <c r="F542" s="310"/>
      <c r="G542" s="311"/>
    </row>
    <row r="543">
      <c r="D543" s="308"/>
      <c r="E543" s="309"/>
      <c r="F543" s="310"/>
      <c r="G543" s="311"/>
    </row>
    <row r="544">
      <c r="D544" s="308"/>
      <c r="E544" s="309"/>
      <c r="F544" s="310"/>
      <c r="G544" s="311"/>
    </row>
    <row r="545">
      <c r="D545" s="308"/>
      <c r="E545" s="309"/>
      <c r="F545" s="310"/>
      <c r="G545" s="311"/>
    </row>
    <row r="546">
      <c r="D546" s="308"/>
      <c r="E546" s="309"/>
      <c r="F546" s="310"/>
      <c r="G546" s="311"/>
    </row>
    <row r="547">
      <c r="D547" s="308"/>
      <c r="E547" s="309"/>
      <c r="F547" s="310"/>
      <c r="G547" s="311"/>
    </row>
    <row r="548">
      <c r="D548" s="308"/>
      <c r="E548" s="309"/>
      <c r="F548" s="310"/>
      <c r="G548" s="311"/>
    </row>
    <row r="549">
      <c r="D549" s="308"/>
      <c r="E549" s="309"/>
      <c r="F549" s="310"/>
      <c r="G549" s="311"/>
    </row>
    <row r="550">
      <c r="D550" s="308"/>
      <c r="E550" s="309"/>
      <c r="F550" s="310"/>
      <c r="G550" s="311"/>
    </row>
    <row r="551">
      <c r="D551" s="308"/>
      <c r="E551" s="309"/>
      <c r="F551" s="310"/>
      <c r="G551" s="311"/>
    </row>
    <row r="552">
      <c r="D552" s="308"/>
      <c r="E552" s="309"/>
      <c r="F552" s="310"/>
      <c r="G552" s="311"/>
    </row>
    <row r="553">
      <c r="D553" s="308"/>
      <c r="E553" s="309"/>
      <c r="F553" s="310"/>
      <c r="G553" s="311"/>
    </row>
    <row r="554">
      <c r="D554" s="308"/>
      <c r="E554" s="309"/>
      <c r="F554" s="310"/>
      <c r="G554" s="311"/>
    </row>
    <row r="555">
      <c r="D555" s="308"/>
      <c r="E555" s="309"/>
      <c r="F555" s="310"/>
      <c r="G555" s="311"/>
    </row>
    <row r="556">
      <c r="D556" s="308"/>
      <c r="E556" s="309"/>
      <c r="F556" s="310"/>
      <c r="G556" s="311"/>
    </row>
    <row r="557">
      <c r="D557" s="308"/>
      <c r="E557" s="309"/>
      <c r="F557" s="310"/>
      <c r="G557" s="311"/>
    </row>
    <row r="558">
      <c r="D558" s="308"/>
      <c r="E558" s="309"/>
      <c r="F558" s="310"/>
      <c r="G558" s="311"/>
    </row>
    <row r="559">
      <c r="D559" s="308"/>
      <c r="E559" s="309"/>
      <c r="F559" s="310"/>
      <c r="G559" s="311"/>
    </row>
    <row r="560">
      <c r="D560" s="308"/>
      <c r="E560" s="309"/>
      <c r="F560" s="310"/>
      <c r="G560" s="311"/>
    </row>
    <row r="561">
      <c r="D561" s="308"/>
      <c r="E561" s="309"/>
      <c r="F561" s="310"/>
      <c r="G561" s="311"/>
    </row>
    <row r="562">
      <c r="D562" s="308"/>
      <c r="E562" s="309"/>
      <c r="F562" s="310"/>
      <c r="G562" s="311"/>
    </row>
    <row r="563">
      <c r="D563" s="308"/>
      <c r="E563" s="309"/>
      <c r="F563" s="310"/>
      <c r="G563" s="311"/>
    </row>
    <row r="564">
      <c r="D564" s="308"/>
      <c r="E564" s="309"/>
      <c r="F564" s="310"/>
      <c r="G564" s="311"/>
    </row>
    <row r="565">
      <c r="D565" s="308"/>
      <c r="E565" s="309"/>
      <c r="F565" s="310"/>
      <c r="G565" s="311"/>
    </row>
    <row r="566">
      <c r="D566" s="308"/>
      <c r="E566" s="309"/>
      <c r="F566" s="310"/>
      <c r="G566" s="311"/>
    </row>
    <row r="567">
      <c r="D567" s="308"/>
      <c r="E567" s="309"/>
      <c r="F567" s="310"/>
      <c r="G567" s="311"/>
    </row>
    <row r="568">
      <c r="D568" s="308"/>
      <c r="E568" s="309"/>
      <c r="F568" s="310"/>
      <c r="G568" s="311"/>
    </row>
    <row r="569">
      <c r="D569" s="308"/>
      <c r="E569" s="309"/>
      <c r="F569" s="310"/>
      <c r="G569" s="311"/>
    </row>
    <row r="570">
      <c r="D570" s="308"/>
      <c r="E570" s="309"/>
      <c r="F570" s="310"/>
      <c r="G570" s="311"/>
    </row>
    <row r="571">
      <c r="D571" s="308"/>
      <c r="E571" s="309"/>
      <c r="F571" s="310"/>
      <c r="G571" s="311"/>
    </row>
    <row r="572">
      <c r="D572" s="308"/>
      <c r="E572" s="309"/>
      <c r="F572" s="310"/>
      <c r="G572" s="311"/>
    </row>
    <row r="573">
      <c r="D573" s="308"/>
      <c r="E573" s="309"/>
      <c r="F573" s="310"/>
      <c r="G573" s="311"/>
    </row>
    <row r="574">
      <c r="D574" s="308"/>
      <c r="E574" s="309"/>
      <c r="F574" s="310"/>
      <c r="G574" s="311"/>
    </row>
    <row r="575">
      <c r="D575" s="308"/>
      <c r="E575" s="309"/>
      <c r="F575" s="310"/>
      <c r="G575" s="311"/>
    </row>
    <row r="576">
      <c r="D576" s="308"/>
      <c r="E576" s="309"/>
      <c r="F576" s="310"/>
      <c r="G576" s="311"/>
    </row>
    <row r="577">
      <c r="D577" s="308"/>
      <c r="E577" s="309"/>
      <c r="F577" s="310"/>
      <c r="G577" s="311"/>
    </row>
    <row r="578">
      <c r="D578" s="308"/>
      <c r="E578" s="309"/>
      <c r="F578" s="310"/>
      <c r="G578" s="311"/>
    </row>
    <row r="579">
      <c r="D579" s="308"/>
      <c r="E579" s="309"/>
      <c r="F579" s="310"/>
      <c r="G579" s="311"/>
    </row>
    <row r="580">
      <c r="D580" s="308"/>
      <c r="E580" s="309"/>
      <c r="F580" s="310"/>
      <c r="G580" s="311"/>
    </row>
    <row r="581">
      <c r="D581" s="308"/>
      <c r="E581" s="309"/>
      <c r="F581" s="310"/>
      <c r="G581" s="311"/>
    </row>
    <row r="582">
      <c r="D582" s="308"/>
      <c r="E582" s="309"/>
      <c r="F582" s="310"/>
      <c r="G582" s="311"/>
    </row>
    <row r="583">
      <c r="D583" s="308"/>
      <c r="E583" s="309"/>
      <c r="F583" s="310"/>
      <c r="G583" s="311"/>
    </row>
    <row r="584">
      <c r="D584" s="308"/>
      <c r="E584" s="309"/>
      <c r="F584" s="310"/>
      <c r="G584" s="311"/>
    </row>
    <row r="585">
      <c r="D585" s="308"/>
      <c r="E585" s="309"/>
      <c r="F585" s="310"/>
      <c r="G585" s="311"/>
    </row>
    <row r="586">
      <c r="D586" s="308"/>
      <c r="E586" s="309"/>
      <c r="F586" s="310"/>
      <c r="G586" s="311"/>
    </row>
    <row r="587">
      <c r="D587" s="308"/>
      <c r="E587" s="309"/>
      <c r="F587" s="310"/>
      <c r="G587" s="311"/>
    </row>
    <row r="588">
      <c r="D588" s="308"/>
      <c r="E588" s="309"/>
      <c r="F588" s="310"/>
      <c r="G588" s="311"/>
    </row>
    <row r="589">
      <c r="D589" s="308"/>
      <c r="E589" s="309"/>
      <c r="F589" s="310"/>
      <c r="G589" s="311"/>
    </row>
    <row r="590">
      <c r="D590" s="308"/>
      <c r="E590" s="309"/>
      <c r="F590" s="310"/>
      <c r="G590" s="311"/>
    </row>
    <row r="591">
      <c r="D591" s="308"/>
      <c r="E591" s="309"/>
      <c r="F591" s="310"/>
      <c r="G591" s="311"/>
    </row>
    <row r="592">
      <c r="D592" s="308"/>
      <c r="E592" s="309"/>
      <c r="F592" s="310"/>
      <c r="G592" s="311"/>
    </row>
    <row r="593">
      <c r="D593" s="308"/>
      <c r="E593" s="309"/>
      <c r="F593" s="310"/>
      <c r="G593" s="311"/>
    </row>
    <row r="594">
      <c r="D594" s="308"/>
      <c r="E594" s="309"/>
      <c r="F594" s="310"/>
      <c r="G594" s="311"/>
    </row>
    <row r="595">
      <c r="D595" s="308"/>
      <c r="E595" s="309"/>
      <c r="F595" s="310"/>
      <c r="G595" s="311"/>
    </row>
    <row r="596">
      <c r="D596" s="308"/>
      <c r="E596" s="309"/>
      <c r="F596" s="310"/>
      <c r="G596" s="311"/>
    </row>
    <row r="597">
      <c r="D597" s="308"/>
      <c r="E597" s="309"/>
      <c r="F597" s="310"/>
      <c r="G597" s="311"/>
    </row>
    <row r="598">
      <c r="D598" s="308"/>
      <c r="E598" s="309"/>
      <c r="F598" s="310"/>
      <c r="G598" s="311"/>
    </row>
    <row r="599">
      <c r="D599" s="308"/>
      <c r="E599" s="309"/>
      <c r="F599" s="310"/>
      <c r="G599" s="311"/>
    </row>
    <row r="600">
      <c r="D600" s="308"/>
      <c r="E600" s="309"/>
      <c r="F600" s="310"/>
      <c r="G600" s="311"/>
    </row>
    <row r="601">
      <c r="D601" s="308"/>
      <c r="E601" s="309"/>
      <c r="F601" s="310"/>
      <c r="G601" s="311"/>
    </row>
    <row r="602">
      <c r="D602" s="308"/>
      <c r="E602" s="309"/>
      <c r="F602" s="310"/>
      <c r="G602" s="311"/>
    </row>
    <row r="603">
      <c r="D603" s="308"/>
      <c r="E603" s="309"/>
      <c r="F603" s="310"/>
      <c r="G603" s="311"/>
    </row>
    <row r="604">
      <c r="D604" s="308"/>
      <c r="E604" s="309"/>
      <c r="F604" s="310"/>
      <c r="G604" s="311"/>
    </row>
    <row r="605">
      <c r="D605" s="308"/>
      <c r="E605" s="309"/>
      <c r="F605" s="310"/>
      <c r="G605" s="311"/>
    </row>
    <row r="606">
      <c r="D606" s="308"/>
      <c r="E606" s="309"/>
      <c r="F606" s="310"/>
      <c r="G606" s="311"/>
    </row>
    <row r="607">
      <c r="D607" s="308"/>
      <c r="E607" s="309"/>
      <c r="F607" s="310"/>
      <c r="G607" s="311"/>
    </row>
    <row r="608">
      <c r="D608" s="308"/>
      <c r="E608" s="309"/>
      <c r="F608" s="310"/>
      <c r="G608" s="311"/>
    </row>
    <row r="609">
      <c r="D609" s="308"/>
      <c r="E609" s="309"/>
      <c r="F609" s="310"/>
      <c r="G609" s="311"/>
    </row>
    <row r="610">
      <c r="D610" s="308"/>
      <c r="E610" s="309"/>
      <c r="F610" s="310"/>
      <c r="G610" s="311"/>
    </row>
    <row r="611">
      <c r="D611" s="308"/>
      <c r="E611" s="309"/>
      <c r="F611" s="310"/>
      <c r="G611" s="311"/>
    </row>
    <row r="612">
      <c r="D612" s="308"/>
      <c r="E612" s="309"/>
      <c r="F612" s="310"/>
      <c r="G612" s="311"/>
    </row>
    <row r="613">
      <c r="D613" s="308"/>
      <c r="E613" s="309"/>
      <c r="F613" s="310"/>
      <c r="G613" s="311"/>
    </row>
    <row r="614">
      <c r="D614" s="308"/>
      <c r="E614" s="309"/>
      <c r="F614" s="310"/>
      <c r="G614" s="311"/>
    </row>
    <row r="615">
      <c r="D615" s="308"/>
      <c r="E615" s="309"/>
      <c r="F615" s="310"/>
      <c r="G615" s="311"/>
    </row>
    <row r="616">
      <c r="D616" s="308"/>
      <c r="E616" s="309"/>
      <c r="F616" s="310"/>
      <c r="G616" s="311"/>
    </row>
    <row r="617">
      <c r="D617" s="308"/>
      <c r="E617" s="309"/>
      <c r="F617" s="310"/>
      <c r="G617" s="311"/>
    </row>
    <row r="618">
      <c r="D618" s="308"/>
      <c r="E618" s="309"/>
      <c r="F618" s="310"/>
      <c r="G618" s="311"/>
    </row>
    <row r="619">
      <c r="D619" s="308"/>
      <c r="E619" s="309"/>
      <c r="F619" s="310"/>
      <c r="G619" s="311"/>
    </row>
    <row r="620">
      <c r="D620" s="308"/>
      <c r="E620" s="309"/>
      <c r="F620" s="310"/>
      <c r="G620" s="311"/>
    </row>
    <row r="621">
      <c r="D621" s="308"/>
      <c r="E621" s="309"/>
      <c r="F621" s="310"/>
      <c r="G621" s="311"/>
    </row>
    <row r="622">
      <c r="D622" s="308"/>
      <c r="E622" s="309"/>
      <c r="F622" s="310"/>
      <c r="G622" s="311"/>
    </row>
    <row r="623">
      <c r="D623" s="308"/>
      <c r="E623" s="309"/>
      <c r="F623" s="310"/>
      <c r="G623" s="311"/>
    </row>
    <row r="624">
      <c r="D624" s="308"/>
      <c r="E624" s="309"/>
      <c r="F624" s="310"/>
      <c r="G624" s="311"/>
    </row>
    <row r="625">
      <c r="D625" s="308"/>
      <c r="E625" s="309"/>
      <c r="F625" s="310"/>
      <c r="G625" s="311"/>
    </row>
    <row r="626">
      <c r="D626" s="308"/>
      <c r="E626" s="309"/>
      <c r="F626" s="310"/>
      <c r="G626" s="311"/>
    </row>
    <row r="627">
      <c r="D627" s="308"/>
      <c r="E627" s="309"/>
      <c r="F627" s="310"/>
      <c r="G627" s="311"/>
    </row>
    <row r="628">
      <c r="D628" s="308"/>
      <c r="E628" s="309"/>
      <c r="F628" s="310"/>
      <c r="G628" s="311"/>
    </row>
    <row r="629">
      <c r="D629" s="308"/>
      <c r="E629" s="309"/>
      <c r="F629" s="310"/>
      <c r="G629" s="311"/>
    </row>
    <row r="630">
      <c r="D630" s="308"/>
      <c r="E630" s="309"/>
      <c r="F630" s="310"/>
      <c r="G630" s="311"/>
    </row>
    <row r="631">
      <c r="D631" s="308"/>
      <c r="E631" s="309"/>
      <c r="F631" s="310"/>
      <c r="G631" s="311"/>
    </row>
    <row r="632">
      <c r="D632" s="308"/>
      <c r="E632" s="309"/>
      <c r="F632" s="310"/>
      <c r="G632" s="311"/>
    </row>
    <row r="633">
      <c r="D633" s="308"/>
      <c r="E633" s="309"/>
      <c r="F633" s="310"/>
      <c r="G633" s="311"/>
    </row>
    <row r="634">
      <c r="D634" s="308"/>
      <c r="E634" s="309"/>
      <c r="F634" s="310"/>
      <c r="G634" s="311"/>
    </row>
    <row r="635">
      <c r="D635" s="308"/>
      <c r="E635" s="309"/>
      <c r="F635" s="310"/>
      <c r="G635" s="311"/>
    </row>
    <row r="636">
      <c r="D636" s="308"/>
      <c r="E636" s="309"/>
      <c r="F636" s="310"/>
      <c r="G636" s="311"/>
    </row>
    <row r="637">
      <c r="D637" s="308"/>
      <c r="E637" s="309"/>
      <c r="F637" s="310"/>
      <c r="G637" s="311"/>
    </row>
    <row r="638">
      <c r="D638" s="308"/>
      <c r="E638" s="309"/>
      <c r="F638" s="310"/>
      <c r="G638" s="311"/>
    </row>
    <row r="639">
      <c r="D639" s="308"/>
      <c r="E639" s="309"/>
      <c r="F639" s="310"/>
      <c r="G639" s="311"/>
    </row>
    <row r="640">
      <c r="D640" s="308"/>
      <c r="E640" s="309"/>
      <c r="F640" s="310"/>
      <c r="G640" s="311"/>
    </row>
    <row r="641">
      <c r="D641" s="308"/>
      <c r="E641" s="309"/>
      <c r="F641" s="310"/>
      <c r="G641" s="311"/>
    </row>
    <row r="642">
      <c r="D642" s="308"/>
      <c r="E642" s="309"/>
      <c r="F642" s="310"/>
      <c r="G642" s="311"/>
    </row>
    <row r="643">
      <c r="D643" s="308"/>
      <c r="E643" s="309"/>
      <c r="F643" s="310"/>
      <c r="G643" s="311"/>
    </row>
    <row r="644">
      <c r="D644" s="308"/>
      <c r="E644" s="309"/>
      <c r="F644" s="310"/>
      <c r="G644" s="311"/>
    </row>
    <row r="645">
      <c r="D645" s="308"/>
      <c r="E645" s="309"/>
      <c r="F645" s="310"/>
      <c r="G645" s="311"/>
    </row>
    <row r="646">
      <c r="D646" s="308"/>
      <c r="E646" s="309"/>
      <c r="F646" s="310"/>
      <c r="G646" s="311"/>
    </row>
    <row r="647">
      <c r="D647" s="308"/>
      <c r="E647" s="309"/>
      <c r="F647" s="310"/>
      <c r="G647" s="311"/>
    </row>
    <row r="648">
      <c r="D648" s="308"/>
      <c r="E648" s="309"/>
      <c r="F648" s="310"/>
      <c r="G648" s="311"/>
    </row>
    <row r="649">
      <c r="D649" s="308"/>
      <c r="E649" s="309"/>
      <c r="F649" s="310"/>
      <c r="G649" s="311"/>
    </row>
    <row r="650">
      <c r="D650" s="308"/>
      <c r="E650" s="309"/>
      <c r="F650" s="310"/>
      <c r="G650" s="311"/>
    </row>
    <row r="651">
      <c r="D651" s="308"/>
      <c r="E651" s="309"/>
      <c r="F651" s="310"/>
      <c r="G651" s="311"/>
    </row>
    <row r="652">
      <c r="D652" s="308"/>
      <c r="E652" s="309"/>
      <c r="F652" s="310"/>
      <c r="G652" s="311"/>
    </row>
    <row r="653">
      <c r="D653" s="308"/>
      <c r="E653" s="309"/>
      <c r="F653" s="310"/>
      <c r="G653" s="311"/>
    </row>
    <row r="654">
      <c r="D654" s="308"/>
      <c r="E654" s="309"/>
      <c r="F654" s="310"/>
      <c r="G654" s="311"/>
    </row>
    <row r="655">
      <c r="D655" s="308"/>
      <c r="E655" s="309"/>
      <c r="F655" s="310"/>
      <c r="G655" s="311"/>
    </row>
    <row r="656">
      <c r="D656" s="308"/>
      <c r="E656" s="309"/>
      <c r="F656" s="310"/>
      <c r="G656" s="311"/>
    </row>
    <row r="657">
      <c r="D657" s="308"/>
      <c r="E657" s="309"/>
      <c r="F657" s="310"/>
      <c r="G657" s="311"/>
    </row>
    <row r="658">
      <c r="D658" s="308"/>
      <c r="E658" s="309"/>
      <c r="F658" s="310"/>
      <c r="G658" s="311"/>
    </row>
    <row r="659">
      <c r="D659" s="308"/>
      <c r="E659" s="309"/>
      <c r="F659" s="310"/>
      <c r="G659" s="311"/>
    </row>
    <row r="660">
      <c r="D660" s="308"/>
      <c r="E660" s="309"/>
      <c r="F660" s="310"/>
      <c r="G660" s="311"/>
    </row>
    <row r="661">
      <c r="D661" s="308"/>
      <c r="E661" s="309"/>
      <c r="F661" s="310"/>
      <c r="G661" s="311"/>
    </row>
    <row r="662">
      <c r="D662" s="308"/>
      <c r="E662" s="309"/>
      <c r="F662" s="310"/>
      <c r="G662" s="311"/>
    </row>
    <row r="663">
      <c r="D663" s="308"/>
      <c r="E663" s="309"/>
      <c r="F663" s="310"/>
      <c r="G663" s="311"/>
    </row>
    <row r="664">
      <c r="D664" s="308"/>
      <c r="E664" s="309"/>
      <c r="F664" s="310"/>
      <c r="G664" s="311"/>
    </row>
    <row r="665">
      <c r="D665" s="308"/>
      <c r="E665" s="309"/>
      <c r="F665" s="310"/>
      <c r="G665" s="311"/>
    </row>
    <row r="666">
      <c r="D666" s="308"/>
      <c r="E666" s="309"/>
      <c r="F666" s="310"/>
      <c r="G666" s="311"/>
    </row>
    <row r="667">
      <c r="D667" s="308"/>
      <c r="E667" s="309"/>
      <c r="F667" s="310"/>
      <c r="G667" s="311"/>
    </row>
    <row r="668">
      <c r="D668" s="308"/>
      <c r="E668" s="309"/>
      <c r="F668" s="310"/>
      <c r="G668" s="311"/>
    </row>
    <row r="669">
      <c r="D669" s="308"/>
      <c r="E669" s="309"/>
      <c r="F669" s="310"/>
      <c r="G669" s="311"/>
    </row>
    <row r="670">
      <c r="D670" s="308"/>
      <c r="E670" s="309"/>
      <c r="F670" s="310"/>
      <c r="G670" s="311"/>
    </row>
    <row r="671">
      <c r="D671" s="308"/>
      <c r="E671" s="309"/>
      <c r="F671" s="310"/>
      <c r="G671" s="311"/>
    </row>
    <row r="672">
      <c r="D672" s="308"/>
      <c r="E672" s="309"/>
      <c r="F672" s="310"/>
      <c r="G672" s="311"/>
    </row>
    <row r="673">
      <c r="D673" s="308"/>
      <c r="E673" s="309"/>
      <c r="F673" s="310"/>
      <c r="G673" s="311"/>
    </row>
    <row r="674">
      <c r="D674" s="308"/>
      <c r="E674" s="309"/>
      <c r="F674" s="310"/>
      <c r="G674" s="311"/>
    </row>
    <row r="675">
      <c r="D675" s="308"/>
      <c r="E675" s="309"/>
      <c r="F675" s="310"/>
      <c r="G675" s="311"/>
    </row>
    <row r="676">
      <c r="D676" s="308"/>
      <c r="E676" s="309"/>
      <c r="F676" s="310"/>
      <c r="G676" s="311"/>
    </row>
    <row r="677">
      <c r="D677" s="308"/>
      <c r="E677" s="309"/>
      <c r="F677" s="310"/>
      <c r="G677" s="311"/>
    </row>
    <row r="678">
      <c r="D678" s="308"/>
      <c r="E678" s="309"/>
      <c r="F678" s="310"/>
      <c r="G678" s="311"/>
    </row>
    <row r="679">
      <c r="D679" s="308"/>
      <c r="E679" s="309"/>
      <c r="F679" s="310"/>
      <c r="G679" s="311"/>
    </row>
    <row r="680">
      <c r="D680" s="308"/>
      <c r="E680" s="309"/>
      <c r="F680" s="310"/>
      <c r="G680" s="311"/>
    </row>
    <row r="681">
      <c r="D681" s="308"/>
      <c r="E681" s="309"/>
      <c r="F681" s="310"/>
      <c r="G681" s="311"/>
    </row>
    <row r="682">
      <c r="D682" s="308"/>
      <c r="E682" s="309"/>
      <c r="F682" s="310"/>
      <c r="G682" s="311"/>
    </row>
    <row r="683">
      <c r="D683" s="308"/>
      <c r="E683" s="309"/>
      <c r="F683" s="310"/>
      <c r="G683" s="311"/>
    </row>
    <row r="684">
      <c r="D684" s="308"/>
      <c r="E684" s="309"/>
      <c r="F684" s="310"/>
      <c r="G684" s="311"/>
    </row>
    <row r="685">
      <c r="D685" s="308"/>
      <c r="E685" s="309"/>
      <c r="F685" s="310"/>
      <c r="G685" s="311"/>
    </row>
    <row r="686">
      <c r="D686" s="308"/>
      <c r="E686" s="309"/>
      <c r="F686" s="310"/>
      <c r="G686" s="311"/>
    </row>
    <row r="687">
      <c r="D687" s="308"/>
      <c r="E687" s="309"/>
      <c r="F687" s="310"/>
      <c r="G687" s="311"/>
    </row>
    <row r="688">
      <c r="D688" s="308"/>
      <c r="E688" s="309"/>
      <c r="F688" s="310"/>
      <c r="G688" s="311"/>
    </row>
    <row r="689">
      <c r="D689" s="308"/>
      <c r="E689" s="309"/>
      <c r="F689" s="310"/>
      <c r="G689" s="311"/>
    </row>
    <row r="690">
      <c r="D690" s="308"/>
      <c r="E690" s="309"/>
      <c r="F690" s="310"/>
      <c r="G690" s="311"/>
    </row>
    <row r="691">
      <c r="D691" s="308"/>
      <c r="E691" s="309"/>
      <c r="F691" s="310"/>
      <c r="G691" s="311"/>
    </row>
    <row r="692">
      <c r="D692" s="308"/>
      <c r="E692" s="309"/>
      <c r="F692" s="310"/>
      <c r="G692" s="311"/>
    </row>
    <row r="693">
      <c r="D693" s="308"/>
      <c r="E693" s="309"/>
      <c r="F693" s="310"/>
      <c r="G693" s="311"/>
    </row>
    <row r="694">
      <c r="D694" s="308"/>
      <c r="E694" s="309"/>
      <c r="F694" s="310"/>
      <c r="G694" s="311"/>
    </row>
    <row r="695">
      <c r="D695" s="308"/>
      <c r="E695" s="309"/>
      <c r="F695" s="310"/>
      <c r="G695" s="311"/>
    </row>
    <row r="696">
      <c r="D696" s="308"/>
      <c r="E696" s="309"/>
      <c r="F696" s="310"/>
      <c r="G696" s="311"/>
    </row>
    <row r="697">
      <c r="D697" s="308"/>
      <c r="E697" s="309"/>
      <c r="F697" s="310"/>
      <c r="G697" s="311"/>
    </row>
    <row r="698">
      <c r="D698" s="308"/>
      <c r="E698" s="309"/>
      <c r="F698" s="310"/>
      <c r="G698" s="311"/>
    </row>
    <row r="699">
      <c r="D699" s="308"/>
      <c r="E699" s="309"/>
      <c r="F699" s="310"/>
      <c r="G699" s="311"/>
    </row>
    <row r="700">
      <c r="D700" s="308"/>
      <c r="E700" s="309"/>
      <c r="F700" s="310"/>
      <c r="G700" s="311"/>
    </row>
    <row r="701">
      <c r="D701" s="308"/>
      <c r="E701" s="309"/>
      <c r="F701" s="310"/>
      <c r="G701" s="311"/>
    </row>
    <row r="702">
      <c r="D702" s="308"/>
      <c r="E702" s="309"/>
      <c r="F702" s="310"/>
      <c r="G702" s="311"/>
    </row>
    <row r="703">
      <c r="D703" s="308"/>
      <c r="E703" s="309"/>
      <c r="F703" s="310"/>
      <c r="G703" s="311"/>
    </row>
    <row r="704">
      <c r="D704" s="308"/>
      <c r="E704" s="309"/>
      <c r="F704" s="310"/>
      <c r="G704" s="311"/>
    </row>
    <row r="705">
      <c r="D705" s="308"/>
      <c r="E705" s="309"/>
      <c r="F705" s="310"/>
      <c r="G705" s="311"/>
    </row>
    <row r="706">
      <c r="D706" s="308"/>
      <c r="E706" s="309"/>
      <c r="F706" s="310"/>
      <c r="G706" s="311"/>
    </row>
    <row r="707">
      <c r="D707" s="308"/>
      <c r="E707" s="309"/>
      <c r="F707" s="310"/>
      <c r="G707" s="311"/>
    </row>
    <row r="708">
      <c r="D708" s="308"/>
      <c r="E708" s="309"/>
      <c r="F708" s="310"/>
      <c r="G708" s="311"/>
    </row>
    <row r="709">
      <c r="D709" s="308"/>
      <c r="E709" s="309"/>
      <c r="F709" s="310"/>
      <c r="G709" s="311"/>
    </row>
    <row r="710">
      <c r="D710" s="308"/>
      <c r="E710" s="309"/>
      <c r="F710" s="310"/>
      <c r="G710" s="311"/>
    </row>
    <row r="711">
      <c r="D711" s="308"/>
      <c r="E711" s="309"/>
      <c r="F711" s="310"/>
      <c r="G711" s="311"/>
    </row>
    <row r="712">
      <c r="D712" s="308"/>
      <c r="E712" s="309"/>
      <c r="F712" s="310"/>
      <c r="G712" s="311"/>
    </row>
    <row r="713">
      <c r="D713" s="308"/>
      <c r="E713" s="309"/>
      <c r="F713" s="310"/>
      <c r="G713" s="311"/>
    </row>
    <row r="714">
      <c r="D714" s="308"/>
      <c r="E714" s="309"/>
      <c r="F714" s="310"/>
      <c r="G714" s="311"/>
    </row>
    <row r="715">
      <c r="D715" s="308"/>
      <c r="E715" s="309"/>
      <c r="F715" s="310"/>
      <c r="G715" s="311"/>
    </row>
    <row r="716">
      <c r="D716" s="308"/>
      <c r="E716" s="309"/>
      <c r="F716" s="310"/>
      <c r="G716" s="311"/>
    </row>
    <row r="717">
      <c r="D717" s="308"/>
      <c r="E717" s="309"/>
      <c r="F717" s="310"/>
      <c r="G717" s="311"/>
    </row>
    <row r="718">
      <c r="D718" s="308"/>
      <c r="E718" s="309"/>
      <c r="F718" s="310"/>
      <c r="G718" s="311"/>
    </row>
    <row r="719">
      <c r="D719" s="308"/>
      <c r="E719" s="309"/>
      <c r="F719" s="310"/>
      <c r="G719" s="311"/>
    </row>
    <row r="720">
      <c r="D720" s="308"/>
      <c r="E720" s="309"/>
      <c r="F720" s="310"/>
      <c r="G720" s="311"/>
    </row>
    <row r="721">
      <c r="D721" s="308"/>
      <c r="E721" s="309"/>
      <c r="F721" s="310"/>
      <c r="G721" s="311"/>
    </row>
    <row r="722">
      <c r="D722" s="308"/>
      <c r="E722" s="309"/>
      <c r="F722" s="310"/>
      <c r="G722" s="311"/>
    </row>
    <row r="723">
      <c r="D723" s="308"/>
      <c r="E723" s="309"/>
      <c r="F723" s="310"/>
      <c r="G723" s="311"/>
    </row>
    <row r="724">
      <c r="D724" s="308"/>
      <c r="E724" s="309"/>
      <c r="F724" s="310"/>
      <c r="G724" s="311"/>
    </row>
    <row r="725">
      <c r="D725" s="308"/>
      <c r="E725" s="309"/>
      <c r="F725" s="310"/>
      <c r="G725" s="311"/>
    </row>
    <row r="726">
      <c r="D726" s="308"/>
      <c r="E726" s="309"/>
      <c r="F726" s="310"/>
      <c r="G726" s="311"/>
    </row>
    <row r="727">
      <c r="D727" s="308"/>
      <c r="E727" s="309"/>
      <c r="F727" s="310"/>
      <c r="G727" s="311"/>
    </row>
    <row r="728">
      <c r="D728" s="308"/>
      <c r="E728" s="309"/>
      <c r="F728" s="310"/>
      <c r="G728" s="311"/>
    </row>
    <row r="729">
      <c r="D729" s="308"/>
      <c r="E729" s="309"/>
      <c r="F729" s="310"/>
      <c r="G729" s="311"/>
    </row>
    <row r="730">
      <c r="D730" s="308"/>
      <c r="E730" s="309"/>
      <c r="F730" s="310"/>
      <c r="G730" s="311"/>
    </row>
    <row r="731">
      <c r="D731" s="308"/>
      <c r="E731" s="309"/>
      <c r="F731" s="310"/>
      <c r="G731" s="311"/>
    </row>
    <row r="732">
      <c r="D732" s="308"/>
      <c r="E732" s="309"/>
      <c r="F732" s="310"/>
      <c r="G732" s="311"/>
    </row>
    <row r="733">
      <c r="D733" s="308"/>
      <c r="E733" s="309"/>
      <c r="F733" s="310"/>
      <c r="G733" s="311"/>
    </row>
    <row r="734">
      <c r="D734" s="308"/>
      <c r="E734" s="309"/>
      <c r="F734" s="310"/>
      <c r="G734" s="311"/>
    </row>
    <row r="735">
      <c r="D735" s="308"/>
      <c r="E735" s="309"/>
      <c r="F735" s="310"/>
      <c r="G735" s="311"/>
    </row>
    <row r="736">
      <c r="D736" s="308"/>
      <c r="E736" s="309"/>
      <c r="F736" s="310"/>
      <c r="G736" s="311"/>
    </row>
    <row r="737">
      <c r="D737" s="308"/>
      <c r="E737" s="309"/>
      <c r="F737" s="310"/>
      <c r="G737" s="311"/>
    </row>
    <row r="738">
      <c r="D738" s="308"/>
      <c r="E738" s="309"/>
      <c r="F738" s="310"/>
      <c r="G738" s="311"/>
    </row>
    <row r="739">
      <c r="D739" s="308"/>
      <c r="E739" s="309"/>
      <c r="F739" s="310"/>
      <c r="G739" s="311"/>
    </row>
    <row r="740">
      <c r="D740" s="308"/>
      <c r="E740" s="309"/>
      <c r="F740" s="310"/>
      <c r="G740" s="311"/>
    </row>
    <row r="741">
      <c r="D741" s="308"/>
      <c r="E741" s="309"/>
      <c r="F741" s="310"/>
      <c r="G741" s="311"/>
    </row>
    <row r="742">
      <c r="D742" s="308"/>
      <c r="E742" s="309"/>
      <c r="F742" s="310"/>
      <c r="G742" s="311"/>
    </row>
    <row r="743">
      <c r="D743" s="308"/>
      <c r="E743" s="309"/>
      <c r="F743" s="310"/>
      <c r="G743" s="311"/>
    </row>
    <row r="744">
      <c r="D744" s="308"/>
      <c r="E744" s="309"/>
      <c r="F744" s="310"/>
      <c r="G744" s="311"/>
    </row>
    <row r="745">
      <c r="D745" s="308"/>
      <c r="E745" s="309"/>
      <c r="F745" s="310"/>
      <c r="G745" s="311"/>
    </row>
    <row r="746">
      <c r="D746" s="308"/>
      <c r="E746" s="309"/>
      <c r="F746" s="310"/>
      <c r="G746" s="311"/>
    </row>
    <row r="747">
      <c r="D747" s="308"/>
      <c r="E747" s="309"/>
      <c r="F747" s="310"/>
      <c r="G747" s="311"/>
    </row>
    <row r="748">
      <c r="D748" s="308"/>
      <c r="E748" s="309"/>
      <c r="F748" s="310"/>
      <c r="G748" s="311"/>
    </row>
    <row r="749">
      <c r="D749" s="308"/>
      <c r="E749" s="309"/>
      <c r="F749" s="310"/>
      <c r="G749" s="311"/>
    </row>
    <row r="750">
      <c r="D750" s="308"/>
      <c r="E750" s="309"/>
      <c r="F750" s="310"/>
      <c r="G750" s="311"/>
    </row>
    <row r="751">
      <c r="D751" s="308"/>
      <c r="E751" s="309"/>
      <c r="F751" s="310"/>
      <c r="G751" s="311"/>
    </row>
    <row r="752">
      <c r="D752" s="308"/>
      <c r="E752" s="309"/>
      <c r="F752" s="310"/>
      <c r="G752" s="311"/>
    </row>
    <row r="753">
      <c r="D753" s="308"/>
      <c r="E753" s="309"/>
      <c r="F753" s="310"/>
      <c r="G753" s="311"/>
    </row>
    <row r="754">
      <c r="D754" s="308"/>
      <c r="E754" s="309"/>
      <c r="F754" s="310"/>
      <c r="G754" s="311"/>
    </row>
    <row r="755">
      <c r="D755" s="308"/>
      <c r="E755" s="309"/>
      <c r="F755" s="310"/>
      <c r="G755" s="311"/>
    </row>
    <row r="756">
      <c r="D756" s="308"/>
      <c r="E756" s="309"/>
      <c r="F756" s="310"/>
      <c r="G756" s="311"/>
    </row>
    <row r="757">
      <c r="D757" s="308"/>
      <c r="E757" s="309"/>
      <c r="F757" s="310"/>
      <c r="G757" s="311"/>
    </row>
    <row r="758">
      <c r="D758" s="308"/>
      <c r="E758" s="309"/>
      <c r="F758" s="310"/>
      <c r="G758" s="311"/>
    </row>
    <row r="759">
      <c r="D759" s="308"/>
      <c r="E759" s="309"/>
      <c r="F759" s="310"/>
      <c r="G759" s="311"/>
    </row>
    <row r="760">
      <c r="D760" s="308"/>
      <c r="E760" s="309"/>
      <c r="F760" s="310"/>
      <c r="G760" s="311"/>
    </row>
    <row r="761">
      <c r="D761" s="308"/>
      <c r="E761" s="309"/>
      <c r="F761" s="310"/>
      <c r="G761" s="311"/>
    </row>
    <row r="762">
      <c r="D762" s="308"/>
      <c r="E762" s="309"/>
      <c r="F762" s="310"/>
      <c r="G762" s="311"/>
    </row>
    <row r="763">
      <c r="D763" s="308"/>
      <c r="E763" s="309"/>
      <c r="F763" s="310"/>
      <c r="G763" s="311"/>
    </row>
    <row r="764">
      <c r="D764" s="308"/>
      <c r="E764" s="309"/>
      <c r="F764" s="310"/>
      <c r="G764" s="311"/>
    </row>
    <row r="765">
      <c r="D765" s="308"/>
      <c r="E765" s="309"/>
      <c r="F765" s="310"/>
      <c r="G765" s="311"/>
    </row>
    <row r="766">
      <c r="D766" s="308"/>
      <c r="E766" s="309"/>
      <c r="F766" s="310"/>
      <c r="G766" s="311"/>
    </row>
    <row r="767">
      <c r="D767" s="308"/>
      <c r="E767" s="309"/>
      <c r="F767" s="310"/>
      <c r="G767" s="311"/>
    </row>
    <row r="768">
      <c r="D768" s="308"/>
      <c r="E768" s="309"/>
      <c r="F768" s="310"/>
      <c r="G768" s="311"/>
    </row>
    <row r="769">
      <c r="D769" s="308"/>
      <c r="E769" s="309"/>
      <c r="F769" s="310"/>
      <c r="G769" s="311"/>
    </row>
    <row r="770">
      <c r="D770" s="308"/>
      <c r="E770" s="309"/>
      <c r="F770" s="310"/>
      <c r="G770" s="311"/>
    </row>
    <row r="771">
      <c r="D771" s="308"/>
      <c r="E771" s="309"/>
      <c r="F771" s="310"/>
      <c r="G771" s="311"/>
    </row>
    <row r="772">
      <c r="D772" s="308"/>
      <c r="E772" s="309"/>
      <c r="F772" s="310"/>
      <c r="G772" s="311"/>
    </row>
    <row r="773">
      <c r="D773" s="308"/>
      <c r="E773" s="309"/>
      <c r="F773" s="310"/>
      <c r="G773" s="311"/>
    </row>
    <row r="774">
      <c r="D774" s="308"/>
      <c r="E774" s="309"/>
      <c r="F774" s="310"/>
      <c r="G774" s="311"/>
    </row>
    <row r="775">
      <c r="D775" s="308"/>
      <c r="E775" s="309"/>
      <c r="F775" s="310"/>
      <c r="G775" s="311"/>
    </row>
    <row r="776">
      <c r="D776" s="308"/>
      <c r="E776" s="309"/>
      <c r="F776" s="310"/>
      <c r="G776" s="311"/>
    </row>
    <row r="777">
      <c r="D777" s="308"/>
      <c r="E777" s="309"/>
      <c r="F777" s="310"/>
      <c r="G777" s="311"/>
    </row>
    <row r="778">
      <c r="D778" s="308"/>
      <c r="E778" s="309"/>
      <c r="F778" s="310"/>
      <c r="G778" s="311"/>
    </row>
    <row r="779">
      <c r="D779" s="308"/>
      <c r="E779" s="309"/>
      <c r="F779" s="310"/>
      <c r="G779" s="311"/>
    </row>
    <row r="780">
      <c r="D780" s="308"/>
      <c r="E780" s="309"/>
      <c r="F780" s="310"/>
      <c r="G780" s="311"/>
    </row>
    <row r="781">
      <c r="D781" s="308"/>
      <c r="E781" s="309"/>
      <c r="F781" s="310"/>
      <c r="G781" s="311"/>
    </row>
    <row r="782">
      <c r="D782" s="308"/>
      <c r="E782" s="309"/>
      <c r="F782" s="310"/>
      <c r="G782" s="311"/>
    </row>
    <row r="783">
      <c r="D783" s="308"/>
      <c r="E783" s="309"/>
      <c r="F783" s="310"/>
      <c r="G783" s="311"/>
    </row>
    <row r="784">
      <c r="D784" s="308"/>
      <c r="E784" s="309"/>
      <c r="F784" s="310"/>
      <c r="G784" s="311"/>
    </row>
    <row r="785">
      <c r="D785" s="308"/>
      <c r="E785" s="309"/>
      <c r="F785" s="310"/>
      <c r="G785" s="311"/>
    </row>
    <row r="786">
      <c r="D786" s="308"/>
      <c r="E786" s="309"/>
      <c r="F786" s="310"/>
      <c r="G786" s="311"/>
    </row>
    <row r="787">
      <c r="D787" s="308"/>
      <c r="E787" s="309"/>
      <c r="F787" s="310"/>
      <c r="G787" s="311"/>
    </row>
    <row r="788">
      <c r="D788" s="308"/>
      <c r="E788" s="309"/>
      <c r="F788" s="310"/>
      <c r="G788" s="311"/>
    </row>
    <row r="789">
      <c r="D789" s="308"/>
      <c r="E789" s="309"/>
      <c r="F789" s="310"/>
      <c r="G789" s="311"/>
    </row>
    <row r="790">
      <c r="D790" s="308"/>
      <c r="E790" s="309"/>
      <c r="F790" s="310"/>
      <c r="G790" s="311"/>
    </row>
    <row r="791">
      <c r="D791" s="308"/>
      <c r="E791" s="309"/>
      <c r="F791" s="310"/>
      <c r="G791" s="311"/>
    </row>
    <row r="792">
      <c r="D792" s="308"/>
      <c r="E792" s="309"/>
      <c r="F792" s="310"/>
      <c r="G792" s="311"/>
    </row>
    <row r="793">
      <c r="D793" s="308"/>
      <c r="E793" s="309"/>
      <c r="F793" s="310"/>
      <c r="G793" s="311"/>
    </row>
    <row r="794">
      <c r="D794" s="308"/>
      <c r="E794" s="309"/>
      <c r="F794" s="310"/>
      <c r="G794" s="311"/>
    </row>
    <row r="795">
      <c r="D795" s="308"/>
      <c r="E795" s="309"/>
      <c r="F795" s="310"/>
      <c r="G795" s="311"/>
    </row>
    <row r="796">
      <c r="D796" s="308"/>
      <c r="E796" s="309"/>
      <c r="F796" s="310"/>
      <c r="G796" s="311"/>
    </row>
    <row r="797">
      <c r="D797" s="308"/>
      <c r="E797" s="309"/>
      <c r="F797" s="310"/>
      <c r="G797" s="311"/>
    </row>
    <row r="798">
      <c r="D798" s="308"/>
      <c r="E798" s="309"/>
      <c r="F798" s="310"/>
      <c r="G798" s="311"/>
    </row>
    <row r="799">
      <c r="D799" s="308"/>
      <c r="E799" s="309"/>
      <c r="F799" s="310"/>
      <c r="G799" s="311"/>
    </row>
    <row r="800">
      <c r="D800" s="308"/>
      <c r="E800" s="309"/>
      <c r="F800" s="310"/>
      <c r="G800" s="311"/>
    </row>
    <row r="801">
      <c r="D801" s="308"/>
      <c r="E801" s="309"/>
      <c r="F801" s="310"/>
      <c r="G801" s="311"/>
    </row>
    <row r="802">
      <c r="D802" s="308"/>
      <c r="E802" s="309"/>
      <c r="F802" s="310"/>
      <c r="G802" s="311"/>
    </row>
    <row r="803">
      <c r="D803" s="308"/>
      <c r="E803" s="309"/>
      <c r="F803" s="310"/>
      <c r="G803" s="311"/>
    </row>
    <row r="804">
      <c r="D804" s="308"/>
      <c r="E804" s="309"/>
      <c r="F804" s="310"/>
      <c r="G804" s="311"/>
    </row>
    <row r="805">
      <c r="D805" s="308"/>
      <c r="E805" s="309"/>
      <c r="F805" s="310"/>
      <c r="G805" s="311"/>
    </row>
    <row r="806">
      <c r="D806" s="308"/>
      <c r="E806" s="309"/>
      <c r="F806" s="310"/>
      <c r="G806" s="311"/>
    </row>
    <row r="807">
      <c r="D807" s="308"/>
      <c r="E807" s="309"/>
      <c r="F807" s="310"/>
      <c r="G807" s="311"/>
    </row>
    <row r="808">
      <c r="D808" s="308"/>
      <c r="E808" s="309"/>
      <c r="F808" s="310"/>
      <c r="G808" s="311"/>
    </row>
    <row r="809">
      <c r="D809" s="308"/>
      <c r="E809" s="309"/>
      <c r="F809" s="310"/>
      <c r="G809" s="311"/>
    </row>
    <row r="810">
      <c r="D810" s="308"/>
      <c r="E810" s="309"/>
      <c r="F810" s="310"/>
      <c r="G810" s="311"/>
    </row>
    <row r="811">
      <c r="D811" s="308"/>
      <c r="E811" s="309"/>
      <c r="F811" s="310"/>
      <c r="G811" s="311"/>
    </row>
    <row r="812">
      <c r="D812" s="308"/>
      <c r="E812" s="309"/>
      <c r="F812" s="310"/>
      <c r="G812" s="311"/>
    </row>
    <row r="813">
      <c r="D813" s="308"/>
      <c r="E813" s="309"/>
      <c r="F813" s="310"/>
      <c r="G813" s="311"/>
    </row>
    <row r="814">
      <c r="D814" s="308"/>
      <c r="E814" s="309"/>
      <c r="F814" s="310"/>
      <c r="G814" s="311"/>
    </row>
    <row r="815">
      <c r="D815" s="308"/>
      <c r="E815" s="309"/>
      <c r="F815" s="310"/>
      <c r="G815" s="311"/>
    </row>
    <row r="816">
      <c r="D816" s="308"/>
      <c r="E816" s="309"/>
      <c r="F816" s="310"/>
      <c r="G816" s="311"/>
    </row>
    <row r="817">
      <c r="D817" s="308"/>
      <c r="E817" s="309"/>
      <c r="F817" s="310"/>
      <c r="G817" s="311"/>
    </row>
    <row r="818">
      <c r="D818" s="308"/>
      <c r="E818" s="309"/>
      <c r="F818" s="310"/>
      <c r="G818" s="311"/>
    </row>
    <row r="819">
      <c r="D819" s="308"/>
      <c r="E819" s="309"/>
      <c r="F819" s="310"/>
      <c r="G819" s="311"/>
    </row>
    <row r="820">
      <c r="D820" s="308"/>
      <c r="E820" s="309"/>
      <c r="F820" s="310"/>
      <c r="G820" s="311"/>
    </row>
    <row r="821">
      <c r="D821" s="308"/>
      <c r="E821" s="309"/>
      <c r="F821" s="310"/>
      <c r="G821" s="311"/>
    </row>
    <row r="822">
      <c r="D822" s="308"/>
      <c r="E822" s="309"/>
      <c r="F822" s="310"/>
      <c r="G822" s="311"/>
    </row>
    <row r="823">
      <c r="D823" s="308"/>
      <c r="E823" s="309"/>
      <c r="F823" s="310"/>
      <c r="G823" s="311"/>
    </row>
    <row r="824">
      <c r="D824" s="308"/>
      <c r="E824" s="309"/>
      <c r="F824" s="310"/>
      <c r="G824" s="311"/>
    </row>
    <row r="825">
      <c r="D825" s="308"/>
      <c r="E825" s="309"/>
      <c r="F825" s="310"/>
      <c r="G825" s="311"/>
    </row>
    <row r="826">
      <c r="D826" s="308"/>
      <c r="E826" s="309"/>
      <c r="F826" s="310"/>
      <c r="G826" s="311"/>
    </row>
    <row r="827">
      <c r="D827" s="308"/>
      <c r="E827" s="309"/>
      <c r="F827" s="310"/>
      <c r="G827" s="311"/>
    </row>
    <row r="828">
      <c r="D828" s="308"/>
      <c r="E828" s="309"/>
      <c r="F828" s="310"/>
      <c r="G828" s="311"/>
    </row>
    <row r="829">
      <c r="D829" s="308"/>
      <c r="E829" s="309"/>
      <c r="F829" s="310"/>
      <c r="G829" s="311"/>
    </row>
    <row r="830">
      <c r="D830" s="308"/>
      <c r="E830" s="309"/>
      <c r="F830" s="310"/>
      <c r="G830" s="311"/>
    </row>
    <row r="831">
      <c r="D831" s="308"/>
      <c r="E831" s="309"/>
      <c r="F831" s="310"/>
      <c r="G831" s="311"/>
    </row>
    <row r="832">
      <c r="D832" s="308"/>
      <c r="E832" s="309"/>
      <c r="F832" s="310"/>
      <c r="G832" s="311"/>
    </row>
    <row r="833">
      <c r="D833" s="308"/>
      <c r="E833" s="309"/>
      <c r="F833" s="310"/>
      <c r="G833" s="311"/>
    </row>
    <row r="834">
      <c r="D834" s="308"/>
      <c r="E834" s="309"/>
      <c r="F834" s="310"/>
      <c r="G834" s="311"/>
    </row>
    <row r="835">
      <c r="D835" s="308"/>
      <c r="E835" s="309"/>
      <c r="F835" s="310"/>
      <c r="G835" s="311"/>
    </row>
    <row r="836">
      <c r="D836" s="308"/>
      <c r="E836" s="309"/>
      <c r="F836" s="310"/>
      <c r="G836" s="311"/>
    </row>
    <row r="837">
      <c r="D837" s="308"/>
      <c r="E837" s="309"/>
      <c r="F837" s="310"/>
      <c r="G837" s="311"/>
    </row>
    <row r="838">
      <c r="D838" s="308"/>
      <c r="E838" s="309"/>
      <c r="F838" s="310"/>
      <c r="G838" s="311"/>
    </row>
    <row r="839">
      <c r="D839" s="308"/>
      <c r="E839" s="309"/>
      <c r="F839" s="310"/>
      <c r="G839" s="311"/>
    </row>
    <row r="840">
      <c r="D840" s="308"/>
      <c r="E840" s="309"/>
      <c r="F840" s="310"/>
      <c r="G840" s="311"/>
    </row>
    <row r="841">
      <c r="D841" s="308"/>
      <c r="E841" s="309"/>
      <c r="F841" s="310"/>
      <c r="G841" s="311"/>
    </row>
    <row r="842">
      <c r="D842" s="308"/>
      <c r="E842" s="309"/>
      <c r="F842" s="310"/>
      <c r="G842" s="311"/>
    </row>
    <row r="843">
      <c r="D843" s="308"/>
      <c r="E843" s="309"/>
      <c r="F843" s="310"/>
      <c r="G843" s="311"/>
    </row>
    <row r="844">
      <c r="D844" s="308"/>
      <c r="E844" s="309"/>
      <c r="F844" s="310"/>
      <c r="G844" s="311"/>
    </row>
    <row r="845">
      <c r="D845" s="308"/>
      <c r="E845" s="309"/>
      <c r="F845" s="310"/>
      <c r="G845" s="311"/>
    </row>
    <row r="846">
      <c r="D846" s="308"/>
      <c r="E846" s="309"/>
      <c r="F846" s="310"/>
      <c r="G846" s="311"/>
    </row>
    <row r="847">
      <c r="D847" s="308"/>
      <c r="E847" s="309"/>
      <c r="F847" s="310"/>
      <c r="G847" s="311"/>
    </row>
    <row r="848">
      <c r="D848" s="308"/>
      <c r="E848" s="309"/>
      <c r="F848" s="310"/>
      <c r="G848" s="311"/>
    </row>
    <row r="849">
      <c r="D849" s="308"/>
      <c r="E849" s="309"/>
      <c r="F849" s="310"/>
      <c r="G849" s="311"/>
    </row>
    <row r="850">
      <c r="D850" s="308"/>
      <c r="E850" s="309"/>
      <c r="F850" s="310"/>
      <c r="G850" s="311"/>
    </row>
    <row r="851">
      <c r="D851" s="308"/>
      <c r="E851" s="309"/>
      <c r="F851" s="310"/>
      <c r="G851" s="311"/>
    </row>
    <row r="852">
      <c r="D852" s="308"/>
      <c r="E852" s="309"/>
      <c r="F852" s="310"/>
      <c r="G852" s="311"/>
    </row>
    <row r="853">
      <c r="D853" s="308"/>
      <c r="E853" s="309"/>
      <c r="F853" s="310"/>
      <c r="G853" s="311"/>
    </row>
    <row r="854">
      <c r="D854" s="308"/>
      <c r="E854" s="309"/>
      <c r="F854" s="310"/>
      <c r="G854" s="311"/>
    </row>
    <row r="855">
      <c r="D855" s="308"/>
      <c r="E855" s="309"/>
      <c r="F855" s="310"/>
      <c r="G855" s="311"/>
    </row>
    <row r="856">
      <c r="D856" s="308"/>
      <c r="E856" s="309"/>
      <c r="F856" s="310"/>
      <c r="G856" s="311"/>
    </row>
    <row r="857">
      <c r="D857" s="308"/>
      <c r="E857" s="309"/>
      <c r="F857" s="310"/>
      <c r="G857" s="311"/>
    </row>
    <row r="858">
      <c r="D858" s="308"/>
      <c r="E858" s="309"/>
      <c r="F858" s="310"/>
      <c r="G858" s="311"/>
    </row>
    <row r="859">
      <c r="D859" s="308"/>
      <c r="E859" s="309"/>
      <c r="F859" s="310"/>
      <c r="G859" s="311"/>
    </row>
    <row r="860">
      <c r="D860" s="308"/>
      <c r="E860" s="309"/>
      <c r="F860" s="310"/>
      <c r="G860" s="311"/>
    </row>
    <row r="861">
      <c r="D861" s="308"/>
      <c r="E861" s="309"/>
      <c r="F861" s="310"/>
      <c r="G861" s="311"/>
    </row>
    <row r="862">
      <c r="D862" s="308"/>
      <c r="E862" s="309"/>
      <c r="F862" s="310"/>
      <c r="G862" s="311"/>
    </row>
    <row r="863">
      <c r="D863" s="308"/>
      <c r="E863" s="309"/>
      <c r="F863" s="310"/>
      <c r="G863" s="311"/>
    </row>
    <row r="864">
      <c r="D864" s="308"/>
      <c r="E864" s="309"/>
      <c r="F864" s="310"/>
      <c r="G864" s="311"/>
    </row>
    <row r="865">
      <c r="D865" s="308"/>
      <c r="E865" s="309"/>
      <c r="F865" s="310"/>
      <c r="G865" s="311"/>
    </row>
    <row r="866">
      <c r="D866" s="308"/>
      <c r="E866" s="309"/>
      <c r="F866" s="310"/>
      <c r="G866" s="311"/>
    </row>
    <row r="867">
      <c r="D867" s="308"/>
      <c r="E867" s="309"/>
      <c r="F867" s="310"/>
      <c r="G867" s="311"/>
    </row>
    <row r="868">
      <c r="D868" s="308"/>
      <c r="E868" s="309"/>
      <c r="F868" s="310"/>
      <c r="G868" s="311"/>
    </row>
    <row r="869">
      <c r="D869" s="308"/>
      <c r="E869" s="309"/>
      <c r="F869" s="310"/>
      <c r="G869" s="311"/>
    </row>
    <row r="870">
      <c r="D870" s="308"/>
      <c r="E870" s="309"/>
      <c r="F870" s="310"/>
      <c r="G870" s="311"/>
    </row>
    <row r="871">
      <c r="D871" s="308"/>
      <c r="E871" s="309"/>
      <c r="F871" s="310"/>
      <c r="G871" s="311"/>
    </row>
    <row r="872">
      <c r="D872" s="308"/>
      <c r="E872" s="309"/>
      <c r="F872" s="310"/>
      <c r="G872" s="311"/>
    </row>
    <row r="873">
      <c r="D873" s="308"/>
      <c r="E873" s="309"/>
      <c r="F873" s="310"/>
      <c r="G873" s="311"/>
    </row>
    <row r="874">
      <c r="D874" s="308"/>
      <c r="E874" s="309"/>
      <c r="F874" s="310"/>
      <c r="G874" s="311"/>
    </row>
    <row r="875">
      <c r="D875" s="308"/>
      <c r="E875" s="309"/>
      <c r="F875" s="310"/>
      <c r="G875" s="311"/>
    </row>
    <row r="876">
      <c r="D876" s="308"/>
      <c r="E876" s="309"/>
      <c r="F876" s="310"/>
      <c r="G876" s="311"/>
    </row>
    <row r="877">
      <c r="D877" s="308"/>
      <c r="E877" s="309"/>
      <c r="F877" s="310"/>
      <c r="G877" s="311"/>
    </row>
    <row r="878">
      <c r="D878" s="308"/>
      <c r="E878" s="309"/>
      <c r="F878" s="310"/>
      <c r="G878" s="311"/>
    </row>
    <row r="879">
      <c r="D879" s="308"/>
      <c r="E879" s="309"/>
      <c r="F879" s="310"/>
      <c r="G879" s="311"/>
    </row>
    <row r="880">
      <c r="D880" s="308"/>
      <c r="E880" s="309"/>
      <c r="F880" s="310"/>
      <c r="G880" s="311"/>
    </row>
    <row r="881">
      <c r="D881" s="308"/>
      <c r="E881" s="309"/>
      <c r="F881" s="310"/>
      <c r="G881" s="311"/>
    </row>
    <row r="882">
      <c r="D882" s="308"/>
      <c r="E882" s="309"/>
      <c r="F882" s="310"/>
      <c r="G882" s="311"/>
    </row>
    <row r="883">
      <c r="D883" s="308"/>
      <c r="E883" s="309"/>
      <c r="F883" s="310"/>
      <c r="G883" s="311"/>
    </row>
    <row r="884">
      <c r="D884" s="308"/>
      <c r="E884" s="309"/>
      <c r="F884" s="310"/>
      <c r="G884" s="311"/>
    </row>
    <row r="885">
      <c r="D885" s="308"/>
      <c r="E885" s="309"/>
      <c r="F885" s="310"/>
      <c r="G885" s="311"/>
    </row>
    <row r="886">
      <c r="D886" s="308"/>
      <c r="E886" s="309"/>
      <c r="F886" s="310"/>
      <c r="G886" s="311"/>
    </row>
    <row r="887">
      <c r="D887" s="308"/>
      <c r="E887" s="309"/>
      <c r="F887" s="310"/>
      <c r="G887" s="311"/>
    </row>
    <row r="888">
      <c r="D888" s="308"/>
      <c r="E888" s="309"/>
      <c r="F888" s="310"/>
      <c r="G888" s="311"/>
    </row>
    <row r="889">
      <c r="D889" s="308"/>
      <c r="E889" s="309"/>
      <c r="F889" s="310"/>
      <c r="G889" s="311"/>
    </row>
    <row r="890">
      <c r="D890" s="308"/>
      <c r="E890" s="309"/>
      <c r="F890" s="310"/>
      <c r="G890" s="311"/>
    </row>
    <row r="891">
      <c r="D891" s="308"/>
      <c r="E891" s="309"/>
      <c r="F891" s="310"/>
      <c r="G891" s="311"/>
    </row>
    <row r="892">
      <c r="D892" s="308"/>
      <c r="E892" s="309"/>
      <c r="F892" s="310"/>
      <c r="G892" s="311"/>
    </row>
    <row r="893">
      <c r="D893" s="308"/>
      <c r="E893" s="309"/>
      <c r="F893" s="310"/>
      <c r="G893" s="311"/>
    </row>
    <row r="894">
      <c r="D894" s="308"/>
      <c r="E894" s="309"/>
      <c r="F894" s="310"/>
      <c r="G894" s="311"/>
    </row>
    <row r="895">
      <c r="D895" s="308"/>
      <c r="E895" s="309"/>
      <c r="F895" s="310"/>
      <c r="G895" s="311"/>
    </row>
    <row r="896">
      <c r="D896" s="308"/>
      <c r="E896" s="309"/>
      <c r="F896" s="310"/>
      <c r="G896" s="311"/>
    </row>
    <row r="897">
      <c r="D897" s="308"/>
      <c r="E897" s="309"/>
      <c r="F897" s="310"/>
      <c r="G897" s="311"/>
    </row>
    <row r="898">
      <c r="D898" s="308"/>
      <c r="E898" s="309"/>
      <c r="F898" s="310"/>
      <c r="G898" s="311"/>
    </row>
    <row r="899">
      <c r="D899" s="308"/>
      <c r="E899" s="309"/>
      <c r="F899" s="310"/>
      <c r="G899" s="311"/>
    </row>
    <row r="900">
      <c r="D900" s="308"/>
      <c r="E900" s="309"/>
      <c r="F900" s="310"/>
      <c r="G900" s="311"/>
    </row>
    <row r="901">
      <c r="D901" s="308"/>
      <c r="E901" s="309"/>
      <c r="F901" s="310"/>
      <c r="G901" s="311"/>
    </row>
    <row r="902">
      <c r="D902" s="308"/>
      <c r="E902" s="309"/>
      <c r="F902" s="310"/>
      <c r="G902" s="311"/>
    </row>
    <row r="903">
      <c r="D903" s="308"/>
      <c r="E903" s="309"/>
      <c r="F903" s="310"/>
      <c r="G903" s="311"/>
    </row>
    <row r="904">
      <c r="D904" s="308"/>
      <c r="E904" s="309"/>
      <c r="F904" s="310"/>
      <c r="G904" s="311"/>
    </row>
    <row r="905">
      <c r="D905" s="308"/>
      <c r="E905" s="309"/>
      <c r="F905" s="310"/>
      <c r="G905" s="311"/>
    </row>
    <row r="906">
      <c r="D906" s="308"/>
      <c r="E906" s="309"/>
      <c r="F906" s="310"/>
      <c r="G906" s="311"/>
    </row>
    <row r="907">
      <c r="D907" s="308"/>
      <c r="E907" s="309"/>
      <c r="F907" s="310"/>
      <c r="G907" s="311"/>
    </row>
    <row r="908">
      <c r="D908" s="308"/>
      <c r="E908" s="309"/>
      <c r="F908" s="310"/>
      <c r="G908" s="311"/>
    </row>
    <row r="909">
      <c r="D909" s="308"/>
      <c r="E909" s="309"/>
      <c r="F909" s="310"/>
      <c r="G909" s="311"/>
    </row>
    <row r="910">
      <c r="D910" s="308"/>
      <c r="E910" s="309"/>
      <c r="F910" s="310"/>
      <c r="G910" s="311"/>
    </row>
    <row r="911">
      <c r="D911" s="308"/>
      <c r="E911" s="309"/>
      <c r="F911" s="310"/>
      <c r="G911" s="311"/>
    </row>
    <row r="912">
      <c r="D912" s="308"/>
      <c r="E912" s="309"/>
      <c r="F912" s="310"/>
      <c r="G912" s="311"/>
    </row>
    <row r="913">
      <c r="D913" s="308"/>
      <c r="E913" s="309"/>
      <c r="F913" s="310"/>
      <c r="G913" s="311"/>
    </row>
    <row r="914">
      <c r="D914" s="308"/>
      <c r="E914" s="309"/>
      <c r="F914" s="310"/>
      <c r="G914" s="311"/>
    </row>
    <row r="915">
      <c r="D915" s="308"/>
      <c r="E915" s="309"/>
      <c r="F915" s="310"/>
      <c r="G915" s="311"/>
    </row>
    <row r="916">
      <c r="D916" s="308"/>
      <c r="E916" s="309"/>
      <c r="F916" s="310"/>
      <c r="G916" s="311"/>
    </row>
    <row r="917">
      <c r="D917" s="308"/>
      <c r="E917" s="309"/>
      <c r="F917" s="310"/>
      <c r="G917" s="311"/>
    </row>
    <row r="918">
      <c r="D918" s="308"/>
      <c r="E918" s="309"/>
      <c r="F918" s="310"/>
      <c r="G918" s="311"/>
    </row>
    <row r="919">
      <c r="D919" s="308"/>
      <c r="E919" s="309"/>
      <c r="F919" s="310"/>
      <c r="G919" s="311"/>
    </row>
    <row r="920">
      <c r="D920" s="308"/>
      <c r="E920" s="309"/>
      <c r="F920" s="310"/>
      <c r="G920" s="311"/>
    </row>
    <row r="921">
      <c r="D921" s="308"/>
      <c r="E921" s="309"/>
      <c r="F921" s="310"/>
      <c r="G921" s="311"/>
    </row>
    <row r="922">
      <c r="D922" s="308"/>
      <c r="E922" s="309"/>
      <c r="F922" s="310"/>
      <c r="G922" s="311"/>
    </row>
    <row r="923">
      <c r="D923" s="308"/>
      <c r="E923" s="309"/>
      <c r="F923" s="310"/>
      <c r="G923" s="311"/>
    </row>
    <row r="924">
      <c r="D924" s="308"/>
      <c r="E924" s="309"/>
      <c r="F924" s="310"/>
      <c r="G924" s="311"/>
    </row>
    <row r="925">
      <c r="D925" s="308"/>
      <c r="E925" s="309"/>
      <c r="F925" s="310"/>
      <c r="G925" s="311"/>
    </row>
    <row r="926">
      <c r="D926" s="308"/>
      <c r="E926" s="309"/>
      <c r="F926" s="310"/>
      <c r="G926" s="311"/>
    </row>
    <row r="927">
      <c r="D927" s="308"/>
      <c r="E927" s="309"/>
      <c r="F927" s="310"/>
      <c r="G927" s="311"/>
    </row>
    <row r="928">
      <c r="D928" s="308"/>
      <c r="E928" s="309"/>
      <c r="F928" s="310"/>
      <c r="G928" s="311"/>
    </row>
    <row r="929">
      <c r="D929" s="308"/>
      <c r="E929" s="309"/>
      <c r="F929" s="310"/>
      <c r="G929" s="311"/>
    </row>
    <row r="930">
      <c r="D930" s="308"/>
      <c r="E930" s="309"/>
      <c r="F930" s="310"/>
      <c r="G930" s="311"/>
    </row>
    <row r="931">
      <c r="D931" s="308"/>
      <c r="E931" s="309"/>
      <c r="F931" s="310"/>
      <c r="G931" s="311"/>
    </row>
    <row r="932">
      <c r="D932" s="308"/>
      <c r="E932" s="309"/>
      <c r="F932" s="310"/>
      <c r="G932" s="311"/>
    </row>
    <row r="933">
      <c r="D933" s="308"/>
      <c r="E933" s="309"/>
      <c r="F933" s="310"/>
      <c r="G933" s="311"/>
    </row>
    <row r="934">
      <c r="D934" s="308"/>
      <c r="E934" s="309"/>
      <c r="F934" s="310"/>
      <c r="G934" s="311"/>
    </row>
    <row r="935">
      <c r="D935" s="308"/>
      <c r="E935" s="309"/>
      <c r="F935" s="310"/>
      <c r="G935" s="311"/>
    </row>
    <row r="936">
      <c r="D936" s="308"/>
      <c r="E936" s="309"/>
      <c r="F936" s="310"/>
      <c r="G936" s="311"/>
    </row>
    <row r="937">
      <c r="D937" s="308"/>
      <c r="E937" s="309"/>
      <c r="F937" s="310"/>
      <c r="G937" s="311"/>
    </row>
    <row r="938">
      <c r="D938" s="308"/>
      <c r="E938" s="309"/>
      <c r="F938" s="310"/>
      <c r="G938" s="311"/>
    </row>
    <row r="939">
      <c r="D939" s="308"/>
      <c r="E939" s="309"/>
      <c r="F939" s="310"/>
      <c r="G939" s="311"/>
    </row>
    <row r="940">
      <c r="D940" s="308"/>
      <c r="E940" s="309"/>
      <c r="F940" s="310"/>
      <c r="G940" s="311"/>
    </row>
    <row r="941">
      <c r="D941" s="308"/>
      <c r="E941" s="309"/>
      <c r="F941" s="310"/>
      <c r="G941" s="311"/>
    </row>
    <row r="942">
      <c r="D942" s="308"/>
      <c r="E942" s="309"/>
      <c r="F942" s="310"/>
      <c r="G942" s="311"/>
    </row>
    <row r="943">
      <c r="D943" s="308"/>
      <c r="E943" s="309"/>
      <c r="F943" s="310"/>
      <c r="G943" s="311"/>
    </row>
    <row r="944">
      <c r="D944" s="308"/>
      <c r="E944" s="309"/>
      <c r="F944" s="310"/>
      <c r="G944" s="311"/>
    </row>
    <row r="945">
      <c r="D945" s="308"/>
      <c r="E945" s="309"/>
      <c r="F945" s="310"/>
      <c r="G945" s="311"/>
    </row>
    <row r="946">
      <c r="D946" s="308"/>
      <c r="E946" s="309"/>
      <c r="F946" s="310"/>
      <c r="G946" s="311"/>
    </row>
    <row r="947">
      <c r="D947" s="308"/>
      <c r="E947" s="309"/>
      <c r="F947" s="310"/>
      <c r="G947" s="311"/>
    </row>
    <row r="948">
      <c r="D948" s="308"/>
      <c r="E948" s="309"/>
      <c r="F948" s="310"/>
      <c r="G948" s="311"/>
    </row>
    <row r="949">
      <c r="D949" s="308"/>
      <c r="E949" s="309"/>
      <c r="F949" s="310"/>
      <c r="G949" s="311"/>
    </row>
    <row r="950">
      <c r="D950" s="308"/>
      <c r="E950" s="309"/>
      <c r="F950" s="310"/>
      <c r="G950" s="311"/>
    </row>
    <row r="951">
      <c r="D951" s="308"/>
      <c r="E951" s="309"/>
      <c r="F951" s="310"/>
      <c r="G951" s="311"/>
    </row>
    <row r="952">
      <c r="D952" s="308"/>
      <c r="E952" s="309"/>
      <c r="F952" s="310"/>
      <c r="G952" s="311"/>
    </row>
    <row r="953">
      <c r="D953" s="308"/>
      <c r="E953" s="309"/>
      <c r="F953" s="310"/>
      <c r="G953" s="311"/>
    </row>
    <row r="954">
      <c r="D954" s="308"/>
      <c r="E954" s="309"/>
      <c r="F954" s="310"/>
      <c r="G954" s="311"/>
    </row>
    <row r="955">
      <c r="D955" s="308"/>
      <c r="E955" s="309"/>
      <c r="F955" s="310"/>
      <c r="G955" s="311"/>
    </row>
    <row r="956">
      <c r="D956" s="308"/>
      <c r="E956" s="309"/>
      <c r="F956" s="310"/>
      <c r="G956" s="311"/>
    </row>
    <row r="957">
      <c r="D957" s="308"/>
      <c r="E957" s="309"/>
      <c r="F957" s="310"/>
      <c r="G957" s="311"/>
    </row>
    <row r="958">
      <c r="D958" s="308"/>
      <c r="E958" s="309"/>
      <c r="F958" s="310"/>
      <c r="G958" s="311"/>
    </row>
    <row r="959">
      <c r="D959" s="308"/>
      <c r="E959" s="309"/>
      <c r="F959" s="310"/>
      <c r="G959" s="311"/>
    </row>
    <row r="960">
      <c r="D960" s="308"/>
      <c r="E960" s="309"/>
      <c r="F960" s="310"/>
      <c r="G960" s="311"/>
    </row>
    <row r="961">
      <c r="D961" s="308"/>
      <c r="E961" s="309"/>
      <c r="F961" s="310"/>
      <c r="G961" s="311"/>
    </row>
    <row r="962">
      <c r="D962" s="308"/>
      <c r="E962" s="309"/>
      <c r="F962" s="310"/>
      <c r="G962" s="311"/>
    </row>
    <row r="963">
      <c r="D963" s="308"/>
      <c r="E963" s="309"/>
      <c r="F963" s="310"/>
      <c r="G963" s="311"/>
    </row>
    <row r="964">
      <c r="D964" s="308"/>
      <c r="E964" s="309"/>
      <c r="F964" s="310"/>
      <c r="G964" s="311"/>
    </row>
    <row r="965">
      <c r="D965" s="308"/>
      <c r="E965" s="309"/>
      <c r="F965" s="310"/>
      <c r="G965" s="311"/>
    </row>
    <row r="966">
      <c r="D966" s="308"/>
      <c r="E966" s="309"/>
      <c r="F966" s="310"/>
      <c r="G966" s="311"/>
    </row>
    <row r="967">
      <c r="D967" s="308"/>
      <c r="E967" s="309"/>
      <c r="F967" s="310"/>
      <c r="G967" s="311"/>
    </row>
    <row r="968">
      <c r="D968" s="308"/>
      <c r="E968" s="309"/>
      <c r="F968" s="310"/>
      <c r="G968" s="311"/>
    </row>
    <row r="969">
      <c r="D969" s="308"/>
      <c r="E969" s="309"/>
      <c r="F969" s="310"/>
      <c r="G969" s="311"/>
    </row>
    <row r="970">
      <c r="D970" s="308"/>
      <c r="E970" s="309"/>
      <c r="F970" s="310"/>
      <c r="G970" s="311"/>
    </row>
    <row r="971">
      <c r="D971" s="308"/>
      <c r="E971" s="309"/>
      <c r="F971" s="310"/>
      <c r="G971" s="311"/>
    </row>
    <row r="972">
      <c r="D972" s="308"/>
      <c r="E972" s="309"/>
      <c r="F972" s="310"/>
      <c r="G972" s="311"/>
    </row>
    <row r="973">
      <c r="D973" s="308"/>
      <c r="E973" s="309"/>
      <c r="F973" s="310"/>
      <c r="G973" s="311"/>
    </row>
    <row r="974">
      <c r="D974" s="308"/>
      <c r="E974" s="309"/>
      <c r="F974" s="310"/>
      <c r="G974" s="311"/>
    </row>
    <row r="975">
      <c r="D975" s="308"/>
      <c r="E975" s="309"/>
      <c r="F975" s="310"/>
      <c r="G975" s="311"/>
    </row>
    <row r="976">
      <c r="D976" s="308"/>
      <c r="E976" s="309"/>
      <c r="F976" s="310"/>
      <c r="G976" s="311"/>
    </row>
    <row r="977">
      <c r="D977" s="308"/>
      <c r="E977" s="309"/>
      <c r="F977" s="310"/>
      <c r="G977" s="311"/>
    </row>
    <row r="978">
      <c r="D978" s="308"/>
      <c r="E978" s="309"/>
      <c r="F978" s="310"/>
      <c r="G978" s="311"/>
    </row>
    <row r="979">
      <c r="D979" s="308"/>
      <c r="E979" s="309"/>
      <c r="F979" s="310"/>
      <c r="G979" s="311"/>
    </row>
    <row r="980">
      <c r="D980" s="308"/>
      <c r="E980" s="309"/>
      <c r="F980" s="310"/>
      <c r="G980" s="311"/>
    </row>
    <row r="981">
      <c r="D981" s="308"/>
      <c r="E981" s="309"/>
      <c r="F981" s="310"/>
      <c r="G981" s="311"/>
    </row>
    <row r="982">
      <c r="D982" s="308"/>
      <c r="E982" s="309"/>
      <c r="F982" s="310"/>
      <c r="G982" s="311"/>
    </row>
    <row r="983">
      <c r="D983" s="308"/>
      <c r="E983" s="309"/>
      <c r="F983" s="310"/>
      <c r="G983" s="311"/>
    </row>
    <row r="984">
      <c r="D984" s="308"/>
      <c r="E984" s="309"/>
      <c r="F984" s="310"/>
      <c r="G984" s="311"/>
    </row>
    <row r="985">
      <c r="D985" s="308"/>
      <c r="E985" s="309"/>
      <c r="F985" s="310"/>
      <c r="G985" s="311"/>
    </row>
    <row r="986">
      <c r="D986" s="308"/>
      <c r="E986" s="309"/>
      <c r="F986" s="310"/>
      <c r="G986" s="311"/>
    </row>
    <row r="987">
      <c r="D987" s="308"/>
      <c r="E987" s="309"/>
      <c r="F987" s="310"/>
      <c r="G987" s="311"/>
    </row>
    <row r="988">
      <c r="D988" s="308"/>
      <c r="E988" s="309"/>
      <c r="F988" s="310"/>
      <c r="G988" s="311"/>
    </row>
    <row r="989">
      <c r="D989" s="308"/>
      <c r="E989" s="309"/>
      <c r="F989" s="310"/>
      <c r="G989" s="311"/>
    </row>
    <row r="990">
      <c r="D990" s="308"/>
      <c r="E990" s="309"/>
      <c r="F990" s="310"/>
      <c r="G990" s="311"/>
    </row>
    <row r="991">
      <c r="D991" s="308"/>
      <c r="E991" s="309"/>
      <c r="F991" s="310"/>
      <c r="G991" s="311"/>
    </row>
    <row r="992">
      <c r="D992" s="308"/>
      <c r="E992" s="309"/>
      <c r="F992" s="310"/>
      <c r="G992" s="311"/>
    </row>
    <row r="993">
      <c r="D993" s="308"/>
      <c r="E993" s="309"/>
      <c r="F993" s="310"/>
      <c r="G993" s="311"/>
    </row>
    <row r="994">
      <c r="D994" s="308"/>
      <c r="E994" s="309"/>
      <c r="F994" s="310"/>
      <c r="G994" s="311"/>
    </row>
    <row r="995">
      <c r="D995" s="308"/>
      <c r="E995" s="309"/>
      <c r="F995" s="310"/>
      <c r="G995" s="311"/>
    </row>
    <row r="996">
      <c r="D996" s="308"/>
      <c r="E996" s="309"/>
      <c r="F996" s="310"/>
      <c r="G996" s="311"/>
    </row>
    <row r="997">
      <c r="D997" s="308"/>
      <c r="E997" s="309"/>
      <c r="F997" s="310"/>
      <c r="G997" s="311"/>
    </row>
    <row r="998">
      <c r="D998" s="308"/>
      <c r="E998" s="309"/>
      <c r="F998" s="310"/>
      <c r="G998" s="311"/>
    </row>
    <row r="999">
      <c r="D999" s="308"/>
      <c r="E999" s="309"/>
      <c r="F999" s="310"/>
      <c r="G999" s="311"/>
    </row>
    <row r="1000">
      <c r="D1000" s="308"/>
      <c r="E1000" s="309"/>
      <c r="F1000" s="310"/>
      <c r="G1000" s="311"/>
    </row>
    <row r="1001">
      <c r="D1001" s="308"/>
      <c r="E1001" s="309"/>
      <c r="F1001" s="310"/>
      <c r="G1001" s="311"/>
    </row>
    <row r="1002">
      <c r="D1002" s="308"/>
      <c r="E1002" s="309"/>
      <c r="F1002" s="310"/>
      <c r="G1002" s="311"/>
    </row>
    <row r="1003">
      <c r="D1003" s="308"/>
      <c r="E1003" s="309"/>
      <c r="F1003" s="310"/>
      <c r="G1003" s="311"/>
    </row>
    <row r="1004">
      <c r="D1004" s="308"/>
      <c r="E1004" s="309"/>
      <c r="F1004" s="310"/>
      <c r="G1004" s="311"/>
    </row>
    <row r="1005">
      <c r="D1005" s="308"/>
      <c r="E1005" s="309"/>
      <c r="F1005" s="310"/>
      <c r="G1005" s="311"/>
    </row>
    <row r="1006">
      <c r="D1006" s="308"/>
      <c r="E1006" s="309"/>
      <c r="F1006" s="310"/>
      <c r="G1006" s="311"/>
    </row>
    <row r="1007">
      <c r="D1007" s="308"/>
      <c r="E1007" s="309"/>
      <c r="F1007" s="310"/>
      <c r="G1007" s="311"/>
    </row>
    <row r="1008">
      <c r="D1008" s="308"/>
      <c r="E1008" s="309"/>
      <c r="F1008" s="310"/>
      <c r="G1008" s="311"/>
    </row>
    <row r="1009">
      <c r="D1009" s="308"/>
      <c r="E1009" s="309"/>
      <c r="F1009" s="310"/>
      <c r="G1009" s="311"/>
    </row>
    <row r="1010">
      <c r="D1010" s="308"/>
      <c r="E1010" s="309"/>
      <c r="F1010" s="310"/>
      <c r="G1010" s="311"/>
    </row>
    <row r="1011">
      <c r="D1011" s="308"/>
      <c r="E1011" s="309"/>
      <c r="F1011" s="310"/>
      <c r="G1011" s="311"/>
    </row>
    <row r="1012">
      <c r="D1012" s="308"/>
      <c r="E1012" s="309"/>
      <c r="F1012" s="310"/>
      <c r="G1012" s="311"/>
    </row>
    <row r="1013">
      <c r="D1013" s="308"/>
      <c r="E1013" s="309"/>
      <c r="F1013" s="310"/>
      <c r="G1013" s="311"/>
    </row>
    <row r="1014">
      <c r="D1014" s="308"/>
      <c r="E1014" s="309"/>
      <c r="F1014" s="310"/>
      <c r="G1014" s="311"/>
    </row>
    <row r="1015">
      <c r="D1015" s="308"/>
      <c r="E1015" s="309"/>
      <c r="F1015" s="310"/>
      <c r="G1015" s="311"/>
    </row>
    <row r="1016">
      <c r="D1016" s="308"/>
      <c r="E1016" s="309"/>
      <c r="F1016" s="310"/>
      <c r="G1016" s="311"/>
    </row>
    <row r="1017">
      <c r="D1017" s="308"/>
      <c r="E1017" s="309"/>
      <c r="F1017" s="310"/>
      <c r="G1017" s="311"/>
    </row>
    <row r="1018">
      <c r="D1018" s="308"/>
      <c r="E1018" s="309"/>
      <c r="F1018" s="310"/>
      <c r="G1018" s="311"/>
    </row>
    <row r="1019">
      <c r="D1019" s="308"/>
      <c r="E1019" s="309"/>
      <c r="F1019" s="310"/>
      <c r="G1019" s="311"/>
    </row>
    <row r="1020">
      <c r="D1020" s="308"/>
      <c r="E1020" s="309"/>
      <c r="F1020" s="310"/>
      <c r="G1020" s="311"/>
    </row>
    <row r="1021">
      <c r="D1021" s="308"/>
      <c r="E1021" s="309"/>
      <c r="F1021" s="310"/>
      <c r="G1021" s="311"/>
    </row>
    <row r="1022">
      <c r="D1022" s="308"/>
      <c r="E1022" s="309"/>
      <c r="F1022" s="310"/>
      <c r="G1022" s="311"/>
    </row>
    <row r="1023">
      <c r="D1023" s="308"/>
      <c r="E1023" s="309"/>
      <c r="F1023" s="310"/>
      <c r="G1023" s="311"/>
    </row>
    <row r="1024">
      <c r="D1024" s="308"/>
      <c r="E1024" s="309"/>
      <c r="F1024" s="310"/>
      <c r="G1024" s="311"/>
    </row>
    <row r="1025">
      <c r="D1025" s="308"/>
      <c r="E1025" s="309"/>
      <c r="F1025" s="310"/>
      <c r="G1025" s="311"/>
    </row>
    <row r="1026">
      <c r="D1026" s="308"/>
      <c r="E1026" s="309"/>
      <c r="F1026" s="310"/>
      <c r="G1026" s="311"/>
    </row>
    <row r="1027">
      <c r="D1027" s="308"/>
      <c r="E1027" s="309"/>
      <c r="F1027" s="310"/>
      <c r="G1027" s="311"/>
    </row>
    <row r="1028">
      <c r="D1028" s="308"/>
      <c r="E1028" s="309"/>
      <c r="F1028" s="310"/>
      <c r="G1028" s="311"/>
    </row>
    <row r="1029">
      <c r="D1029" s="308"/>
      <c r="E1029" s="309"/>
      <c r="F1029" s="310"/>
      <c r="G1029" s="311"/>
    </row>
    <row r="1030">
      <c r="D1030" s="308"/>
      <c r="E1030" s="309"/>
      <c r="F1030" s="310"/>
      <c r="G1030" s="311"/>
    </row>
    <row r="1031">
      <c r="D1031" s="308"/>
      <c r="E1031" s="309"/>
      <c r="F1031" s="310"/>
      <c r="G1031" s="311"/>
    </row>
    <row r="1032">
      <c r="D1032" s="308"/>
      <c r="E1032" s="309"/>
      <c r="F1032" s="310"/>
      <c r="G1032" s="311"/>
    </row>
    <row r="1033">
      <c r="D1033" s="308"/>
      <c r="E1033" s="309"/>
      <c r="F1033" s="310"/>
      <c r="G1033" s="311"/>
    </row>
    <row r="1034">
      <c r="D1034" s="308"/>
      <c r="E1034" s="309"/>
      <c r="F1034" s="310"/>
      <c r="G1034" s="311"/>
    </row>
    <row r="1035">
      <c r="D1035" s="308"/>
      <c r="E1035" s="309"/>
      <c r="F1035" s="310"/>
      <c r="G1035" s="311"/>
    </row>
    <row r="1036">
      <c r="D1036" s="308"/>
      <c r="E1036" s="309"/>
      <c r="F1036" s="310"/>
      <c r="G1036" s="311"/>
    </row>
    <row r="1037">
      <c r="D1037" s="308"/>
      <c r="E1037" s="309"/>
      <c r="F1037" s="310"/>
      <c r="G1037" s="311"/>
    </row>
    <row r="1038">
      <c r="D1038" s="308"/>
      <c r="E1038" s="309"/>
      <c r="F1038" s="310"/>
      <c r="G1038" s="311"/>
    </row>
    <row r="1039">
      <c r="D1039" s="308"/>
      <c r="E1039" s="309"/>
      <c r="F1039" s="310"/>
      <c r="G1039" s="311"/>
    </row>
    <row r="1040">
      <c r="D1040" s="308"/>
      <c r="E1040" s="309"/>
      <c r="F1040" s="310"/>
      <c r="G1040" s="311"/>
    </row>
    <row r="1041">
      <c r="D1041" s="308"/>
      <c r="E1041" s="309"/>
      <c r="F1041" s="310"/>
      <c r="G1041" s="311"/>
    </row>
    <row r="1042">
      <c r="D1042" s="308"/>
      <c r="E1042" s="309"/>
      <c r="F1042" s="310"/>
      <c r="G1042" s="311"/>
    </row>
    <row r="1043">
      <c r="D1043" s="308"/>
      <c r="E1043" s="309"/>
      <c r="F1043" s="310"/>
      <c r="G1043" s="311"/>
    </row>
    <row r="1044">
      <c r="D1044" s="308"/>
      <c r="E1044" s="309"/>
      <c r="F1044" s="310"/>
      <c r="G1044" s="311"/>
    </row>
    <row r="1045">
      <c r="D1045" s="308"/>
      <c r="E1045" s="309"/>
      <c r="F1045" s="310"/>
      <c r="G1045" s="311"/>
    </row>
    <row r="1046">
      <c r="D1046" s="308"/>
      <c r="E1046" s="309"/>
      <c r="F1046" s="310"/>
      <c r="G1046" s="311"/>
    </row>
    <row r="1047">
      <c r="D1047" s="308"/>
      <c r="E1047" s="309"/>
      <c r="F1047" s="310"/>
      <c r="G1047" s="311"/>
    </row>
    <row r="1048">
      <c r="D1048" s="308"/>
      <c r="E1048" s="309"/>
      <c r="F1048" s="310"/>
      <c r="G1048" s="311"/>
    </row>
    <row r="1049">
      <c r="D1049" s="308"/>
      <c r="E1049" s="309"/>
      <c r="F1049" s="310"/>
      <c r="G1049" s="311"/>
    </row>
    <row r="1050">
      <c r="D1050" s="308"/>
      <c r="E1050" s="309"/>
      <c r="F1050" s="310"/>
      <c r="G1050" s="311"/>
    </row>
    <row r="1051">
      <c r="D1051" s="308"/>
      <c r="E1051" s="309"/>
      <c r="F1051" s="310"/>
      <c r="G1051" s="311"/>
    </row>
    <row r="1052">
      <c r="D1052" s="308"/>
      <c r="E1052" s="309"/>
      <c r="F1052" s="310"/>
      <c r="G1052" s="311"/>
    </row>
    <row r="1053">
      <c r="D1053" s="308"/>
      <c r="E1053" s="309"/>
      <c r="F1053" s="310"/>
      <c r="G1053" s="311"/>
    </row>
    <row r="1054">
      <c r="D1054" s="308"/>
      <c r="E1054" s="309"/>
      <c r="F1054" s="310"/>
      <c r="G1054" s="311"/>
    </row>
    <row r="1055">
      <c r="D1055" s="308"/>
      <c r="E1055" s="309"/>
      <c r="F1055" s="310"/>
      <c r="G1055" s="311"/>
    </row>
    <row r="1056">
      <c r="D1056" s="308"/>
      <c r="E1056" s="309"/>
      <c r="F1056" s="310"/>
      <c r="G1056" s="311"/>
    </row>
    <row r="1057">
      <c r="D1057" s="308"/>
      <c r="E1057" s="309"/>
      <c r="F1057" s="310"/>
      <c r="G1057" s="311"/>
    </row>
    <row r="1058">
      <c r="D1058" s="308"/>
      <c r="E1058" s="309"/>
      <c r="F1058" s="310"/>
      <c r="G1058" s="311"/>
    </row>
    <row r="1059">
      <c r="D1059" s="308"/>
      <c r="E1059" s="309"/>
      <c r="F1059" s="310"/>
      <c r="G1059" s="311"/>
    </row>
    <row r="1060">
      <c r="D1060" s="308"/>
      <c r="E1060" s="309"/>
      <c r="F1060" s="310"/>
      <c r="G1060" s="311"/>
    </row>
    <row r="1061">
      <c r="D1061" s="308"/>
      <c r="E1061" s="309"/>
      <c r="F1061" s="310"/>
      <c r="G1061" s="311"/>
    </row>
    <row r="1062">
      <c r="D1062" s="308"/>
      <c r="E1062" s="309"/>
      <c r="F1062" s="310"/>
      <c r="G1062" s="311"/>
    </row>
    <row r="1063">
      <c r="D1063" s="308"/>
      <c r="E1063" s="309"/>
      <c r="F1063" s="310"/>
      <c r="G1063" s="311"/>
    </row>
    <row r="1064">
      <c r="D1064" s="308"/>
      <c r="E1064" s="309"/>
      <c r="F1064" s="310"/>
      <c r="G1064" s="311"/>
    </row>
    <row r="1065">
      <c r="D1065" s="308"/>
      <c r="E1065" s="309"/>
      <c r="F1065" s="310"/>
      <c r="G1065" s="311"/>
    </row>
    <row r="1066">
      <c r="D1066" s="308"/>
      <c r="E1066" s="309"/>
      <c r="F1066" s="310"/>
      <c r="G1066" s="311"/>
    </row>
    <row r="1067">
      <c r="D1067" s="308"/>
      <c r="E1067" s="309"/>
      <c r="F1067" s="310"/>
      <c r="G1067" s="311"/>
    </row>
    <row r="1068">
      <c r="D1068" s="308"/>
      <c r="E1068" s="309"/>
      <c r="F1068" s="310"/>
      <c r="G1068" s="311"/>
    </row>
    <row r="1069">
      <c r="D1069" s="308"/>
      <c r="E1069" s="309"/>
      <c r="F1069" s="310"/>
      <c r="G1069" s="311"/>
    </row>
    <row r="1070">
      <c r="D1070" s="308"/>
      <c r="E1070" s="309"/>
      <c r="F1070" s="310"/>
      <c r="G1070" s="311"/>
    </row>
    <row r="1071">
      <c r="D1071" s="308"/>
      <c r="E1071" s="309"/>
      <c r="F1071" s="310"/>
      <c r="G1071" s="311"/>
    </row>
    <row r="1072">
      <c r="D1072" s="308"/>
      <c r="E1072" s="309"/>
      <c r="F1072" s="310"/>
      <c r="G1072" s="311"/>
    </row>
    <row r="1073">
      <c r="D1073" s="308"/>
      <c r="E1073" s="309"/>
      <c r="F1073" s="310"/>
      <c r="G1073" s="311"/>
    </row>
    <row r="1074">
      <c r="D1074" s="308"/>
      <c r="E1074" s="309"/>
      <c r="F1074" s="310"/>
      <c r="G1074" s="311"/>
    </row>
    <row r="1075">
      <c r="D1075" s="308"/>
      <c r="E1075" s="309"/>
      <c r="F1075" s="310"/>
      <c r="G1075" s="311"/>
    </row>
    <row r="1076">
      <c r="D1076" s="308"/>
      <c r="E1076" s="309"/>
      <c r="F1076" s="310"/>
      <c r="G1076" s="311"/>
    </row>
    <row r="1077">
      <c r="D1077" s="308"/>
      <c r="E1077" s="309"/>
      <c r="F1077" s="310"/>
      <c r="G1077" s="311"/>
    </row>
    <row r="1078">
      <c r="D1078" s="308"/>
      <c r="E1078" s="309"/>
      <c r="F1078" s="310"/>
      <c r="G1078" s="311"/>
    </row>
    <row r="1079">
      <c r="D1079" s="308"/>
      <c r="E1079" s="309"/>
      <c r="F1079" s="310"/>
      <c r="G1079" s="311"/>
    </row>
    <row r="1080">
      <c r="D1080" s="308"/>
      <c r="E1080" s="309"/>
      <c r="F1080" s="310"/>
      <c r="G1080" s="311"/>
    </row>
    <row r="1081">
      <c r="D1081" s="308"/>
      <c r="E1081" s="309"/>
      <c r="F1081" s="310"/>
      <c r="G1081" s="311"/>
    </row>
    <row r="1082">
      <c r="D1082" s="308"/>
      <c r="E1082" s="309"/>
      <c r="F1082" s="310"/>
      <c r="G1082" s="311"/>
    </row>
    <row r="1083">
      <c r="D1083" s="308"/>
      <c r="E1083" s="309"/>
      <c r="F1083" s="310"/>
      <c r="G1083" s="311"/>
    </row>
    <row r="1084">
      <c r="D1084" s="308"/>
      <c r="E1084" s="309"/>
      <c r="F1084" s="310"/>
      <c r="G1084" s="311"/>
    </row>
    <row r="1085">
      <c r="D1085" s="308"/>
      <c r="E1085" s="309"/>
      <c r="F1085" s="310"/>
      <c r="G1085" s="311"/>
    </row>
    <row r="1086">
      <c r="D1086" s="308"/>
      <c r="E1086" s="309"/>
      <c r="F1086" s="310"/>
      <c r="G1086" s="311"/>
    </row>
    <row r="1087">
      <c r="D1087" s="308"/>
      <c r="E1087" s="309"/>
      <c r="F1087" s="310"/>
      <c r="G1087" s="311"/>
    </row>
    <row r="1088">
      <c r="D1088" s="308"/>
      <c r="E1088" s="309"/>
      <c r="F1088" s="310"/>
      <c r="G1088" s="311"/>
    </row>
    <row r="1089">
      <c r="D1089" s="308"/>
      <c r="E1089" s="309"/>
      <c r="F1089" s="310"/>
      <c r="G1089" s="311"/>
    </row>
    <row r="1090">
      <c r="D1090" s="308"/>
      <c r="E1090" s="309"/>
      <c r="F1090" s="310"/>
      <c r="G1090" s="311"/>
    </row>
    <row r="1091">
      <c r="D1091" s="308"/>
      <c r="E1091" s="309"/>
      <c r="F1091" s="310"/>
      <c r="G1091" s="311"/>
    </row>
    <row r="1092">
      <c r="D1092" s="308"/>
      <c r="E1092" s="309"/>
      <c r="F1092" s="310"/>
      <c r="G1092" s="311"/>
    </row>
    <row r="1093">
      <c r="D1093" s="308"/>
      <c r="E1093" s="309"/>
      <c r="F1093" s="310"/>
      <c r="G1093" s="311"/>
    </row>
    <row r="1094">
      <c r="D1094" s="308"/>
      <c r="E1094" s="309"/>
      <c r="F1094" s="310"/>
      <c r="G1094" s="311"/>
    </row>
    <row r="1095">
      <c r="D1095" s="308"/>
      <c r="E1095" s="309"/>
      <c r="F1095" s="310"/>
      <c r="G1095" s="311"/>
    </row>
    <row r="1096">
      <c r="D1096" s="308"/>
      <c r="E1096" s="309"/>
      <c r="F1096" s="310"/>
      <c r="G1096" s="311"/>
    </row>
    <row r="1097">
      <c r="D1097" s="308"/>
      <c r="E1097" s="309"/>
      <c r="F1097" s="310"/>
      <c r="G1097" s="311"/>
    </row>
    <row r="1098">
      <c r="D1098" s="308"/>
      <c r="E1098" s="309"/>
      <c r="F1098" s="310"/>
      <c r="G1098" s="311"/>
    </row>
    <row r="1099">
      <c r="D1099" s="308"/>
      <c r="E1099" s="309"/>
      <c r="F1099" s="310"/>
      <c r="G1099" s="311"/>
    </row>
    <row r="1100">
      <c r="D1100" s="308"/>
      <c r="E1100" s="309"/>
      <c r="F1100" s="310"/>
      <c r="G1100" s="311"/>
    </row>
    <row r="1101">
      <c r="D1101" s="308"/>
      <c r="E1101" s="309"/>
      <c r="F1101" s="310"/>
      <c r="G1101" s="311"/>
    </row>
    <row r="1102">
      <c r="D1102" s="308"/>
      <c r="E1102" s="309"/>
      <c r="F1102" s="310"/>
      <c r="G1102" s="311"/>
    </row>
    <row r="1103">
      <c r="D1103" s="308"/>
      <c r="E1103" s="309"/>
      <c r="F1103" s="310"/>
      <c r="G1103" s="311"/>
    </row>
    <row r="1104">
      <c r="D1104" s="308"/>
      <c r="E1104" s="309"/>
      <c r="F1104" s="310"/>
      <c r="G1104" s="311"/>
    </row>
    <row r="1105">
      <c r="D1105" s="308"/>
      <c r="E1105" s="309"/>
      <c r="F1105" s="310"/>
      <c r="G1105" s="311"/>
    </row>
    <row r="1106">
      <c r="D1106" s="308"/>
      <c r="E1106" s="309"/>
      <c r="F1106" s="310"/>
      <c r="G1106" s="311"/>
    </row>
    <row r="1107">
      <c r="D1107" s="308"/>
      <c r="E1107" s="309"/>
      <c r="F1107" s="310"/>
      <c r="G1107" s="311"/>
    </row>
    <row r="1108">
      <c r="D1108" s="308"/>
      <c r="E1108" s="309"/>
      <c r="F1108" s="310"/>
      <c r="G1108" s="311"/>
    </row>
    <row r="1109">
      <c r="D1109" s="308"/>
      <c r="E1109" s="309"/>
      <c r="F1109" s="310"/>
      <c r="G1109" s="311"/>
    </row>
    <row r="1110">
      <c r="D1110" s="308"/>
      <c r="E1110" s="309"/>
      <c r="F1110" s="310"/>
      <c r="G1110" s="311"/>
    </row>
    <row r="1111">
      <c r="D1111" s="308"/>
      <c r="E1111" s="309"/>
      <c r="F1111" s="310"/>
      <c r="G1111" s="311"/>
    </row>
    <row r="1112">
      <c r="D1112" s="308"/>
      <c r="E1112" s="309"/>
      <c r="F1112" s="310"/>
      <c r="G1112" s="311"/>
    </row>
    <row r="1113">
      <c r="D1113" s="308"/>
      <c r="E1113" s="309"/>
      <c r="F1113" s="310"/>
      <c r="G1113" s="311"/>
    </row>
    <row r="1114">
      <c r="D1114" s="308"/>
      <c r="E1114" s="309"/>
      <c r="F1114" s="310"/>
      <c r="G1114" s="311"/>
    </row>
    <row r="1115">
      <c r="D1115" s="308"/>
      <c r="E1115" s="309"/>
      <c r="F1115" s="310"/>
      <c r="G1115" s="311"/>
    </row>
    <row r="1116">
      <c r="D1116" s="308"/>
      <c r="E1116" s="309"/>
      <c r="F1116" s="310"/>
      <c r="G1116" s="311"/>
    </row>
    <row r="1117">
      <c r="D1117" s="308"/>
      <c r="E1117" s="309"/>
      <c r="F1117" s="310"/>
      <c r="G1117" s="311"/>
    </row>
    <row r="1118">
      <c r="D1118" s="308"/>
      <c r="E1118" s="309"/>
      <c r="F1118" s="310"/>
      <c r="G1118" s="311"/>
    </row>
    <row r="1119">
      <c r="D1119" s="308"/>
      <c r="E1119" s="309"/>
      <c r="F1119" s="310"/>
      <c r="G1119" s="311"/>
    </row>
    <row r="1120">
      <c r="D1120" s="308"/>
      <c r="E1120" s="309"/>
      <c r="F1120" s="310"/>
      <c r="G1120" s="311"/>
    </row>
    <row r="1121">
      <c r="D1121" s="308"/>
      <c r="E1121" s="309"/>
      <c r="F1121" s="310"/>
      <c r="G1121" s="311"/>
    </row>
    <row r="1122">
      <c r="D1122" s="308"/>
      <c r="E1122" s="309"/>
      <c r="F1122" s="310"/>
      <c r="G1122" s="311"/>
    </row>
    <row r="1123">
      <c r="D1123" s="308"/>
      <c r="E1123" s="309"/>
      <c r="F1123" s="310"/>
      <c r="G1123" s="311"/>
    </row>
    <row r="1124">
      <c r="D1124" s="308"/>
      <c r="E1124" s="309"/>
      <c r="F1124" s="310"/>
      <c r="G1124" s="311"/>
    </row>
    <row r="1125">
      <c r="D1125" s="308"/>
      <c r="E1125" s="309"/>
      <c r="F1125" s="310"/>
      <c r="G1125" s="311"/>
    </row>
    <row r="1126">
      <c r="D1126" s="308"/>
      <c r="E1126" s="309"/>
      <c r="F1126" s="310"/>
      <c r="G1126" s="311"/>
    </row>
    <row r="1127">
      <c r="D1127" s="308"/>
      <c r="E1127" s="309"/>
      <c r="F1127" s="310"/>
      <c r="G1127" s="311"/>
    </row>
    <row r="1128">
      <c r="D1128" s="308"/>
      <c r="E1128" s="309"/>
      <c r="F1128" s="310"/>
      <c r="G1128" s="311"/>
    </row>
    <row r="1129">
      <c r="D1129" s="308"/>
      <c r="E1129" s="309"/>
      <c r="F1129" s="310"/>
      <c r="G1129" s="311"/>
    </row>
    <row r="1130">
      <c r="D1130" s="308"/>
      <c r="E1130" s="309"/>
      <c r="F1130" s="310"/>
      <c r="G1130" s="311"/>
    </row>
    <row r="1131">
      <c r="D1131" s="308"/>
      <c r="E1131" s="309"/>
      <c r="F1131" s="310"/>
      <c r="G1131" s="311"/>
    </row>
    <row r="1132">
      <c r="D1132" s="308"/>
      <c r="E1132" s="309"/>
      <c r="F1132" s="310"/>
      <c r="G1132" s="311"/>
    </row>
    <row r="1133">
      <c r="D1133" s="308"/>
      <c r="E1133" s="309"/>
      <c r="F1133" s="310"/>
      <c r="G1133" s="311"/>
    </row>
    <row r="1134">
      <c r="D1134" s="308"/>
      <c r="E1134" s="309"/>
      <c r="F1134" s="310"/>
      <c r="G1134" s="311"/>
    </row>
    <row r="1135">
      <c r="D1135" s="308"/>
      <c r="E1135" s="309"/>
      <c r="F1135" s="310"/>
      <c r="G1135" s="311"/>
    </row>
    <row r="1136">
      <c r="D1136" s="308"/>
      <c r="E1136" s="309"/>
      <c r="F1136" s="310"/>
      <c r="G1136" s="311"/>
    </row>
    <row r="1137">
      <c r="D1137" s="308"/>
      <c r="E1137" s="309"/>
      <c r="F1137" s="310"/>
      <c r="G1137" s="311"/>
    </row>
    <row r="1138">
      <c r="D1138" s="308"/>
      <c r="E1138" s="309"/>
      <c r="F1138" s="310"/>
      <c r="G1138" s="311"/>
    </row>
    <row r="1139">
      <c r="D1139" s="308"/>
      <c r="E1139" s="309"/>
      <c r="F1139" s="310"/>
      <c r="G1139" s="311"/>
    </row>
    <row r="1140">
      <c r="D1140" s="308"/>
      <c r="E1140" s="309"/>
      <c r="F1140" s="310"/>
      <c r="G1140" s="311"/>
    </row>
    <row r="1141">
      <c r="D1141" s="308"/>
      <c r="E1141" s="309"/>
      <c r="F1141" s="310"/>
      <c r="G1141" s="311"/>
    </row>
    <row r="1142">
      <c r="D1142" s="308"/>
      <c r="E1142" s="309"/>
      <c r="F1142" s="310"/>
      <c r="G1142" s="311"/>
    </row>
    <row r="1143">
      <c r="D1143" s="308"/>
      <c r="E1143" s="309"/>
      <c r="F1143" s="310"/>
      <c r="G1143" s="311"/>
    </row>
    <row r="1144">
      <c r="D1144" s="308"/>
      <c r="E1144" s="309"/>
      <c r="F1144" s="310"/>
      <c r="G1144" s="311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25"/>
  </cols>
  <sheetData>
    <row r="1">
      <c r="A1" s="247" t="s">
        <v>7</v>
      </c>
      <c r="B1" s="247" t="s">
        <v>67</v>
      </c>
      <c r="C1" s="247" t="s">
        <v>801</v>
      </c>
      <c r="D1" s="248" t="s">
        <v>460</v>
      </c>
      <c r="E1" s="249" t="s">
        <v>802</v>
      </c>
      <c r="F1" s="250" t="s">
        <v>803</v>
      </c>
      <c r="G1" s="251" t="s">
        <v>804</v>
      </c>
    </row>
    <row r="2">
      <c r="A2" s="252" t="s">
        <v>827</v>
      </c>
      <c r="B2" s="253"/>
      <c r="C2" s="253"/>
      <c r="D2" s="254"/>
      <c r="E2" s="255"/>
      <c r="F2" s="256"/>
      <c r="G2" s="257"/>
    </row>
    <row r="3">
      <c r="A3" s="276">
        <v>7.0</v>
      </c>
      <c r="B3" s="276" t="s">
        <v>549</v>
      </c>
      <c r="C3" s="277" t="s">
        <v>505</v>
      </c>
      <c r="D3" s="278">
        <v>45962.0</v>
      </c>
      <c r="E3" s="279">
        <v>5.25</v>
      </c>
      <c r="F3" s="280">
        <v>2.11</v>
      </c>
      <c r="G3" s="281">
        <v>1.0</v>
      </c>
    </row>
    <row r="4">
      <c r="A4" s="264">
        <v>10.0</v>
      </c>
      <c r="B4" s="264" t="s">
        <v>550</v>
      </c>
      <c r="C4" s="265" t="s">
        <v>484</v>
      </c>
      <c r="D4" s="266">
        <v>45962.0</v>
      </c>
      <c r="E4" s="267">
        <v>8.11</v>
      </c>
      <c r="F4" s="268">
        <v>2.15</v>
      </c>
      <c r="G4" s="269">
        <v>1.0</v>
      </c>
    </row>
    <row r="5">
      <c r="A5" s="264">
        <v>12.0</v>
      </c>
      <c r="B5" s="264" t="s">
        <v>551</v>
      </c>
      <c r="C5" s="265" t="s">
        <v>484</v>
      </c>
      <c r="D5" s="266">
        <v>45962.0</v>
      </c>
      <c r="E5" s="267">
        <v>10.92</v>
      </c>
      <c r="F5" s="268">
        <v>2.54</v>
      </c>
      <c r="G5" s="269">
        <v>1.0</v>
      </c>
    </row>
    <row r="6">
      <c r="A6" s="264">
        <v>15.0</v>
      </c>
      <c r="B6" s="264" t="s">
        <v>552</v>
      </c>
      <c r="C6" s="265" t="s">
        <v>484</v>
      </c>
      <c r="D6" s="266">
        <v>45962.0</v>
      </c>
      <c r="E6" s="267">
        <v>10.91</v>
      </c>
      <c r="F6" s="268">
        <v>2.54</v>
      </c>
      <c r="G6" s="269">
        <v>1.0</v>
      </c>
    </row>
    <row r="7">
      <c r="A7" s="264">
        <v>15.0</v>
      </c>
      <c r="B7" s="264" t="s">
        <v>553</v>
      </c>
      <c r="C7" s="265" t="s">
        <v>484</v>
      </c>
      <c r="D7" s="266">
        <v>45962.0</v>
      </c>
      <c r="E7" s="267">
        <v>-2.09</v>
      </c>
      <c r="F7" s="268">
        <v>0.71</v>
      </c>
      <c r="G7" s="269">
        <v>1.0</v>
      </c>
    </row>
    <row r="8">
      <c r="A8" s="264">
        <v>15.0</v>
      </c>
      <c r="B8" s="264" t="s">
        <v>554</v>
      </c>
      <c r="C8" s="265" t="s">
        <v>484</v>
      </c>
      <c r="D8" s="266">
        <v>45962.0</v>
      </c>
      <c r="E8" s="267">
        <v>6.91</v>
      </c>
      <c r="F8" s="268">
        <v>1.97</v>
      </c>
      <c r="G8" s="269">
        <v>1.0</v>
      </c>
    </row>
    <row r="9">
      <c r="A9" s="312">
        <v>14.0</v>
      </c>
      <c r="B9" s="312" t="s">
        <v>555</v>
      </c>
      <c r="C9" s="313" t="s">
        <v>494</v>
      </c>
      <c r="D9" s="314">
        <v>45962.0</v>
      </c>
      <c r="E9" s="315">
        <v>4.96</v>
      </c>
      <c r="F9" s="316">
        <v>2.23</v>
      </c>
      <c r="G9" s="317">
        <v>1.0</v>
      </c>
    </row>
    <row r="10">
      <c r="A10" s="264">
        <v>10.0</v>
      </c>
      <c r="B10" s="264" t="s">
        <v>540</v>
      </c>
      <c r="C10" s="265" t="s">
        <v>484</v>
      </c>
      <c r="D10" s="266">
        <v>45963.0</v>
      </c>
      <c r="E10" s="267">
        <v>5.91</v>
      </c>
      <c r="F10" s="268">
        <v>1.83</v>
      </c>
      <c r="G10" s="269">
        <v>1.0</v>
      </c>
    </row>
    <row r="11">
      <c r="A11" s="264">
        <v>12.0</v>
      </c>
      <c r="B11" s="264" t="s">
        <v>541</v>
      </c>
      <c r="C11" s="265" t="s">
        <v>484</v>
      </c>
      <c r="D11" s="266">
        <v>45963.0</v>
      </c>
      <c r="E11" s="267">
        <v>8.92</v>
      </c>
      <c r="F11" s="268">
        <v>2.26</v>
      </c>
      <c r="G11" s="269">
        <v>1.0</v>
      </c>
    </row>
    <row r="12">
      <c r="A12" s="264">
        <v>12.0</v>
      </c>
      <c r="B12" s="264" t="s">
        <v>542</v>
      </c>
      <c r="C12" s="265" t="s">
        <v>484</v>
      </c>
      <c r="D12" s="266">
        <v>45963.0</v>
      </c>
      <c r="E12" s="267">
        <v>9.92</v>
      </c>
      <c r="F12" s="268">
        <v>2.4</v>
      </c>
      <c r="G12" s="269">
        <v>1.0</v>
      </c>
    </row>
    <row r="13">
      <c r="A13" s="264">
        <v>15.0</v>
      </c>
      <c r="B13" s="264" t="s">
        <v>543</v>
      </c>
      <c r="C13" s="265" t="s">
        <v>484</v>
      </c>
      <c r="D13" s="266">
        <v>45963.0</v>
      </c>
      <c r="E13" s="267">
        <v>6.91</v>
      </c>
      <c r="F13" s="268">
        <v>1.97</v>
      </c>
      <c r="G13" s="269">
        <v>1.0</v>
      </c>
    </row>
    <row r="14">
      <c r="A14" s="264">
        <v>15.0</v>
      </c>
      <c r="B14" s="264" t="s">
        <v>544</v>
      </c>
      <c r="C14" s="265" t="s">
        <v>484</v>
      </c>
      <c r="D14" s="266">
        <v>45963.0</v>
      </c>
      <c r="E14" s="267">
        <v>7.91</v>
      </c>
      <c r="F14" s="268">
        <v>2.12</v>
      </c>
      <c r="G14" s="269">
        <v>1.0</v>
      </c>
    </row>
    <row r="15">
      <c r="A15" s="264">
        <v>15.0</v>
      </c>
      <c r="B15" s="264" t="s">
        <v>545</v>
      </c>
      <c r="C15" s="265" t="s">
        <v>484</v>
      </c>
      <c r="D15" s="266">
        <v>45963.0</v>
      </c>
      <c r="E15" s="267">
        <v>6.91</v>
      </c>
      <c r="F15" s="268">
        <v>1.97</v>
      </c>
      <c r="G15" s="269">
        <v>1.0</v>
      </c>
    </row>
    <row r="16">
      <c r="A16" s="264">
        <v>15.0</v>
      </c>
      <c r="B16" s="264" t="s">
        <v>546</v>
      </c>
      <c r="C16" s="265" t="s">
        <v>484</v>
      </c>
      <c r="D16" s="266">
        <v>45963.0</v>
      </c>
      <c r="E16" s="267">
        <v>7.91</v>
      </c>
      <c r="F16" s="268">
        <v>2.12</v>
      </c>
      <c r="G16" s="269">
        <v>1.0</v>
      </c>
    </row>
    <row r="17">
      <c r="A17" s="264">
        <v>15.0</v>
      </c>
      <c r="B17" s="264" t="s">
        <v>547</v>
      </c>
      <c r="C17" s="265" t="s">
        <v>484</v>
      </c>
      <c r="D17" s="266">
        <v>45963.0</v>
      </c>
      <c r="E17" s="267">
        <v>10.91</v>
      </c>
      <c r="F17" s="268">
        <v>2.54</v>
      </c>
      <c r="G17" s="269">
        <v>1.0</v>
      </c>
    </row>
    <row r="18">
      <c r="A18" s="264">
        <v>15.0</v>
      </c>
      <c r="B18" s="264" t="s">
        <v>548</v>
      </c>
      <c r="C18" s="265" t="s">
        <v>484</v>
      </c>
      <c r="D18" s="266">
        <v>45963.0</v>
      </c>
      <c r="E18" s="267">
        <v>11.91</v>
      </c>
      <c r="F18" s="268">
        <v>2.68</v>
      </c>
      <c r="G18" s="269">
        <v>1.0</v>
      </c>
    </row>
    <row r="19">
      <c r="A19" s="252" t="s">
        <v>828</v>
      </c>
      <c r="B19" s="253"/>
      <c r="C19" s="253"/>
      <c r="D19" s="254"/>
      <c r="E19" s="282">
        <v>122.18</v>
      </c>
      <c r="F19" s="283">
        <v>2.13</v>
      </c>
      <c r="G19" s="284">
        <v>16.0</v>
      </c>
    </row>
    <row r="20">
      <c r="A20" s="285"/>
      <c r="B20" s="285"/>
      <c r="C20" s="285"/>
      <c r="D20" s="286"/>
      <c r="E20" s="287"/>
      <c r="F20" s="288"/>
      <c r="G20" s="289"/>
    </row>
    <row r="21">
      <c r="A21" s="252" t="s">
        <v>829</v>
      </c>
      <c r="B21" s="253"/>
      <c r="C21" s="253"/>
      <c r="D21" s="254"/>
      <c r="E21" s="255"/>
      <c r="F21" s="256"/>
      <c r="G21" s="257"/>
    </row>
    <row r="22">
      <c r="A22" s="276">
        <v>7.0</v>
      </c>
      <c r="B22" s="276" t="s">
        <v>529</v>
      </c>
      <c r="C22" s="277" t="s">
        <v>505</v>
      </c>
      <c r="D22" s="278">
        <v>45964.0</v>
      </c>
      <c r="E22" s="279">
        <v>5.25</v>
      </c>
      <c r="F22" s="280">
        <v>2.11</v>
      </c>
      <c r="G22" s="281">
        <v>1.0</v>
      </c>
    </row>
    <row r="23">
      <c r="A23" s="276">
        <v>7.0</v>
      </c>
      <c r="B23" s="276" t="s">
        <v>530</v>
      </c>
      <c r="C23" s="277" t="s">
        <v>505</v>
      </c>
      <c r="D23" s="278">
        <v>45964.0</v>
      </c>
      <c r="E23" s="279">
        <v>14.25</v>
      </c>
      <c r="F23" s="280">
        <v>4.0</v>
      </c>
      <c r="G23" s="281">
        <v>1.0</v>
      </c>
    </row>
    <row r="24">
      <c r="A24" s="264">
        <v>15.0</v>
      </c>
      <c r="B24" s="264" t="s">
        <v>531</v>
      </c>
      <c r="C24" s="265" t="s">
        <v>484</v>
      </c>
      <c r="D24" s="266">
        <v>45964.0</v>
      </c>
      <c r="E24" s="267">
        <v>8.11</v>
      </c>
      <c r="F24" s="268">
        <v>2.14</v>
      </c>
      <c r="G24" s="269">
        <v>1.0</v>
      </c>
    </row>
    <row r="25">
      <c r="A25" s="264">
        <v>15.0</v>
      </c>
      <c r="B25" s="264" t="s">
        <v>532</v>
      </c>
      <c r="C25" s="265" t="s">
        <v>484</v>
      </c>
      <c r="D25" s="266">
        <v>45964.0</v>
      </c>
      <c r="E25" s="267">
        <v>11.91</v>
      </c>
      <c r="F25" s="268">
        <v>2.68</v>
      </c>
      <c r="G25" s="269">
        <v>1.0</v>
      </c>
    </row>
    <row r="26">
      <c r="A26" s="264">
        <v>15.0</v>
      </c>
      <c r="B26" s="264" t="s">
        <v>533</v>
      </c>
      <c r="C26" s="265" t="s">
        <v>484</v>
      </c>
      <c r="D26" s="266">
        <v>45964.0</v>
      </c>
      <c r="E26" s="267">
        <v>11.91</v>
      </c>
      <c r="F26" s="268">
        <v>2.68</v>
      </c>
      <c r="G26" s="269">
        <v>1.0</v>
      </c>
    </row>
    <row r="27">
      <c r="A27" s="264">
        <v>15.0</v>
      </c>
      <c r="B27" s="264" t="s">
        <v>534</v>
      </c>
      <c r="C27" s="265" t="s">
        <v>484</v>
      </c>
      <c r="D27" s="266">
        <v>45964.0</v>
      </c>
      <c r="E27" s="267">
        <v>11.91</v>
      </c>
      <c r="F27" s="268">
        <v>2.68</v>
      </c>
      <c r="G27" s="269">
        <v>1.0</v>
      </c>
    </row>
    <row r="28">
      <c r="A28" s="264">
        <v>15.0</v>
      </c>
      <c r="B28" s="264" t="s">
        <v>535</v>
      </c>
      <c r="C28" s="265" t="s">
        <v>484</v>
      </c>
      <c r="D28" s="266">
        <v>45964.0</v>
      </c>
      <c r="E28" s="267">
        <v>9.16</v>
      </c>
      <c r="F28" s="268">
        <v>2.29</v>
      </c>
      <c r="G28" s="269">
        <v>1.0</v>
      </c>
    </row>
    <row r="29">
      <c r="A29" s="264">
        <v>15.0</v>
      </c>
      <c r="B29" s="264" t="s">
        <v>536</v>
      </c>
      <c r="C29" s="265" t="s">
        <v>484</v>
      </c>
      <c r="D29" s="266">
        <v>45964.0</v>
      </c>
      <c r="E29" s="267">
        <v>9.16</v>
      </c>
      <c r="F29" s="268">
        <v>2.29</v>
      </c>
      <c r="G29" s="269">
        <v>1.0</v>
      </c>
    </row>
    <row r="30">
      <c r="A30" s="264">
        <v>15.0</v>
      </c>
      <c r="B30" s="264" t="s">
        <v>537</v>
      </c>
      <c r="C30" s="265" t="s">
        <v>484</v>
      </c>
      <c r="D30" s="266">
        <v>45964.0</v>
      </c>
      <c r="E30" s="267">
        <v>8.11</v>
      </c>
      <c r="F30" s="268">
        <v>2.14</v>
      </c>
      <c r="G30" s="269">
        <v>1.0</v>
      </c>
    </row>
    <row r="31">
      <c r="A31" s="312">
        <v>14.0</v>
      </c>
      <c r="B31" s="312" t="s">
        <v>538</v>
      </c>
      <c r="C31" s="313" t="s">
        <v>494</v>
      </c>
      <c r="D31" s="314">
        <v>45964.0</v>
      </c>
      <c r="E31" s="315">
        <v>7.96</v>
      </c>
      <c r="F31" s="316">
        <v>2.97</v>
      </c>
      <c r="G31" s="317">
        <v>1.0</v>
      </c>
    </row>
    <row r="32">
      <c r="A32" s="312">
        <v>14.0</v>
      </c>
      <c r="B32" s="312" t="s">
        <v>539</v>
      </c>
      <c r="C32" s="313" t="s">
        <v>494</v>
      </c>
      <c r="D32" s="314">
        <v>45964.0</v>
      </c>
      <c r="E32" s="315">
        <v>10.96</v>
      </c>
      <c r="F32" s="316">
        <v>3.72</v>
      </c>
      <c r="G32" s="317">
        <v>1.0</v>
      </c>
    </row>
    <row r="33">
      <c r="A33" s="264">
        <v>12.0</v>
      </c>
      <c r="B33" s="264" t="s">
        <v>521</v>
      </c>
      <c r="C33" s="265" t="s">
        <v>484</v>
      </c>
      <c r="D33" s="266">
        <v>45965.0</v>
      </c>
      <c r="E33" s="267">
        <v>8.92</v>
      </c>
      <c r="F33" s="268">
        <v>2.26</v>
      </c>
      <c r="G33" s="269">
        <v>1.0</v>
      </c>
    </row>
    <row r="34">
      <c r="A34" s="264">
        <v>15.0</v>
      </c>
      <c r="B34" s="264" t="s">
        <v>522</v>
      </c>
      <c r="C34" s="265" t="s">
        <v>484</v>
      </c>
      <c r="D34" s="266">
        <v>45965.0</v>
      </c>
      <c r="E34" s="267">
        <v>9.91</v>
      </c>
      <c r="F34" s="268">
        <v>2.4</v>
      </c>
      <c r="G34" s="269">
        <v>1.0</v>
      </c>
    </row>
    <row r="35">
      <c r="A35" s="264">
        <v>15.0</v>
      </c>
      <c r="B35" s="264" t="s">
        <v>523</v>
      </c>
      <c r="C35" s="265" t="s">
        <v>484</v>
      </c>
      <c r="D35" s="266">
        <v>45965.0</v>
      </c>
      <c r="E35" s="267">
        <v>11.91</v>
      </c>
      <c r="F35" s="268">
        <v>2.68</v>
      </c>
      <c r="G35" s="269">
        <v>1.0</v>
      </c>
    </row>
    <row r="36">
      <c r="A36" s="264">
        <v>15.0</v>
      </c>
      <c r="B36" s="264" t="s">
        <v>524</v>
      </c>
      <c r="C36" s="265" t="s">
        <v>484</v>
      </c>
      <c r="D36" s="266">
        <v>45965.0</v>
      </c>
      <c r="E36" s="267">
        <v>9.11</v>
      </c>
      <c r="F36" s="268">
        <v>2.28</v>
      </c>
      <c r="G36" s="269">
        <v>1.0</v>
      </c>
    </row>
    <row r="37">
      <c r="A37" s="264">
        <v>15.0</v>
      </c>
      <c r="B37" s="264" t="s">
        <v>525</v>
      </c>
      <c r="C37" s="265" t="s">
        <v>484</v>
      </c>
      <c r="D37" s="266">
        <v>45965.0</v>
      </c>
      <c r="E37" s="267">
        <v>10.91</v>
      </c>
      <c r="F37" s="268">
        <v>2.54</v>
      </c>
      <c r="G37" s="269">
        <v>1.0</v>
      </c>
    </row>
    <row r="38">
      <c r="A38" s="264">
        <v>15.0</v>
      </c>
      <c r="B38" s="264" t="s">
        <v>526</v>
      </c>
      <c r="C38" s="265" t="s">
        <v>484</v>
      </c>
      <c r="D38" s="266">
        <v>45965.0</v>
      </c>
      <c r="E38" s="267">
        <v>15.91</v>
      </c>
      <c r="F38" s="268">
        <v>3.24</v>
      </c>
      <c r="G38" s="269">
        <v>1.0</v>
      </c>
    </row>
    <row r="39">
      <c r="A39" s="264">
        <v>15.0</v>
      </c>
      <c r="B39" s="264" t="s">
        <v>527</v>
      </c>
      <c r="C39" s="265" t="s">
        <v>484</v>
      </c>
      <c r="D39" s="266">
        <v>45965.0</v>
      </c>
      <c r="E39" s="267">
        <v>8.11</v>
      </c>
      <c r="F39" s="268">
        <v>2.14</v>
      </c>
      <c r="G39" s="269">
        <v>1.0</v>
      </c>
    </row>
    <row r="40">
      <c r="A40" s="264">
        <v>15.0</v>
      </c>
      <c r="B40" s="264" t="s">
        <v>528</v>
      </c>
      <c r="C40" s="265" t="s">
        <v>484</v>
      </c>
      <c r="D40" s="266">
        <v>45965.0</v>
      </c>
      <c r="E40" s="267">
        <v>7.91</v>
      </c>
      <c r="F40" s="268">
        <v>2.12</v>
      </c>
      <c r="G40" s="269">
        <v>1.0</v>
      </c>
    </row>
    <row r="41">
      <c r="A41" s="264">
        <v>15.0</v>
      </c>
      <c r="B41" s="264" t="s">
        <v>518</v>
      </c>
      <c r="C41" s="265" t="s">
        <v>484</v>
      </c>
      <c r="D41" s="266">
        <v>45966.0</v>
      </c>
      <c r="E41" s="267">
        <v>7.91</v>
      </c>
      <c r="F41" s="268">
        <v>2.12</v>
      </c>
      <c r="G41" s="269">
        <v>1.0</v>
      </c>
    </row>
    <row r="42">
      <c r="A42" s="264">
        <v>15.0</v>
      </c>
      <c r="B42" s="264" t="s">
        <v>519</v>
      </c>
      <c r="C42" s="265" t="s">
        <v>484</v>
      </c>
      <c r="D42" s="266">
        <v>45966.0</v>
      </c>
      <c r="E42" s="267">
        <v>8.91</v>
      </c>
      <c r="F42" s="268">
        <v>2.26</v>
      </c>
      <c r="G42" s="269">
        <v>1.0</v>
      </c>
    </row>
    <row r="43">
      <c r="A43" s="264">
        <v>15.0</v>
      </c>
      <c r="B43" s="264" t="s">
        <v>520</v>
      </c>
      <c r="C43" s="265" t="s">
        <v>484</v>
      </c>
      <c r="D43" s="266">
        <v>45966.0</v>
      </c>
      <c r="E43" s="267">
        <v>11.91</v>
      </c>
      <c r="F43" s="268">
        <v>2.68</v>
      </c>
      <c r="G43" s="269">
        <v>1.0</v>
      </c>
    </row>
    <row r="44">
      <c r="A44" s="258">
        <v>1.0</v>
      </c>
      <c r="B44" s="258" t="s">
        <v>513</v>
      </c>
      <c r="C44" s="259" t="s">
        <v>22</v>
      </c>
      <c r="D44" s="260">
        <v>45967.0</v>
      </c>
      <c r="E44" s="261">
        <v>-31.56</v>
      </c>
      <c r="F44" s="262">
        <v>0.34</v>
      </c>
      <c r="G44" s="263">
        <v>1.0</v>
      </c>
    </row>
    <row r="45">
      <c r="A45" s="264">
        <v>15.0</v>
      </c>
      <c r="B45" s="264" t="s">
        <v>514</v>
      </c>
      <c r="C45" s="265" t="s">
        <v>484</v>
      </c>
      <c r="D45" s="266">
        <v>45967.0</v>
      </c>
      <c r="E45" s="267">
        <v>12.91</v>
      </c>
      <c r="F45" s="268">
        <v>2.82</v>
      </c>
      <c r="G45" s="269">
        <v>1.0</v>
      </c>
    </row>
    <row r="46">
      <c r="A46" s="264">
        <v>15.0</v>
      </c>
      <c r="B46" s="264" t="s">
        <v>515</v>
      </c>
      <c r="C46" s="265" t="s">
        <v>484</v>
      </c>
      <c r="D46" s="266">
        <v>45967.0</v>
      </c>
      <c r="E46" s="267">
        <v>6.91</v>
      </c>
      <c r="F46" s="268">
        <v>1.97</v>
      </c>
      <c r="G46" s="269">
        <v>1.0</v>
      </c>
    </row>
    <row r="47">
      <c r="A47" s="264">
        <v>15.0</v>
      </c>
      <c r="B47" s="264" t="s">
        <v>516</v>
      </c>
      <c r="C47" s="265" t="s">
        <v>484</v>
      </c>
      <c r="D47" s="266">
        <v>45967.0</v>
      </c>
      <c r="E47" s="267">
        <v>15.91</v>
      </c>
      <c r="F47" s="268">
        <v>3.24</v>
      </c>
      <c r="G47" s="269">
        <v>1.0</v>
      </c>
    </row>
    <row r="48">
      <c r="A48" s="264">
        <v>15.0</v>
      </c>
      <c r="B48" s="264" t="s">
        <v>517</v>
      </c>
      <c r="C48" s="265" t="s">
        <v>484</v>
      </c>
      <c r="D48" s="266">
        <v>45967.0</v>
      </c>
      <c r="E48" s="267">
        <v>7.91</v>
      </c>
      <c r="F48" s="268">
        <v>2.12</v>
      </c>
      <c r="G48" s="269">
        <v>1.0</v>
      </c>
    </row>
    <row r="49">
      <c r="A49" s="276">
        <v>7.0</v>
      </c>
      <c r="B49" s="276" t="s">
        <v>506</v>
      </c>
      <c r="C49" s="277" t="s">
        <v>505</v>
      </c>
      <c r="D49" s="278">
        <v>45968.0</v>
      </c>
      <c r="E49" s="279">
        <v>6.25</v>
      </c>
      <c r="F49" s="280">
        <v>2.32</v>
      </c>
      <c r="G49" s="281">
        <v>1.0</v>
      </c>
    </row>
    <row r="50">
      <c r="A50" s="264">
        <v>15.0</v>
      </c>
      <c r="B50" s="264" t="s">
        <v>507</v>
      </c>
      <c r="C50" s="265" t="s">
        <v>484</v>
      </c>
      <c r="D50" s="266">
        <v>45968.0</v>
      </c>
      <c r="E50" s="267">
        <v>9.16</v>
      </c>
      <c r="F50" s="268">
        <v>2.29</v>
      </c>
      <c r="G50" s="269">
        <v>1.0</v>
      </c>
    </row>
    <row r="51">
      <c r="A51" s="264">
        <v>15.0</v>
      </c>
      <c r="B51" s="264" t="s">
        <v>508</v>
      </c>
      <c r="C51" s="265" t="s">
        <v>484</v>
      </c>
      <c r="D51" s="266">
        <v>45968.0</v>
      </c>
      <c r="E51" s="267">
        <v>9.11</v>
      </c>
      <c r="F51" s="268">
        <v>2.28</v>
      </c>
      <c r="G51" s="269">
        <v>1.0</v>
      </c>
    </row>
    <row r="52">
      <c r="A52" s="264">
        <v>15.0</v>
      </c>
      <c r="B52" s="264" t="s">
        <v>509</v>
      </c>
      <c r="C52" s="265" t="s">
        <v>484</v>
      </c>
      <c r="D52" s="266">
        <v>45968.0</v>
      </c>
      <c r="E52" s="267">
        <v>7.91</v>
      </c>
      <c r="F52" s="268">
        <v>2.12</v>
      </c>
      <c r="G52" s="269">
        <v>1.0</v>
      </c>
    </row>
    <row r="53">
      <c r="A53" s="264">
        <v>15.0</v>
      </c>
      <c r="B53" s="264" t="s">
        <v>510</v>
      </c>
      <c r="C53" s="265" t="s">
        <v>484</v>
      </c>
      <c r="D53" s="266">
        <v>45968.0</v>
      </c>
      <c r="E53" s="267">
        <v>9.16</v>
      </c>
      <c r="F53" s="268">
        <v>2.29</v>
      </c>
      <c r="G53" s="269">
        <v>1.0</v>
      </c>
    </row>
    <row r="54">
      <c r="A54" s="264">
        <v>15.0</v>
      </c>
      <c r="B54" s="264" t="s">
        <v>511</v>
      </c>
      <c r="C54" s="265" t="s">
        <v>484</v>
      </c>
      <c r="D54" s="266">
        <v>45968.0</v>
      </c>
      <c r="E54" s="267">
        <v>8.91</v>
      </c>
      <c r="F54" s="268">
        <v>2.26</v>
      </c>
      <c r="G54" s="269">
        <v>1.0</v>
      </c>
    </row>
    <row r="55">
      <c r="A55" s="312">
        <v>14.0</v>
      </c>
      <c r="B55" s="312" t="s">
        <v>512</v>
      </c>
      <c r="C55" s="313" t="s">
        <v>494</v>
      </c>
      <c r="D55" s="314">
        <v>45968.0</v>
      </c>
      <c r="E55" s="315">
        <v>9.86</v>
      </c>
      <c r="F55" s="316">
        <v>3.44</v>
      </c>
      <c r="G55" s="317">
        <v>1.0</v>
      </c>
    </row>
    <row r="56">
      <c r="A56" s="264">
        <v>10.0</v>
      </c>
      <c r="B56" s="264" t="s">
        <v>496</v>
      </c>
      <c r="C56" s="265" t="s">
        <v>484</v>
      </c>
      <c r="D56" s="266">
        <v>45969.0</v>
      </c>
      <c r="E56" s="267">
        <v>7.91</v>
      </c>
      <c r="F56" s="268">
        <v>2.12</v>
      </c>
      <c r="G56" s="269">
        <v>1.0</v>
      </c>
    </row>
    <row r="57">
      <c r="A57" s="264">
        <v>15.0</v>
      </c>
      <c r="B57" s="264" t="s">
        <v>497</v>
      </c>
      <c r="C57" s="265" t="s">
        <v>484</v>
      </c>
      <c r="D57" s="266">
        <v>45969.0</v>
      </c>
      <c r="E57" s="267">
        <v>7.91</v>
      </c>
      <c r="F57" s="268">
        <v>2.12</v>
      </c>
      <c r="G57" s="269">
        <v>1.0</v>
      </c>
    </row>
    <row r="58">
      <c r="A58" s="264">
        <v>15.0</v>
      </c>
      <c r="B58" s="264" t="s">
        <v>498</v>
      </c>
      <c r="C58" s="265" t="s">
        <v>484</v>
      </c>
      <c r="D58" s="266">
        <v>45969.0</v>
      </c>
      <c r="E58" s="267">
        <v>12.91</v>
      </c>
      <c r="F58" s="268">
        <v>2.82</v>
      </c>
      <c r="G58" s="269">
        <v>1.0</v>
      </c>
    </row>
    <row r="59">
      <c r="A59" s="264">
        <v>15.0</v>
      </c>
      <c r="B59" s="264" t="s">
        <v>499</v>
      </c>
      <c r="C59" s="265" t="s">
        <v>484</v>
      </c>
      <c r="D59" s="266">
        <v>45969.0</v>
      </c>
      <c r="E59" s="267">
        <v>7.31</v>
      </c>
      <c r="F59" s="268">
        <v>2.03</v>
      </c>
      <c r="G59" s="269">
        <v>1.0</v>
      </c>
    </row>
    <row r="60">
      <c r="A60" s="264">
        <v>15.0</v>
      </c>
      <c r="B60" s="264" t="s">
        <v>500</v>
      </c>
      <c r="C60" s="265" t="s">
        <v>484</v>
      </c>
      <c r="D60" s="266">
        <v>45969.0</v>
      </c>
      <c r="E60" s="267">
        <v>10.91</v>
      </c>
      <c r="F60" s="268">
        <v>2.54</v>
      </c>
      <c r="G60" s="269">
        <v>1.0</v>
      </c>
    </row>
    <row r="61">
      <c r="A61" s="264">
        <v>15.0</v>
      </c>
      <c r="B61" s="264" t="s">
        <v>501</v>
      </c>
      <c r="C61" s="265" t="s">
        <v>484</v>
      </c>
      <c r="D61" s="266">
        <v>45969.0</v>
      </c>
      <c r="E61" s="267">
        <v>10.91</v>
      </c>
      <c r="F61" s="268">
        <v>2.54</v>
      </c>
      <c r="G61" s="269">
        <v>1.0</v>
      </c>
    </row>
    <row r="62">
      <c r="A62" s="264">
        <v>15.0</v>
      </c>
      <c r="B62" s="264" t="s">
        <v>502</v>
      </c>
      <c r="C62" s="265" t="s">
        <v>484</v>
      </c>
      <c r="D62" s="266">
        <v>45969.0</v>
      </c>
      <c r="E62" s="267">
        <v>10.41</v>
      </c>
      <c r="F62" s="268">
        <v>2.47</v>
      </c>
      <c r="G62" s="269">
        <v>1.0</v>
      </c>
    </row>
    <row r="63">
      <c r="A63" s="264">
        <v>15.0</v>
      </c>
      <c r="B63" s="264" t="s">
        <v>503</v>
      </c>
      <c r="C63" s="265" t="s">
        <v>484</v>
      </c>
      <c r="D63" s="266">
        <v>45969.0</v>
      </c>
      <c r="E63" s="267">
        <v>10.91</v>
      </c>
      <c r="F63" s="268">
        <v>2.54</v>
      </c>
      <c r="G63" s="269">
        <v>1.0</v>
      </c>
    </row>
    <row r="64">
      <c r="A64" s="264">
        <v>15.0</v>
      </c>
      <c r="B64" s="264" t="s">
        <v>504</v>
      </c>
      <c r="C64" s="265" t="s">
        <v>484</v>
      </c>
      <c r="D64" s="266">
        <v>45969.0</v>
      </c>
      <c r="E64" s="267">
        <v>10.41</v>
      </c>
      <c r="F64" s="268">
        <v>2.47</v>
      </c>
      <c r="G64" s="269">
        <v>1.0</v>
      </c>
    </row>
    <row r="65">
      <c r="A65" s="264">
        <v>12.0</v>
      </c>
      <c r="B65" s="264" t="s">
        <v>485</v>
      </c>
      <c r="C65" s="265" t="s">
        <v>484</v>
      </c>
      <c r="D65" s="266">
        <v>45970.0</v>
      </c>
      <c r="E65" s="267">
        <v>9.92</v>
      </c>
      <c r="F65" s="268">
        <v>2.4</v>
      </c>
      <c r="G65" s="269">
        <v>1.0</v>
      </c>
    </row>
    <row r="66">
      <c r="A66" s="264">
        <v>12.0</v>
      </c>
      <c r="B66" s="264" t="s">
        <v>486</v>
      </c>
      <c r="C66" s="265" t="s">
        <v>484</v>
      </c>
      <c r="D66" s="266">
        <v>45970.0</v>
      </c>
      <c r="E66" s="267">
        <v>10.92</v>
      </c>
      <c r="F66" s="268">
        <v>2.54</v>
      </c>
      <c r="G66" s="269">
        <v>1.0</v>
      </c>
    </row>
    <row r="67">
      <c r="A67" s="264">
        <v>15.0</v>
      </c>
      <c r="B67" s="264" t="s">
        <v>487</v>
      </c>
      <c r="C67" s="265" t="s">
        <v>484</v>
      </c>
      <c r="D67" s="266">
        <v>45970.0</v>
      </c>
      <c r="E67" s="267">
        <v>7.91</v>
      </c>
      <c r="F67" s="268">
        <v>2.12</v>
      </c>
      <c r="G67" s="269">
        <v>1.0</v>
      </c>
    </row>
    <row r="68">
      <c r="A68" s="264">
        <v>15.0</v>
      </c>
      <c r="B68" s="264" t="s">
        <v>488</v>
      </c>
      <c r="C68" s="265" t="s">
        <v>484</v>
      </c>
      <c r="D68" s="266">
        <v>45970.0</v>
      </c>
      <c r="E68" s="267">
        <v>6.91</v>
      </c>
      <c r="F68" s="268">
        <v>1.97</v>
      </c>
      <c r="G68" s="269">
        <v>1.0</v>
      </c>
    </row>
    <row r="69">
      <c r="A69" s="264">
        <v>15.0</v>
      </c>
      <c r="B69" s="264" t="s">
        <v>489</v>
      </c>
      <c r="C69" s="265" t="s">
        <v>484</v>
      </c>
      <c r="D69" s="266">
        <v>45970.0</v>
      </c>
      <c r="E69" s="267">
        <v>7.91</v>
      </c>
      <c r="F69" s="268">
        <v>2.12</v>
      </c>
      <c r="G69" s="269">
        <v>1.0</v>
      </c>
    </row>
    <row r="70">
      <c r="A70" s="264">
        <v>15.0</v>
      </c>
      <c r="B70" s="264" t="s">
        <v>490</v>
      </c>
      <c r="C70" s="265" t="s">
        <v>484</v>
      </c>
      <c r="D70" s="266">
        <v>45970.0</v>
      </c>
      <c r="E70" s="267">
        <v>7.91</v>
      </c>
      <c r="F70" s="268">
        <v>2.12</v>
      </c>
      <c r="G70" s="269">
        <v>1.0</v>
      </c>
    </row>
    <row r="71">
      <c r="A71" s="264">
        <v>15.0</v>
      </c>
      <c r="B71" s="264" t="s">
        <v>491</v>
      </c>
      <c r="C71" s="265" t="s">
        <v>484</v>
      </c>
      <c r="D71" s="266">
        <v>45970.0</v>
      </c>
      <c r="E71" s="267">
        <v>6.41</v>
      </c>
      <c r="F71" s="268">
        <v>1.9</v>
      </c>
      <c r="G71" s="269">
        <v>1.0</v>
      </c>
    </row>
    <row r="72">
      <c r="A72" s="264">
        <v>15.0</v>
      </c>
      <c r="B72" s="264" t="s">
        <v>492</v>
      </c>
      <c r="C72" s="265" t="s">
        <v>484</v>
      </c>
      <c r="D72" s="266">
        <v>45970.0</v>
      </c>
      <c r="E72" s="267">
        <v>6.41</v>
      </c>
      <c r="F72" s="268">
        <v>1.9</v>
      </c>
      <c r="G72" s="269">
        <v>1.0</v>
      </c>
    </row>
    <row r="73">
      <c r="A73" s="264">
        <v>15.0</v>
      </c>
      <c r="B73" s="264" t="s">
        <v>493</v>
      </c>
      <c r="C73" s="265" t="s">
        <v>484</v>
      </c>
      <c r="D73" s="266">
        <v>45970.0</v>
      </c>
      <c r="E73" s="267">
        <v>9.91</v>
      </c>
      <c r="F73" s="268">
        <v>2.4</v>
      </c>
      <c r="G73" s="269">
        <v>1.0</v>
      </c>
    </row>
    <row r="74">
      <c r="A74" s="312">
        <v>14.0</v>
      </c>
      <c r="B74" s="312" t="s">
        <v>495</v>
      </c>
      <c r="C74" s="313" t="s">
        <v>494</v>
      </c>
      <c r="D74" s="314">
        <v>45970.0</v>
      </c>
      <c r="E74" s="315">
        <v>9.96</v>
      </c>
      <c r="F74" s="316">
        <v>3.47</v>
      </c>
      <c r="G74" s="317">
        <v>1.0</v>
      </c>
    </row>
    <row r="75">
      <c r="A75" s="252" t="s">
        <v>830</v>
      </c>
      <c r="B75" s="253"/>
      <c r="C75" s="253"/>
      <c r="D75" s="254"/>
      <c r="E75" s="282">
        <v>466.31</v>
      </c>
      <c r="F75" s="283">
        <v>2.42</v>
      </c>
      <c r="G75" s="284">
        <v>53.0</v>
      </c>
    </row>
    <row r="76">
      <c r="A76" s="285"/>
      <c r="B76" s="285"/>
      <c r="C76" s="285"/>
      <c r="D76" s="286"/>
      <c r="E76" s="287"/>
      <c r="F76" s="288"/>
      <c r="G76" s="289"/>
    </row>
    <row r="77">
      <c r="A77" s="252" t="s">
        <v>831</v>
      </c>
      <c r="B77" s="253"/>
      <c r="C77" s="253"/>
      <c r="D77" s="254"/>
      <c r="E77" s="255"/>
      <c r="F77" s="256"/>
      <c r="G77" s="257"/>
    </row>
    <row r="78">
      <c r="A78" s="264">
        <v>15.0</v>
      </c>
      <c r="B78" s="264" t="s">
        <v>483</v>
      </c>
      <c r="C78" s="265" t="s">
        <v>179</v>
      </c>
      <c r="D78" s="266">
        <v>45971.0</v>
      </c>
      <c r="E78" s="267">
        <v>10.91</v>
      </c>
      <c r="F78" s="268">
        <v>2.54</v>
      </c>
      <c r="G78" s="269">
        <v>1.0</v>
      </c>
    </row>
    <row r="79">
      <c r="A79" s="264">
        <v>10.0</v>
      </c>
      <c r="B79" s="264" t="s">
        <v>470</v>
      </c>
      <c r="C79" s="265" t="s">
        <v>179</v>
      </c>
      <c r="D79" s="266">
        <v>45973.0</v>
      </c>
      <c r="E79" s="267">
        <v>9.06</v>
      </c>
      <c r="F79" s="268">
        <v>2.28</v>
      </c>
      <c r="G79" s="269">
        <v>1.0</v>
      </c>
    </row>
    <row r="80">
      <c r="A80" s="264">
        <v>12.0</v>
      </c>
      <c r="B80" s="264" t="s">
        <v>472</v>
      </c>
      <c r="C80" s="265" t="s">
        <v>179</v>
      </c>
      <c r="D80" s="266">
        <v>45973.0</v>
      </c>
      <c r="E80" s="267">
        <v>9.07</v>
      </c>
      <c r="F80" s="268">
        <v>2.28</v>
      </c>
      <c r="G80" s="269">
        <v>1.0</v>
      </c>
    </row>
    <row r="81">
      <c r="A81" s="264">
        <v>12.0</v>
      </c>
      <c r="B81" s="264" t="s">
        <v>473</v>
      </c>
      <c r="C81" s="265" t="s">
        <v>179</v>
      </c>
      <c r="D81" s="266">
        <v>45973.0</v>
      </c>
      <c r="E81" s="267">
        <v>8.92</v>
      </c>
      <c r="F81" s="268">
        <v>2.26</v>
      </c>
      <c r="G81" s="269">
        <v>1.0</v>
      </c>
    </row>
    <row r="82">
      <c r="A82" s="312">
        <v>14.0</v>
      </c>
      <c r="B82" s="312" t="s">
        <v>474</v>
      </c>
      <c r="C82" s="313" t="s">
        <v>260</v>
      </c>
      <c r="D82" s="314">
        <v>45973.0</v>
      </c>
      <c r="E82" s="315">
        <v>4.46</v>
      </c>
      <c r="F82" s="316">
        <v>2.11</v>
      </c>
      <c r="G82" s="317">
        <v>1.0</v>
      </c>
    </row>
    <row r="83">
      <c r="A83" s="312">
        <v>14.0</v>
      </c>
      <c r="B83" s="312" t="s">
        <v>476</v>
      </c>
      <c r="C83" s="313" t="s">
        <v>260</v>
      </c>
      <c r="D83" s="314">
        <v>45973.0</v>
      </c>
      <c r="E83" s="315">
        <v>4.46</v>
      </c>
      <c r="F83" s="316">
        <v>2.11</v>
      </c>
      <c r="G83" s="317">
        <v>1.0</v>
      </c>
    </row>
    <row r="84">
      <c r="A84" s="312">
        <v>14.0</v>
      </c>
      <c r="B84" s="312" t="s">
        <v>477</v>
      </c>
      <c r="C84" s="313" t="s">
        <v>260</v>
      </c>
      <c r="D84" s="314">
        <v>45973.0</v>
      </c>
      <c r="E84" s="315">
        <v>4.46</v>
      </c>
      <c r="F84" s="316">
        <v>2.1</v>
      </c>
      <c r="G84" s="317">
        <v>1.0</v>
      </c>
    </row>
    <row r="85">
      <c r="A85" s="264">
        <v>15.0</v>
      </c>
      <c r="B85" s="264" t="s">
        <v>478</v>
      </c>
      <c r="C85" s="265" t="s">
        <v>179</v>
      </c>
      <c r="D85" s="266">
        <v>45973.0</v>
      </c>
      <c r="E85" s="267">
        <v>9.91</v>
      </c>
      <c r="F85" s="268">
        <v>2.4</v>
      </c>
      <c r="G85" s="269">
        <v>1.0</v>
      </c>
    </row>
    <row r="86">
      <c r="A86" s="264">
        <v>15.0</v>
      </c>
      <c r="B86" s="264" t="s">
        <v>479</v>
      </c>
      <c r="C86" s="265" t="s">
        <v>179</v>
      </c>
      <c r="D86" s="266">
        <v>45973.0</v>
      </c>
      <c r="E86" s="267">
        <v>11.91</v>
      </c>
      <c r="F86" s="268">
        <v>2.68</v>
      </c>
      <c r="G86" s="269">
        <v>1.0</v>
      </c>
    </row>
    <row r="87">
      <c r="A87" s="264">
        <v>15.0</v>
      </c>
      <c r="B87" s="264" t="s">
        <v>480</v>
      </c>
      <c r="C87" s="265" t="s">
        <v>179</v>
      </c>
      <c r="D87" s="266">
        <v>45973.0</v>
      </c>
      <c r="E87" s="267">
        <v>10.91</v>
      </c>
      <c r="F87" s="268">
        <v>2.54</v>
      </c>
      <c r="G87" s="269">
        <v>1.0</v>
      </c>
    </row>
    <row r="88">
      <c r="A88" s="264">
        <v>15.0</v>
      </c>
      <c r="B88" s="264" t="s">
        <v>481</v>
      </c>
      <c r="C88" s="265" t="s">
        <v>179</v>
      </c>
      <c r="D88" s="266">
        <v>45973.0</v>
      </c>
      <c r="E88" s="267">
        <v>7.91</v>
      </c>
      <c r="F88" s="268">
        <v>2.11</v>
      </c>
      <c r="G88" s="269">
        <v>1.0</v>
      </c>
    </row>
    <row r="89">
      <c r="A89" s="264">
        <v>15.0</v>
      </c>
      <c r="B89" s="264" t="s">
        <v>482</v>
      </c>
      <c r="C89" s="265" t="s">
        <v>179</v>
      </c>
      <c r="D89" s="266">
        <v>45973.0</v>
      </c>
      <c r="E89" s="267">
        <v>11.9</v>
      </c>
      <c r="F89" s="268">
        <v>2.68</v>
      </c>
      <c r="G89" s="269">
        <v>1.0</v>
      </c>
    </row>
    <row r="90">
      <c r="A90" s="252" t="s">
        <v>832</v>
      </c>
      <c r="B90" s="253"/>
      <c r="C90" s="253"/>
      <c r="D90" s="254"/>
      <c r="E90" s="282">
        <v>103.88</v>
      </c>
      <c r="F90" s="283">
        <v>2.34</v>
      </c>
      <c r="G90" s="284">
        <v>12.0</v>
      </c>
    </row>
    <row r="91">
      <c r="A91" s="285"/>
      <c r="B91" s="285"/>
      <c r="C91" s="285"/>
      <c r="D91" s="286"/>
      <c r="E91" s="287"/>
      <c r="F91" s="288"/>
      <c r="G91" s="289"/>
    </row>
    <row r="92">
      <c r="A92" s="252" t="s">
        <v>833</v>
      </c>
      <c r="B92" s="253"/>
      <c r="C92" s="253"/>
      <c r="D92" s="254"/>
      <c r="E92" s="255"/>
      <c r="F92" s="256"/>
      <c r="G92" s="257"/>
    </row>
    <row r="93">
      <c r="A93" s="252" t="s">
        <v>834</v>
      </c>
      <c r="B93" s="253"/>
      <c r="C93" s="253"/>
      <c r="D93" s="254"/>
      <c r="E93" s="255"/>
      <c r="F93" s="256"/>
      <c r="G93" s="257"/>
    </row>
    <row r="94">
      <c r="A94" s="285"/>
      <c r="B94" s="285"/>
      <c r="C94" s="285"/>
      <c r="D94" s="286"/>
      <c r="E94" s="287"/>
      <c r="F94" s="288"/>
      <c r="G94" s="289"/>
    </row>
    <row r="95">
      <c r="A95" s="252" t="s">
        <v>835</v>
      </c>
      <c r="B95" s="253"/>
      <c r="C95" s="253"/>
      <c r="D95" s="254"/>
      <c r="E95" s="255"/>
      <c r="F95" s="256"/>
      <c r="G95" s="257"/>
    </row>
    <row r="96">
      <c r="A96" s="252" t="s">
        <v>836</v>
      </c>
      <c r="B96" s="253"/>
      <c r="C96" s="253"/>
      <c r="D96" s="254"/>
      <c r="E96" s="255"/>
      <c r="F96" s="256"/>
      <c r="G96" s="257"/>
    </row>
    <row r="97">
      <c r="A97" s="285"/>
      <c r="B97" s="285"/>
      <c r="C97" s="285"/>
      <c r="D97" s="286"/>
      <c r="E97" s="287"/>
      <c r="F97" s="288"/>
      <c r="G97" s="289"/>
    </row>
    <row r="98">
      <c r="A98" s="302" t="s">
        <v>815</v>
      </c>
      <c r="B98" s="303"/>
      <c r="C98" s="303"/>
      <c r="D98" s="304"/>
      <c r="E98" s="305">
        <v>692.37</v>
      </c>
      <c r="F98" s="306">
        <v>2.35</v>
      </c>
      <c r="G98" s="307">
        <v>81.0</v>
      </c>
    </row>
    <row r="99">
      <c r="D99" s="308"/>
      <c r="E99" s="309"/>
      <c r="F99" s="310"/>
      <c r="G99" s="311"/>
    </row>
    <row r="100">
      <c r="D100" s="308"/>
      <c r="E100" s="309"/>
      <c r="F100" s="310"/>
      <c r="G100" s="311"/>
    </row>
    <row r="101">
      <c r="D101" s="308"/>
      <c r="E101" s="309"/>
      <c r="F101" s="310"/>
      <c r="G101" s="311"/>
    </row>
    <row r="102">
      <c r="D102" s="308"/>
      <c r="E102" s="309"/>
      <c r="F102" s="310"/>
      <c r="G102" s="311"/>
    </row>
    <row r="103">
      <c r="D103" s="308"/>
      <c r="E103" s="309"/>
      <c r="F103" s="310"/>
      <c r="G103" s="311"/>
    </row>
    <row r="104">
      <c r="D104" s="308"/>
      <c r="E104" s="309"/>
      <c r="F104" s="310"/>
      <c r="G104" s="311"/>
    </row>
    <row r="105">
      <c r="D105" s="308"/>
      <c r="E105" s="309"/>
      <c r="F105" s="310"/>
      <c r="G105" s="311"/>
    </row>
    <row r="106">
      <c r="D106" s="308"/>
      <c r="E106" s="309"/>
      <c r="F106" s="310"/>
      <c r="G106" s="311"/>
    </row>
    <row r="107">
      <c r="D107" s="308"/>
      <c r="E107" s="309"/>
      <c r="F107" s="310"/>
      <c r="G107" s="311"/>
    </row>
    <row r="108">
      <c r="D108" s="308"/>
      <c r="E108" s="309"/>
      <c r="F108" s="310"/>
      <c r="G108" s="311"/>
    </row>
    <row r="109">
      <c r="D109" s="308"/>
      <c r="E109" s="309"/>
      <c r="F109" s="310"/>
      <c r="G109" s="311"/>
    </row>
    <row r="110">
      <c r="D110" s="308"/>
      <c r="E110" s="309"/>
      <c r="F110" s="310"/>
      <c r="G110" s="311"/>
    </row>
    <row r="111">
      <c r="D111" s="308"/>
      <c r="E111" s="309"/>
      <c r="F111" s="310"/>
      <c r="G111" s="311"/>
    </row>
    <row r="112">
      <c r="D112" s="308"/>
      <c r="E112" s="309"/>
      <c r="F112" s="310"/>
      <c r="G112" s="311"/>
    </row>
    <row r="113">
      <c r="D113" s="308"/>
      <c r="E113" s="309"/>
      <c r="F113" s="310"/>
      <c r="G113" s="311"/>
    </row>
    <row r="114">
      <c r="D114" s="308"/>
      <c r="E114" s="309"/>
      <c r="F114" s="310"/>
      <c r="G114" s="311"/>
    </row>
    <row r="115">
      <c r="D115" s="308"/>
      <c r="E115" s="309"/>
      <c r="F115" s="310"/>
      <c r="G115" s="311"/>
    </row>
    <row r="116">
      <c r="D116" s="308"/>
      <c r="E116" s="309"/>
      <c r="F116" s="310"/>
      <c r="G116" s="311"/>
    </row>
    <row r="117">
      <c r="D117" s="308"/>
      <c r="E117" s="309"/>
      <c r="F117" s="310"/>
      <c r="G117" s="311"/>
    </row>
    <row r="118">
      <c r="D118" s="308"/>
      <c r="E118" s="309"/>
      <c r="F118" s="310"/>
      <c r="G118" s="311"/>
    </row>
    <row r="119">
      <c r="D119" s="308"/>
      <c r="E119" s="309"/>
      <c r="F119" s="310"/>
      <c r="G119" s="311"/>
    </row>
    <row r="120">
      <c r="D120" s="308"/>
      <c r="E120" s="309"/>
      <c r="F120" s="310"/>
      <c r="G120" s="311"/>
    </row>
    <row r="121">
      <c r="D121" s="308"/>
      <c r="E121" s="309"/>
      <c r="F121" s="310"/>
      <c r="G121" s="311"/>
    </row>
    <row r="122">
      <c r="D122" s="308"/>
      <c r="E122" s="309"/>
      <c r="F122" s="310"/>
      <c r="G122" s="311"/>
    </row>
    <row r="123">
      <c r="D123" s="308"/>
      <c r="E123" s="309"/>
      <c r="F123" s="310"/>
      <c r="G123" s="311"/>
    </row>
    <row r="124">
      <c r="D124" s="308"/>
      <c r="E124" s="309"/>
      <c r="F124" s="310"/>
      <c r="G124" s="311"/>
    </row>
    <row r="125">
      <c r="D125" s="308"/>
      <c r="E125" s="309"/>
      <c r="F125" s="310"/>
      <c r="G125" s="311"/>
    </row>
    <row r="126">
      <c r="D126" s="308"/>
      <c r="E126" s="309"/>
      <c r="F126" s="310"/>
      <c r="G126" s="311"/>
    </row>
    <row r="127">
      <c r="D127" s="308"/>
      <c r="E127" s="309"/>
      <c r="F127" s="310"/>
      <c r="G127" s="311"/>
    </row>
    <row r="128">
      <c r="D128" s="308"/>
      <c r="E128" s="309"/>
      <c r="F128" s="310"/>
      <c r="G128" s="311"/>
    </row>
    <row r="129">
      <c r="D129" s="308"/>
      <c r="E129" s="309"/>
      <c r="F129" s="310"/>
      <c r="G129" s="311"/>
    </row>
    <row r="130">
      <c r="D130" s="308"/>
      <c r="E130" s="309"/>
      <c r="F130" s="310"/>
      <c r="G130" s="311"/>
    </row>
    <row r="131">
      <c r="D131" s="308"/>
      <c r="E131" s="309"/>
      <c r="F131" s="310"/>
      <c r="G131" s="311"/>
    </row>
    <row r="132">
      <c r="D132" s="308"/>
      <c r="E132" s="309"/>
      <c r="F132" s="310"/>
      <c r="G132" s="311"/>
    </row>
    <row r="133">
      <c r="D133" s="308"/>
      <c r="E133" s="309"/>
      <c r="F133" s="310"/>
      <c r="G133" s="311"/>
    </row>
    <row r="134">
      <c r="D134" s="308"/>
      <c r="E134" s="309"/>
      <c r="F134" s="310"/>
      <c r="G134" s="311"/>
    </row>
    <row r="135">
      <c r="D135" s="308"/>
      <c r="E135" s="309"/>
      <c r="F135" s="310"/>
      <c r="G135" s="311"/>
    </row>
    <row r="136">
      <c r="D136" s="308"/>
      <c r="E136" s="309"/>
      <c r="F136" s="310"/>
      <c r="G136" s="311"/>
    </row>
    <row r="137">
      <c r="D137" s="308"/>
      <c r="E137" s="309"/>
      <c r="F137" s="310"/>
      <c r="G137" s="311"/>
    </row>
    <row r="138">
      <c r="D138" s="308"/>
      <c r="E138" s="309"/>
      <c r="F138" s="310"/>
      <c r="G138" s="311"/>
    </row>
    <row r="139">
      <c r="D139" s="308"/>
      <c r="E139" s="309"/>
      <c r="F139" s="310"/>
      <c r="G139" s="311"/>
    </row>
    <row r="140">
      <c r="D140" s="308"/>
      <c r="E140" s="309"/>
      <c r="F140" s="310"/>
      <c r="G140" s="311"/>
    </row>
    <row r="141">
      <c r="D141" s="308"/>
      <c r="E141" s="309"/>
      <c r="F141" s="310"/>
      <c r="G141" s="311"/>
    </row>
    <row r="142">
      <c r="D142" s="308"/>
      <c r="E142" s="309"/>
      <c r="F142" s="310"/>
      <c r="G142" s="311"/>
    </row>
    <row r="143">
      <c r="D143" s="308"/>
      <c r="E143" s="309"/>
      <c r="F143" s="310"/>
      <c r="G143" s="311"/>
    </row>
    <row r="144">
      <c r="D144" s="308"/>
      <c r="E144" s="309"/>
      <c r="F144" s="310"/>
      <c r="G144" s="311"/>
    </row>
    <row r="145">
      <c r="D145" s="308"/>
      <c r="E145" s="309"/>
      <c r="F145" s="310"/>
      <c r="G145" s="311"/>
    </row>
    <row r="146">
      <c r="D146" s="308"/>
      <c r="E146" s="309"/>
      <c r="F146" s="310"/>
      <c r="G146" s="311"/>
    </row>
    <row r="147">
      <c r="D147" s="308"/>
      <c r="E147" s="309"/>
      <c r="F147" s="310"/>
      <c r="G147" s="311"/>
    </row>
    <row r="148">
      <c r="D148" s="308"/>
      <c r="E148" s="309"/>
      <c r="F148" s="310"/>
      <c r="G148" s="311"/>
    </row>
    <row r="149">
      <c r="D149" s="308"/>
      <c r="E149" s="309"/>
      <c r="F149" s="310"/>
      <c r="G149" s="311"/>
    </row>
    <row r="150">
      <c r="D150" s="308"/>
      <c r="E150" s="309"/>
      <c r="F150" s="310"/>
      <c r="G150" s="311"/>
    </row>
    <row r="151">
      <c r="D151" s="308"/>
      <c r="E151" s="309"/>
      <c r="F151" s="310"/>
      <c r="G151" s="311"/>
    </row>
    <row r="152">
      <c r="D152" s="308"/>
      <c r="E152" s="309"/>
      <c r="F152" s="310"/>
      <c r="G152" s="311"/>
    </row>
    <row r="153">
      <c r="D153" s="308"/>
      <c r="E153" s="309"/>
      <c r="F153" s="310"/>
      <c r="G153" s="311"/>
    </row>
    <row r="154">
      <c r="D154" s="308"/>
      <c r="E154" s="309"/>
      <c r="F154" s="310"/>
      <c r="G154" s="311"/>
    </row>
    <row r="155">
      <c r="D155" s="308"/>
      <c r="E155" s="309"/>
      <c r="F155" s="310"/>
      <c r="G155" s="311"/>
    </row>
    <row r="156">
      <c r="D156" s="308"/>
      <c r="E156" s="309"/>
      <c r="F156" s="310"/>
      <c r="G156" s="311"/>
    </row>
    <row r="157">
      <c r="D157" s="308"/>
      <c r="E157" s="309"/>
      <c r="F157" s="310"/>
      <c r="G157" s="311"/>
    </row>
    <row r="158">
      <c r="D158" s="308"/>
      <c r="E158" s="309"/>
      <c r="F158" s="310"/>
      <c r="G158" s="311"/>
    </row>
    <row r="159">
      <c r="D159" s="308"/>
      <c r="E159" s="309"/>
      <c r="F159" s="310"/>
      <c r="G159" s="311"/>
    </row>
    <row r="160">
      <c r="D160" s="308"/>
      <c r="E160" s="309"/>
      <c r="F160" s="310"/>
      <c r="G160" s="311"/>
    </row>
    <row r="161">
      <c r="D161" s="308"/>
      <c r="E161" s="309"/>
      <c r="F161" s="310"/>
      <c r="G161" s="311"/>
    </row>
    <row r="162">
      <c r="D162" s="308"/>
      <c r="E162" s="309"/>
      <c r="F162" s="310"/>
      <c r="G162" s="311"/>
    </row>
    <row r="163">
      <c r="D163" s="308"/>
      <c r="E163" s="309"/>
      <c r="F163" s="310"/>
      <c r="G163" s="311"/>
    </row>
    <row r="164">
      <c r="D164" s="308"/>
      <c r="E164" s="309"/>
      <c r="F164" s="310"/>
      <c r="G164" s="311"/>
    </row>
    <row r="165">
      <c r="D165" s="308"/>
      <c r="E165" s="309"/>
      <c r="F165" s="310"/>
      <c r="G165" s="311"/>
    </row>
    <row r="166">
      <c r="D166" s="308"/>
      <c r="E166" s="309"/>
      <c r="F166" s="310"/>
      <c r="G166" s="311"/>
    </row>
    <row r="167">
      <c r="D167" s="308"/>
      <c r="E167" s="309"/>
      <c r="F167" s="310"/>
      <c r="G167" s="311"/>
    </row>
    <row r="168">
      <c r="D168" s="308"/>
      <c r="E168" s="309"/>
      <c r="F168" s="310"/>
      <c r="G168" s="311"/>
    </row>
    <row r="169">
      <c r="D169" s="308"/>
      <c r="E169" s="309"/>
      <c r="F169" s="310"/>
      <c r="G169" s="311"/>
    </row>
    <row r="170">
      <c r="D170" s="308"/>
      <c r="E170" s="309"/>
      <c r="F170" s="310"/>
      <c r="G170" s="311"/>
    </row>
    <row r="171">
      <c r="D171" s="308"/>
      <c r="E171" s="309"/>
      <c r="F171" s="310"/>
      <c r="G171" s="311"/>
    </row>
    <row r="172">
      <c r="D172" s="308"/>
      <c r="E172" s="309"/>
      <c r="F172" s="310"/>
      <c r="G172" s="311"/>
    </row>
    <row r="173">
      <c r="D173" s="308"/>
      <c r="E173" s="309"/>
      <c r="F173" s="310"/>
      <c r="G173" s="311"/>
    </row>
    <row r="174">
      <c r="D174" s="308"/>
      <c r="E174" s="309"/>
      <c r="F174" s="310"/>
      <c r="G174" s="311"/>
    </row>
    <row r="175">
      <c r="D175" s="308"/>
      <c r="E175" s="309"/>
      <c r="F175" s="310"/>
      <c r="G175" s="311"/>
    </row>
    <row r="176">
      <c r="D176" s="308"/>
      <c r="E176" s="309"/>
      <c r="F176" s="310"/>
      <c r="G176" s="311"/>
    </row>
    <row r="177">
      <c r="D177" s="308"/>
      <c r="E177" s="309"/>
      <c r="F177" s="310"/>
      <c r="G177" s="311"/>
    </row>
    <row r="178">
      <c r="D178" s="308"/>
      <c r="E178" s="309"/>
      <c r="F178" s="310"/>
      <c r="G178" s="311"/>
    </row>
    <row r="179">
      <c r="D179" s="308"/>
      <c r="E179" s="309"/>
      <c r="F179" s="310"/>
      <c r="G179" s="311"/>
    </row>
    <row r="180">
      <c r="D180" s="308"/>
      <c r="E180" s="309"/>
      <c r="F180" s="310"/>
      <c r="G180" s="311"/>
    </row>
    <row r="181">
      <c r="D181" s="308"/>
      <c r="E181" s="309"/>
      <c r="F181" s="310"/>
      <c r="G181" s="311"/>
    </row>
    <row r="182">
      <c r="D182" s="308"/>
      <c r="E182" s="309"/>
      <c r="F182" s="310"/>
      <c r="G182" s="311"/>
    </row>
    <row r="183">
      <c r="D183" s="308"/>
      <c r="E183" s="309"/>
      <c r="F183" s="310"/>
      <c r="G183" s="311"/>
    </row>
    <row r="184">
      <c r="D184" s="308"/>
      <c r="E184" s="309"/>
      <c r="F184" s="310"/>
      <c r="G184" s="311"/>
    </row>
    <row r="185">
      <c r="D185" s="308"/>
      <c r="E185" s="309"/>
      <c r="F185" s="310"/>
      <c r="G185" s="311"/>
    </row>
    <row r="186">
      <c r="D186" s="308"/>
      <c r="E186" s="309"/>
      <c r="F186" s="310"/>
      <c r="G186" s="311"/>
    </row>
    <row r="187">
      <c r="D187" s="308"/>
      <c r="E187" s="309"/>
      <c r="F187" s="310"/>
      <c r="G187" s="311"/>
    </row>
    <row r="188">
      <c r="D188" s="308"/>
      <c r="E188" s="309"/>
      <c r="F188" s="310"/>
      <c r="G188" s="311"/>
    </row>
    <row r="189">
      <c r="D189" s="308"/>
      <c r="E189" s="309"/>
      <c r="F189" s="310"/>
      <c r="G189" s="311"/>
    </row>
    <row r="190">
      <c r="D190" s="308"/>
      <c r="E190" s="309"/>
      <c r="F190" s="310"/>
      <c r="G190" s="311"/>
    </row>
    <row r="191">
      <c r="D191" s="308"/>
      <c r="E191" s="309"/>
      <c r="F191" s="310"/>
      <c r="G191" s="311"/>
    </row>
    <row r="192">
      <c r="D192" s="308"/>
      <c r="E192" s="309"/>
      <c r="F192" s="310"/>
      <c r="G192" s="311"/>
    </row>
    <row r="193">
      <c r="D193" s="308"/>
      <c r="E193" s="309"/>
      <c r="F193" s="310"/>
      <c r="G193" s="311"/>
    </row>
    <row r="194">
      <c r="D194" s="308"/>
      <c r="E194" s="309"/>
      <c r="F194" s="310"/>
      <c r="G194" s="311"/>
    </row>
    <row r="195">
      <c r="D195" s="308"/>
      <c r="E195" s="309"/>
      <c r="F195" s="310"/>
      <c r="G195" s="311"/>
    </row>
    <row r="196">
      <c r="D196" s="308"/>
      <c r="E196" s="309"/>
      <c r="F196" s="310"/>
      <c r="G196" s="311"/>
    </row>
    <row r="197">
      <c r="D197" s="308"/>
      <c r="E197" s="309"/>
      <c r="F197" s="310"/>
      <c r="G197" s="311"/>
    </row>
    <row r="198">
      <c r="D198" s="308"/>
      <c r="E198" s="309"/>
      <c r="F198" s="310"/>
      <c r="G198" s="311"/>
    </row>
    <row r="199">
      <c r="D199" s="308"/>
      <c r="E199" s="309"/>
      <c r="F199" s="310"/>
      <c r="G199" s="311"/>
    </row>
    <row r="200">
      <c r="D200" s="308"/>
      <c r="E200" s="309"/>
      <c r="F200" s="310"/>
      <c r="G200" s="311"/>
    </row>
    <row r="201">
      <c r="D201" s="308"/>
      <c r="E201" s="309"/>
      <c r="F201" s="310"/>
      <c r="G201" s="311"/>
    </row>
    <row r="202">
      <c r="D202" s="308"/>
      <c r="E202" s="309"/>
      <c r="F202" s="310"/>
      <c r="G202" s="311"/>
    </row>
    <row r="203">
      <c r="D203" s="308"/>
      <c r="E203" s="309"/>
      <c r="F203" s="310"/>
      <c r="G203" s="311"/>
    </row>
    <row r="204">
      <c r="D204" s="308"/>
      <c r="E204" s="309"/>
      <c r="F204" s="310"/>
      <c r="G204" s="311"/>
    </row>
    <row r="205">
      <c r="D205" s="308"/>
      <c r="E205" s="309"/>
      <c r="F205" s="310"/>
      <c r="G205" s="311"/>
    </row>
    <row r="206">
      <c r="D206" s="308"/>
      <c r="E206" s="309"/>
      <c r="F206" s="310"/>
      <c r="G206" s="311"/>
    </row>
    <row r="207">
      <c r="D207" s="308"/>
      <c r="E207" s="309"/>
      <c r="F207" s="310"/>
      <c r="G207" s="311"/>
    </row>
    <row r="208">
      <c r="D208" s="308"/>
      <c r="E208" s="309"/>
      <c r="F208" s="310"/>
      <c r="G208" s="311"/>
    </row>
    <row r="209">
      <c r="D209" s="308"/>
      <c r="E209" s="309"/>
      <c r="F209" s="310"/>
      <c r="G209" s="311"/>
    </row>
    <row r="210">
      <c r="D210" s="308"/>
      <c r="E210" s="309"/>
      <c r="F210" s="310"/>
      <c r="G210" s="311"/>
    </row>
    <row r="211">
      <c r="D211" s="308"/>
      <c r="E211" s="309"/>
      <c r="F211" s="310"/>
      <c r="G211" s="311"/>
    </row>
    <row r="212">
      <c r="D212" s="308"/>
      <c r="E212" s="309"/>
      <c r="F212" s="310"/>
      <c r="G212" s="311"/>
    </row>
    <row r="213">
      <c r="D213" s="308"/>
      <c r="E213" s="309"/>
      <c r="F213" s="310"/>
      <c r="G213" s="311"/>
    </row>
    <row r="214">
      <c r="D214" s="308"/>
      <c r="E214" s="309"/>
      <c r="F214" s="310"/>
      <c r="G214" s="311"/>
    </row>
    <row r="215">
      <c r="D215" s="308"/>
      <c r="E215" s="309"/>
      <c r="F215" s="310"/>
      <c r="G215" s="311"/>
    </row>
    <row r="216">
      <c r="D216" s="308"/>
      <c r="E216" s="309"/>
      <c r="F216" s="310"/>
      <c r="G216" s="311"/>
    </row>
    <row r="217">
      <c r="D217" s="308"/>
      <c r="E217" s="309"/>
      <c r="F217" s="310"/>
      <c r="G217" s="311"/>
    </row>
    <row r="218">
      <c r="D218" s="308"/>
      <c r="E218" s="309"/>
      <c r="F218" s="310"/>
      <c r="G218" s="311"/>
    </row>
    <row r="219">
      <c r="D219" s="308"/>
      <c r="E219" s="309"/>
      <c r="F219" s="310"/>
      <c r="G219" s="311"/>
    </row>
    <row r="220">
      <c r="D220" s="308"/>
      <c r="E220" s="309"/>
      <c r="F220" s="310"/>
      <c r="G220" s="311"/>
    </row>
    <row r="221">
      <c r="D221" s="308"/>
      <c r="E221" s="309"/>
      <c r="F221" s="310"/>
      <c r="G221" s="311"/>
    </row>
    <row r="222">
      <c r="D222" s="308"/>
      <c r="E222" s="309"/>
      <c r="F222" s="310"/>
      <c r="G222" s="311"/>
    </row>
    <row r="223">
      <c r="D223" s="308"/>
      <c r="E223" s="309"/>
      <c r="F223" s="310"/>
      <c r="G223" s="311"/>
    </row>
    <row r="224">
      <c r="D224" s="308"/>
      <c r="E224" s="309"/>
      <c r="F224" s="310"/>
      <c r="G224" s="311"/>
    </row>
    <row r="225">
      <c r="D225" s="308"/>
      <c r="E225" s="309"/>
      <c r="F225" s="310"/>
      <c r="G225" s="311"/>
    </row>
    <row r="226">
      <c r="D226" s="308"/>
      <c r="E226" s="309"/>
      <c r="F226" s="310"/>
      <c r="G226" s="311"/>
    </row>
    <row r="227">
      <c r="D227" s="308"/>
      <c r="E227" s="309"/>
      <c r="F227" s="310"/>
      <c r="G227" s="311"/>
    </row>
    <row r="228">
      <c r="D228" s="308"/>
      <c r="E228" s="309"/>
      <c r="F228" s="310"/>
      <c r="G228" s="311"/>
    </row>
    <row r="229">
      <c r="D229" s="308"/>
      <c r="E229" s="309"/>
      <c r="F229" s="310"/>
      <c r="G229" s="311"/>
    </row>
    <row r="230">
      <c r="D230" s="308"/>
      <c r="E230" s="309"/>
      <c r="F230" s="310"/>
      <c r="G230" s="311"/>
    </row>
    <row r="231">
      <c r="D231" s="308"/>
      <c r="E231" s="309"/>
      <c r="F231" s="310"/>
      <c r="G231" s="311"/>
    </row>
    <row r="232">
      <c r="D232" s="308"/>
      <c r="E232" s="309"/>
      <c r="F232" s="310"/>
      <c r="G232" s="311"/>
    </row>
    <row r="233">
      <c r="D233" s="308"/>
      <c r="E233" s="309"/>
      <c r="F233" s="310"/>
      <c r="G233" s="311"/>
    </row>
    <row r="234">
      <c r="D234" s="308"/>
      <c r="E234" s="309"/>
      <c r="F234" s="310"/>
      <c r="G234" s="311"/>
    </row>
    <row r="235">
      <c r="D235" s="308"/>
      <c r="E235" s="309"/>
      <c r="F235" s="310"/>
      <c r="G235" s="311"/>
    </row>
    <row r="236">
      <c r="D236" s="308"/>
      <c r="E236" s="309"/>
      <c r="F236" s="310"/>
      <c r="G236" s="311"/>
    </row>
    <row r="237">
      <c r="D237" s="308"/>
      <c r="E237" s="309"/>
      <c r="F237" s="310"/>
      <c r="G237" s="311"/>
    </row>
    <row r="238">
      <c r="D238" s="308"/>
      <c r="E238" s="309"/>
      <c r="F238" s="310"/>
      <c r="G238" s="311"/>
    </row>
    <row r="239">
      <c r="D239" s="308"/>
      <c r="E239" s="309"/>
      <c r="F239" s="310"/>
      <c r="G239" s="311"/>
    </row>
    <row r="240">
      <c r="D240" s="308"/>
      <c r="E240" s="309"/>
      <c r="F240" s="310"/>
      <c r="G240" s="311"/>
    </row>
    <row r="241">
      <c r="D241" s="308"/>
      <c r="E241" s="309"/>
      <c r="F241" s="310"/>
      <c r="G241" s="311"/>
    </row>
    <row r="242">
      <c r="D242" s="308"/>
      <c r="E242" s="309"/>
      <c r="F242" s="310"/>
      <c r="G242" s="311"/>
    </row>
    <row r="243">
      <c r="D243" s="308"/>
      <c r="E243" s="309"/>
      <c r="F243" s="310"/>
      <c r="G243" s="311"/>
    </row>
    <row r="244">
      <c r="D244" s="308"/>
      <c r="E244" s="309"/>
      <c r="F244" s="310"/>
      <c r="G244" s="311"/>
    </row>
    <row r="245">
      <c r="D245" s="308"/>
      <c r="E245" s="309"/>
      <c r="F245" s="310"/>
      <c r="G245" s="311"/>
    </row>
    <row r="246">
      <c r="D246" s="308"/>
      <c r="E246" s="309"/>
      <c r="F246" s="310"/>
      <c r="G246" s="311"/>
    </row>
    <row r="247">
      <c r="D247" s="308"/>
      <c r="E247" s="309"/>
      <c r="F247" s="310"/>
      <c r="G247" s="311"/>
    </row>
    <row r="248">
      <c r="D248" s="308"/>
      <c r="E248" s="309"/>
      <c r="F248" s="310"/>
      <c r="G248" s="311"/>
    </row>
    <row r="249">
      <c r="D249" s="308"/>
      <c r="E249" s="309"/>
      <c r="F249" s="310"/>
      <c r="G249" s="311"/>
    </row>
    <row r="250">
      <c r="D250" s="308"/>
      <c r="E250" s="309"/>
      <c r="F250" s="310"/>
      <c r="G250" s="311"/>
    </row>
    <row r="251">
      <c r="D251" s="308"/>
      <c r="E251" s="309"/>
      <c r="F251" s="310"/>
      <c r="G251" s="311"/>
    </row>
    <row r="252">
      <c r="D252" s="308"/>
      <c r="E252" s="309"/>
      <c r="F252" s="310"/>
      <c r="G252" s="311"/>
    </row>
    <row r="253">
      <c r="D253" s="308"/>
      <c r="E253" s="309"/>
      <c r="F253" s="310"/>
      <c r="G253" s="311"/>
    </row>
    <row r="254">
      <c r="D254" s="308"/>
      <c r="E254" s="309"/>
      <c r="F254" s="310"/>
      <c r="G254" s="311"/>
    </row>
    <row r="255">
      <c r="D255" s="308"/>
      <c r="E255" s="309"/>
      <c r="F255" s="310"/>
      <c r="G255" s="311"/>
    </row>
    <row r="256">
      <c r="D256" s="308"/>
      <c r="E256" s="309"/>
      <c r="F256" s="310"/>
      <c r="G256" s="311"/>
    </row>
    <row r="257">
      <c r="D257" s="308"/>
      <c r="E257" s="309"/>
      <c r="F257" s="310"/>
      <c r="G257" s="311"/>
    </row>
    <row r="258">
      <c r="D258" s="308"/>
      <c r="E258" s="309"/>
      <c r="F258" s="310"/>
      <c r="G258" s="311"/>
    </row>
    <row r="259">
      <c r="D259" s="308"/>
      <c r="E259" s="309"/>
      <c r="F259" s="310"/>
      <c r="G259" s="311"/>
    </row>
    <row r="260">
      <c r="D260" s="308"/>
      <c r="E260" s="309"/>
      <c r="F260" s="310"/>
      <c r="G260" s="311"/>
    </row>
    <row r="261">
      <c r="D261" s="308"/>
      <c r="E261" s="309"/>
      <c r="F261" s="310"/>
      <c r="G261" s="311"/>
    </row>
    <row r="262">
      <c r="D262" s="308"/>
      <c r="E262" s="309"/>
      <c r="F262" s="310"/>
      <c r="G262" s="311"/>
    </row>
    <row r="263">
      <c r="D263" s="308"/>
      <c r="E263" s="309"/>
      <c r="F263" s="310"/>
      <c r="G263" s="311"/>
    </row>
    <row r="264">
      <c r="D264" s="308"/>
      <c r="E264" s="309"/>
      <c r="F264" s="310"/>
      <c r="G264" s="311"/>
    </row>
    <row r="265">
      <c r="D265" s="308"/>
      <c r="E265" s="309"/>
      <c r="F265" s="310"/>
      <c r="G265" s="311"/>
    </row>
    <row r="266">
      <c r="D266" s="308"/>
      <c r="E266" s="309"/>
      <c r="F266" s="310"/>
      <c r="G266" s="311"/>
    </row>
    <row r="267">
      <c r="D267" s="308"/>
      <c r="E267" s="309"/>
      <c r="F267" s="310"/>
      <c r="G267" s="311"/>
    </row>
    <row r="268">
      <c r="D268" s="308"/>
      <c r="E268" s="309"/>
      <c r="F268" s="310"/>
      <c r="G268" s="311"/>
    </row>
    <row r="269">
      <c r="D269" s="308"/>
      <c r="E269" s="309"/>
      <c r="F269" s="310"/>
      <c r="G269" s="311"/>
    </row>
    <row r="270">
      <c r="D270" s="308"/>
      <c r="E270" s="309"/>
      <c r="F270" s="310"/>
      <c r="G270" s="311"/>
    </row>
    <row r="271">
      <c r="D271" s="308"/>
      <c r="E271" s="309"/>
      <c r="F271" s="310"/>
      <c r="G271" s="311"/>
    </row>
    <row r="272">
      <c r="D272" s="308"/>
      <c r="E272" s="309"/>
      <c r="F272" s="310"/>
      <c r="G272" s="311"/>
    </row>
    <row r="273">
      <c r="D273" s="308"/>
      <c r="E273" s="309"/>
      <c r="F273" s="310"/>
      <c r="G273" s="311"/>
    </row>
    <row r="274">
      <c r="D274" s="308"/>
      <c r="E274" s="309"/>
      <c r="F274" s="310"/>
      <c r="G274" s="311"/>
    </row>
    <row r="275">
      <c r="D275" s="308"/>
      <c r="E275" s="309"/>
      <c r="F275" s="310"/>
      <c r="G275" s="311"/>
    </row>
    <row r="276">
      <c r="D276" s="308"/>
      <c r="E276" s="309"/>
      <c r="F276" s="310"/>
      <c r="G276" s="311"/>
    </row>
    <row r="277">
      <c r="D277" s="308"/>
      <c r="E277" s="309"/>
      <c r="F277" s="310"/>
      <c r="G277" s="311"/>
    </row>
    <row r="278">
      <c r="D278" s="308"/>
      <c r="E278" s="309"/>
      <c r="F278" s="310"/>
      <c r="G278" s="311"/>
    </row>
    <row r="279">
      <c r="D279" s="308"/>
      <c r="E279" s="309"/>
      <c r="F279" s="310"/>
      <c r="G279" s="311"/>
    </row>
    <row r="280">
      <c r="D280" s="308"/>
      <c r="E280" s="309"/>
      <c r="F280" s="310"/>
      <c r="G280" s="311"/>
    </row>
    <row r="281">
      <c r="D281" s="308"/>
      <c r="E281" s="309"/>
      <c r="F281" s="310"/>
      <c r="G281" s="311"/>
    </row>
    <row r="282">
      <c r="D282" s="308"/>
      <c r="E282" s="309"/>
      <c r="F282" s="310"/>
      <c r="G282" s="311"/>
    </row>
    <row r="283">
      <c r="D283" s="308"/>
      <c r="E283" s="309"/>
      <c r="F283" s="310"/>
      <c r="G283" s="311"/>
    </row>
    <row r="284">
      <c r="D284" s="308"/>
      <c r="E284" s="309"/>
      <c r="F284" s="310"/>
      <c r="G284" s="311"/>
    </row>
    <row r="285">
      <c r="D285" s="308"/>
      <c r="E285" s="309"/>
      <c r="F285" s="310"/>
      <c r="G285" s="311"/>
    </row>
    <row r="286">
      <c r="D286" s="308"/>
      <c r="E286" s="309"/>
      <c r="F286" s="310"/>
      <c r="G286" s="311"/>
    </row>
    <row r="287">
      <c r="D287" s="308"/>
      <c r="E287" s="309"/>
      <c r="F287" s="310"/>
      <c r="G287" s="311"/>
    </row>
    <row r="288">
      <c r="D288" s="308"/>
      <c r="E288" s="309"/>
      <c r="F288" s="310"/>
      <c r="G288" s="311"/>
    </row>
    <row r="289">
      <c r="D289" s="308"/>
      <c r="E289" s="309"/>
      <c r="F289" s="310"/>
      <c r="G289" s="311"/>
    </row>
    <row r="290">
      <c r="D290" s="308"/>
      <c r="E290" s="309"/>
      <c r="F290" s="310"/>
      <c r="G290" s="311"/>
    </row>
    <row r="291">
      <c r="D291" s="308"/>
      <c r="E291" s="309"/>
      <c r="F291" s="310"/>
      <c r="G291" s="311"/>
    </row>
    <row r="292">
      <c r="D292" s="308"/>
      <c r="E292" s="309"/>
      <c r="F292" s="310"/>
      <c r="G292" s="311"/>
    </row>
    <row r="293">
      <c r="D293" s="308"/>
      <c r="E293" s="309"/>
      <c r="F293" s="310"/>
      <c r="G293" s="311"/>
    </row>
    <row r="294">
      <c r="D294" s="308"/>
      <c r="E294" s="309"/>
      <c r="F294" s="310"/>
      <c r="G294" s="311"/>
    </row>
    <row r="295">
      <c r="D295" s="308"/>
      <c r="E295" s="309"/>
      <c r="F295" s="310"/>
      <c r="G295" s="311"/>
    </row>
    <row r="296">
      <c r="D296" s="308"/>
      <c r="E296" s="309"/>
      <c r="F296" s="310"/>
      <c r="G296" s="311"/>
    </row>
    <row r="297">
      <c r="D297" s="308"/>
      <c r="E297" s="309"/>
      <c r="F297" s="310"/>
      <c r="G297" s="311"/>
    </row>
    <row r="298">
      <c r="D298" s="308"/>
      <c r="E298" s="309"/>
      <c r="F298" s="310"/>
      <c r="G298" s="311"/>
    </row>
    <row r="299">
      <c r="D299" s="308"/>
      <c r="E299" s="309"/>
      <c r="F299" s="310"/>
      <c r="G299" s="311"/>
    </row>
    <row r="300">
      <c r="D300" s="308"/>
      <c r="E300" s="309"/>
      <c r="F300" s="310"/>
      <c r="G300" s="311"/>
    </row>
    <row r="301">
      <c r="D301" s="308"/>
      <c r="E301" s="309"/>
      <c r="F301" s="310"/>
      <c r="G301" s="311"/>
    </row>
    <row r="302">
      <c r="D302" s="308"/>
      <c r="E302" s="309"/>
      <c r="F302" s="310"/>
      <c r="G302" s="311"/>
    </row>
    <row r="303">
      <c r="D303" s="308"/>
      <c r="E303" s="309"/>
      <c r="F303" s="310"/>
      <c r="G303" s="311"/>
    </row>
    <row r="304">
      <c r="D304" s="308"/>
      <c r="E304" s="309"/>
      <c r="F304" s="310"/>
      <c r="G304" s="311"/>
    </row>
    <row r="305">
      <c r="D305" s="308"/>
      <c r="E305" s="309"/>
      <c r="F305" s="310"/>
      <c r="G305" s="311"/>
    </row>
    <row r="306">
      <c r="D306" s="308"/>
      <c r="E306" s="309"/>
      <c r="F306" s="310"/>
      <c r="G306" s="311"/>
    </row>
    <row r="307">
      <c r="D307" s="308"/>
      <c r="E307" s="309"/>
      <c r="F307" s="310"/>
      <c r="G307" s="311"/>
    </row>
    <row r="308">
      <c r="D308" s="308"/>
      <c r="E308" s="309"/>
      <c r="F308" s="310"/>
      <c r="G308" s="311"/>
    </row>
    <row r="309">
      <c r="D309" s="308"/>
      <c r="E309" s="309"/>
      <c r="F309" s="310"/>
      <c r="G309" s="311"/>
    </row>
    <row r="310">
      <c r="D310" s="308"/>
      <c r="E310" s="309"/>
      <c r="F310" s="310"/>
      <c r="G310" s="311"/>
    </row>
    <row r="311">
      <c r="D311" s="308"/>
      <c r="E311" s="309"/>
      <c r="F311" s="310"/>
      <c r="G311" s="311"/>
    </row>
    <row r="312">
      <c r="D312" s="308"/>
      <c r="E312" s="309"/>
      <c r="F312" s="310"/>
      <c r="G312" s="311"/>
    </row>
    <row r="313">
      <c r="D313" s="308"/>
      <c r="E313" s="309"/>
      <c r="F313" s="310"/>
      <c r="G313" s="311"/>
    </row>
    <row r="314">
      <c r="D314" s="308"/>
      <c r="E314" s="309"/>
      <c r="F314" s="310"/>
      <c r="G314" s="311"/>
    </row>
    <row r="315">
      <c r="D315" s="308"/>
      <c r="E315" s="309"/>
      <c r="F315" s="310"/>
      <c r="G315" s="311"/>
    </row>
    <row r="316">
      <c r="D316" s="308"/>
      <c r="E316" s="309"/>
      <c r="F316" s="310"/>
      <c r="G316" s="311"/>
    </row>
    <row r="317">
      <c r="D317" s="308"/>
      <c r="E317" s="309"/>
      <c r="F317" s="310"/>
      <c r="G317" s="311"/>
    </row>
    <row r="318">
      <c r="D318" s="308"/>
      <c r="E318" s="309"/>
      <c r="F318" s="310"/>
      <c r="G318" s="311"/>
    </row>
    <row r="319">
      <c r="D319" s="308"/>
      <c r="E319" s="309"/>
      <c r="F319" s="310"/>
      <c r="G319" s="311"/>
    </row>
    <row r="320">
      <c r="D320" s="308"/>
      <c r="E320" s="309"/>
      <c r="F320" s="310"/>
      <c r="G320" s="311"/>
    </row>
    <row r="321">
      <c r="D321" s="308"/>
      <c r="E321" s="309"/>
      <c r="F321" s="310"/>
      <c r="G321" s="311"/>
    </row>
    <row r="322">
      <c r="D322" s="308"/>
      <c r="E322" s="309"/>
      <c r="F322" s="310"/>
      <c r="G322" s="311"/>
    </row>
    <row r="323">
      <c r="D323" s="308"/>
      <c r="E323" s="309"/>
      <c r="F323" s="310"/>
      <c r="G323" s="311"/>
    </row>
    <row r="324">
      <c r="D324" s="308"/>
      <c r="E324" s="309"/>
      <c r="F324" s="310"/>
      <c r="G324" s="311"/>
    </row>
    <row r="325">
      <c r="D325" s="308"/>
      <c r="E325" s="309"/>
      <c r="F325" s="310"/>
      <c r="G325" s="311"/>
    </row>
    <row r="326">
      <c r="D326" s="308"/>
      <c r="E326" s="309"/>
      <c r="F326" s="310"/>
      <c r="G326" s="311"/>
    </row>
    <row r="327">
      <c r="D327" s="308"/>
      <c r="E327" s="309"/>
      <c r="F327" s="310"/>
      <c r="G327" s="311"/>
    </row>
    <row r="328">
      <c r="D328" s="308"/>
      <c r="E328" s="309"/>
      <c r="F328" s="310"/>
      <c r="G328" s="311"/>
    </row>
    <row r="329">
      <c r="D329" s="308"/>
      <c r="E329" s="309"/>
      <c r="F329" s="310"/>
      <c r="G329" s="311"/>
    </row>
    <row r="330">
      <c r="D330" s="308"/>
      <c r="E330" s="309"/>
      <c r="F330" s="310"/>
      <c r="G330" s="311"/>
    </row>
    <row r="331">
      <c r="D331" s="308"/>
      <c r="E331" s="309"/>
      <c r="F331" s="310"/>
      <c r="G331" s="311"/>
    </row>
    <row r="332">
      <c r="D332" s="308"/>
      <c r="E332" s="309"/>
      <c r="F332" s="310"/>
      <c r="G332" s="311"/>
    </row>
    <row r="333">
      <c r="D333" s="308"/>
      <c r="E333" s="309"/>
      <c r="F333" s="310"/>
      <c r="G333" s="311"/>
    </row>
    <row r="334">
      <c r="D334" s="308"/>
      <c r="E334" s="309"/>
      <c r="F334" s="310"/>
      <c r="G334" s="311"/>
    </row>
    <row r="335">
      <c r="D335" s="308"/>
      <c r="E335" s="309"/>
      <c r="F335" s="310"/>
      <c r="G335" s="311"/>
    </row>
    <row r="336">
      <c r="D336" s="308"/>
      <c r="E336" s="309"/>
      <c r="F336" s="310"/>
      <c r="G336" s="311"/>
    </row>
    <row r="337">
      <c r="D337" s="308"/>
      <c r="E337" s="309"/>
      <c r="F337" s="310"/>
      <c r="G337" s="311"/>
    </row>
    <row r="338">
      <c r="D338" s="308"/>
      <c r="E338" s="309"/>
      <c r="F338" s="310"/>
      <c r="G338" s="311"/>
    </row>
    <row r="339">
      <c r="D339" s="308"/>
      <c r="E339" s="309"/>
      <c r="F339" s="310"/>
      <c r="G339" s="311"/>
    </row>
    <row r="340">
      <c r="D340" s="308"/>
      <c r="E340" s="309"/>
      <c r="F340" s="310"/>
      <c r="G340" s="311"/>
    </row>
    <row r="341">
      <c r="D341" s="308"/>
      <c r="E341" s="309"/>
      <c r="F341" s="310"/>
      <c r="G341" s="311"/>
    </row>
    <row r="342">
      <c r="D342" s="308"/>
      <c r="E342" s="309"/>
      <c r="F342" s="310"/>
      <c r="G342" s="311"/>
    </row>
    <row r="343">
      <c r="D343" s="308"/>
      <c r="E343" s="309"/>
      <c r="F343" s="310"/>
      <c r="G343" s="311"/>
    </row>
    <row r="344">
      <c r="D344" s="308"/>
      <c r="E344" s="309"/>
      <c r="F344" s="310"/>
      <c r="G344" s="311"/>
    </row>
    <row r="345">
      <c r="D345" s="308"/>
      <c r="E345" s="309"/>
      <c r="F345" s="310"/>
      <c r="G345" s="311"/>
    </row>
    <row r="346">
      <c r="D346" s="308"/>
      <c r="E346" s="309"/>
      <c r="F346" s="310"/>
      <c r="G346" s="311"/>
    </row>
    <row r="347">
      <c r="D347" s="308"/>
      <c r="E347" s="309"/>
      <c r="F347" s="310"/>
      <c r="G347" s="311"/>
    </row>
    <row r="348">
      <c r="D348" s="308"/>
      <c r="E348" s="309"/>
      <c r="F348" s="310"/>
      <c r="G348" s="311"/>
    </row>
    <row r="349">
      <c r="D349" s="308"/>
      <c r="E349" s="309"/>
      <c r="F349" s="310"/>
      <c r="G349" s="311"/>
    </row>
    <row r="350">
      <c r="D350" s="308"/>
      <c r="E350" s="309"/>
      <c r="F350" s="310"/>
      <c r="G350" s="311"/>
    </row>
    <row r="351">
      <c r="D351" s="308"/>
      <c r="E351" s="309"/>
      <c r="F351" s="310"/>
      <c r="G351" s="311"/>
    </row>
    <row r="352">
      <c r="D352" s="308"/>
      <c r="E352" s="309"/>
      <c r="F352" s="310"/>
      <c r="G352" s="311"/>
    </row>
    <row r="353">
      <c r="D353" s="308"/>
      <c r="E353" s="309"/>
      <c r="F353" s="310"/>
      <c r="G353" s="311"/>
    </row>
    <row r="354">
      <c r="D354" s="308"/>
      <c r="E354" s="309"/>
      <c r="F354" s="310"/>
      <c r="G354" s="311"/>
    </row>
    <row r="355">
      <c r="D355" s="308"/>
      <c r="E355" s="309"/>
      <c r="F355" s="310"/>
      <c r="G355" s="311"/>
    </row>
    <row r="356">
      <c r="D356" s="308"/>
      <c r="E356" s="309"/>
      <c r="F356" s="310"/>
      <c r="G356" s="311"/>
    </row>
    <row r="357">
      <c r="D357" s="308"/>
      <c r="E357" s="309"/>
      <c r="F357" s="310"/>
      <c r="G357" s="311"/>
    </row>
    <row r="358">
      <c r="D358" s="308"/>
      <c r="E358" s="309"/>
      <c r="F358" s="310"/>
      <c r="G358" s="311"/>
    </row>
    <row r="359">
      <c r="D359" s="308"/>
      <c r="E359" s="309"/>
      <c r="F359" s="310"/>
      <c r="G359" s="311"/>
    </row>
    <row r="360">
      <c r="D360" s="308"/>
      <c r="E360" s="309"/>
      <c r="F360" s="310"/>
      <c r="G360" s="311"/>
    </row>
    <row r="361">
      <c r="D361" s="308"/>
      <c r="E361" s="309"/>
      <c r="F361" s="310"/>
      <c r="G361" s="311"/>
    </row>
    <row r="362">
      <c r="D362" s="308"/>
      <c r="E362" s="309"/>
      <c r="F362" s="310"/>
      <c r="G362" s="311"/>
    </row>
    <row r="363">
      <c r="D363" s="308"/>
      <c r="E363" s="309"/>
      <c r="F363" s="310"/>
      <c r="G363" s="311"/>
    </row>
    <row r="364">
      <c r="D364" s="308"/>
      <c r="E364" s="309"/>
      <c r="F364" s="310"/>
      <c r="G364" s="311"/>
    </row>
    <row r="365">
      <c r="D365" s="308"/>
      <c r="E365" s="309"/>
      <c r="F365" s="310"/>
      <c r="G365" s="311"/>
    </row>
    <row r="366">
      <c r="D366" s="308"/>
      <c r="E366" s="309"/>
      <c r="F366" s="310"/>
      <c r="G366" s="311"/>
    </row>
    <row r="367">
      <c r="D367" s="308"/>
      <c r="E367" s="309"/>
      <c r="F367" s="310"/>
      <c r="G367" s="311"/>
    </row>
    <row r="368">
      <c r="D368" s="308"/>
      <c r="E368" s="309"/>
      <c r="F368" s="310"/>
      <c r="G368" s="311"/>
    </row>
    <row r="369">
      <c r="D369" s="308"/>
      <c r="E369" s="309"/>
      <c r="F369" s="310"/>
      <c r="G369" s="311"/>
    </row>
    <row r="370">
      <c r="D370" s="308"/>
      <c r="E370" s="309"/>
      <c r="F370" s="310"/>
      <c r="G370" s="311"/>
    </row>
    <row r="371">
      <c r="D371" s="308"/>
      <c r="E371" s="309"/>
      <c r="F371" s="310"/>
      <c r="G371" s="311"/>
    </row>
    <row r="372">
      <c r="D372" s="308"/>
      <c r="E372" s="309"/>
      <c r="F372" s="310"/>
      <c r="G372" s="311"/>
    </row>
    <row r="373">
      <c r="D373" s="308"/>
      <c r="E373" s="309"/>
      <c r="F373" s="310"/>
      <c r="G373" s="311"/>
    </row>
    <row r="374">
      <c r="D374" s="308"/>
      <c r="E374" s="309"/>
      <c r="F374" s="310"/>
      <c r="G374" s="311"/>
    </row>
    <row r="375">
      <c r="D375" s="308"/>
      <c r="E375" s="309"/>
      <c r="F375" s="310"/>
      <c r="G375" s="311"/>
    </row>
    <row r="376">
      <c r="D376" s="308"/>
      <c r="E376" s="309"/>
      <c r="F376" s="310"/>
      <c r="G376" s="311"/>
    </row>
    <row r="377">
      <c r="D377" s="308"/>
      <c r="E377" s="309"/>
      <c r="F377" s="310"/>
      <c r="G377" s="311"/>
    </row>
    <row r="378">
      <c r="D378" s="308"/>
      <c r="E378" s="309"/>
      <c r="F378" s="310"/>
      <c r="G378" s="311"/>
    </row>
    <row r="379">
      <c r="D379" s="308"/>
      <c r="E379" s="309"/>
      <c r="F379" s="310"/>
      <c r="G379" s="311"/>
    </row>
    <row r="380">
      <c r="D380" s="308"/>
      <c r="E380" s="309"/>
      <c r="F380" s="310"/>
      <c r="G380" s="311"/>
    </row>
    <row r="381">
      <c r="D381" s="308"/>
      <c r="E381" s="309"/>
      <c r="F381" s="310"/>
      <c r="G381" s="311"/>
    </row>
    <row r="382">
      <c r="D382" s="308"/>
      <c r="E382" s="309"/>
      <c r="F382" s="310"/>
      <c r="G382" s="311"/>
    </row>
    <row r="383">
      <c r="D383" s="308"/>
      <c r="E383" s="309"/>
      <c r="F383" s="310"/>
      <c r="G383" s="311"/>
    </row>
    <row r="384">
      <c r="D384" s="308"/>
      <c r="E384" s="309"/>
      <c r="F384" s="310"/>
      <c r="G384" s="311"/>
    </row>
    <row r="385">
      <c r="D385" s="308"/>
      <c r="E385" s="309"/>
      <c r="F385" s="310"/>
      <c r="G385" s="311"/>
    </row>
    <row r="386">
      <c r="D386" s="308"/>
      <c r="E386" s="309"/>
      <c r="F386" s="310"/>
      <c r="G386" s="311"/>
    </row>
    <row r="387">
      <c r="D387" s="308"/>
      <c r="E387" s="309"/>
      <c r="F387" s="310"/>
      <c r="G387" s="311"/>
    </row>
    <row r="388">
      <c r="D388" s="308"/>
      <c r="E388" s="309"/>
      <c r="F388" s="310"/>
      <c r="G388" s="311"/>
    </row>
    <row r="389">
      <c r="D389" s="308"/>
      <c r="E389" s="309"/>
      <c r="F389" s="310"/>
      <c r="G389" s="311"/>
    </row>
    <row r="390">
      <c r="D390" s="308"/>
      <c r="E390" s="309"/>
      <c r="F390" s="310"/>
      <c r="G390" s="311"/>
    </row>
    <row r="391">
      <c r="D391" s="308"/>
      <c r="E391" s="309"/>
      <c r="F391" s="310"/>
      <c r="G391" s="311"/>
    </row>
    <row r="392">
      <c r="D392" s="308"/>
      <c r="E392" s="309"/>
      <c r="F392" s="310"/>
      <c r="G392" s="311"/>
    </row>
    <row r="393">
      <c r="D393" s="308"/>
      <c r="E393" s="309"/>
      <c r="F393" s="310"/>
      <c r="G393" s="311"/>
    </row>
    <row r="394">
      <c r="D394" s="308"/>
      <c r="E394" s="309"/>
      <c r="F394" s="310"/>
      <c r="G394" s="311"/>
    </row>
    <row r="395">
      <c r="D395" s="308"/>
      <c r="E395" s="309"/>
      <c r="F395" s="310"/>
      <c r="G395" s="311"/>
    </row>
    <row r="396">
      <c r="D396" s="308"/>
      <c r="E396" s="309"/>
      <c r="F396" s="310"/>
      <c r="G396" s="311"/>
    </row>
    <row r="397">
      <c r="D397" s="308"/>
      <c r="E397" s="309"/>
      <c r="F397" s="310"/>
      <c r="G397" s="311"/>
    </row>
    <row r="398">
      <c r="D398" s="308"/>
      <c r="E398" s="309"/>
      <c r="F398" s="310"/>
      <c r="G398" s="311"/>
    </row>
    <row r="399">
      <c r="D399" s="308"/>
      <c r="E399" s="309"/>
      <c r="F399" s="310"/>
      <c r="G399" s="311"/>
    </row>
    <row r="400">
      <c r="D400" s="308"/>
      <c r="E400" s="309"/>
      <c r="F400" s="310"/>
      <c r="G400" s="311"/>
    </row>
    <row r="401">
      <c r="D401" s="308"/>
      <c r="E401" s="309"/>
      <c r="F401" s="310"/>
      <c r="G401" s="311"/>
    </row>
    <row r="402">
      <c r="D402" s="308"/>
      <c r="E402" s="309"/>
      <c r="F402" s="310"/>
      <c r="G402" s="311"/>
    </row>
    <row r="403">
      <c r="D403" s="308"/>
      <c r="E403" s="309"/>
      <c r="F403" s="310"/>
      <c r="G403" s="311"/>
    </row>
    <row r="404">
      <c r="D404" s="308"/>
      <c r="E404" s="309"/>
      <c r="F404" s="310"/>
      <c r="G404" s="311"/>
    </row>
    <row r="405">
      <c r="D405" s="308"/>
      <c r="E405" s="309"/>
      <c r="F405" s="310"/>
      <c r="G405" s="311"/>
    </row>
    <row r="406">
      <c r="D406" s="308"/>
      <c r="E406" s="309"/>
      <c r="F406" s="310"/>
      <c r="G406" s="311"/>
    </row>
    <row r="407">
      <c r="D407" s="308"/>
      <c r="E407" s="309"/>
      <c r="F407" s="310"/>
      <c r="G407" s="311"/>
    </row>
    <row r="408">
      <c r="D408" s="308"/>
      <c r="E408" s="309"/>
      <c r="F408" s="310"/>
      <c r="G408" s="311"/>
    </row>
    <row r="409">
      <c r="D409" s="308"/>
      <c r="E409" s="309"/>
      <c r="F409" s="310"/>
      <c r="G409" s="311"/>
    </row>
    <row r="410">
      <c r="D410" s="308"/>
      <c r="E410" s="309"/>
      <c r="F410" s="310"/>
      <c r="G410" s="311"/>
    </row>
    <row r="411">
      <c r="D411" s="308"/>
      <c r="E411" s="309"/>
      <c r="F411" s="310"/>
      <c r="G411" s="311"/>
    </row>
    <row r="412">
      <c r="D412" s="308"/>
      <c r="E412" s="309"/>
      <c r="F412" s="310"/>
      <c r="G412" s="311"/>
    </row>
    <row r="413">
      <c r="D413" s="308"/>
      <c r="E413" s="309"/>
      <c r="F413" s="310"/>
      <c r="G413" s="311"/>
    </row>
    <row r="414">
      <c r="D414" s="308"/>
      <c r="E414" s="309"/>
      <c r="F414" s="310"/>
      <c r="G414" s="311"/>
    </row>
    <row r="415">
      <c r="D415" s="308"/>
      <c r="E415" s="309"/>
      <c r="F415" s="310"/>
      <c r="G415" s="311"/>
    </row>
    <row r="416">
      <c r="D416" s="308"/>
      <c r="E416" s="309"/>
      <c r="F416" s="310"/>
      <c r="G416" s="311"/>
    </row>
    <row r="417">
      <c r="D417" s="308"/>
      <c r="E417" s="309"/>
      <c r="F417" s="310"/>
      <c r="G417" s="311"/>
    </row>
    <row r="418">
      <c r="D418" s="308"/>
      <c r="E418" s="309"/>
      <c r="F418" s="310"/>
      <c r="G418" s="311"/>
    </row>
    <row r="419">
      <c r="D419" s="308"/>
      <c r="E419" s="309"/>
      <c r="F419" s="310"/>
      <c r="G419" s="311"/>
    </row>
    <row r="420">
      <c r="D420" s="308"/>
      <c r="E420" s="309"/>
      <c r="F420" s="310"/>
      <c r="G420" s="311"/>
    </row>
    <row r="421">
      <c r="D421" s="308"/>
      <c r="E421" s="309"/>
      <c r="F421" s="310"/>
      <c r="G421" s="311"/>
    </row>
    <row r="422">
      <c r="D422" s="308"/>
      <c r="E422" s="309"/>
      <c r="F422" s="310"/>
      <c r="G422" s="311"/>
    </row>
    <row r="423">
      <c r="D423" s="308"/>
      <c r="E423" s="309"/>
      <c r="F423" s="310"/>
      <c r="G423" s="311"/>
    </row>
    <row r="424">
      <c r="D424" s="308"/>
      <c r="E424" s="309"/>
      <c r="F424" s="310"/>
      <c r="G424" s="311"/>
    </row>
    <row r="425">
      <c r="D425" s="308"/>
      <c r="E425" s="309"/>
      <c r="F425" s="310"/>
      <c r="G425" s="311"/>
    </row>
    <row r="426">
      <c r="D426" s="308"/>
      <c r="E426" s="309"/>
      <c r="F426" s="310"/>
      <c r="G426" s="311"/>
    </row>
    <row r="427">
      <c r="D427" s="308"/>
      <c r="E427" s="309"/>
      <c r="F427" s="310"/>
      <c r="G427" s="311"/>
    </row>
    <row r="428">
      <c r="D428" s="308"/>
      <c r="E428" s="309"/>
      <c r="F428" s="310"/>
      <c r="G428" s="311"/>
    </row>
    <row r="429">
      <c r="D429" s="308"/>
      <c r="E429" s="309"/>
      <c r="F429" s="310"/>
      <c r="G429" s="311"/>
    </row>
    <row r="430">
      <c r="D430" s="308"/>
      <c r="E430" s="309"/>
      <c r="F430" s="310"/>
      <c r="G430" s="311"/>
    </row>
    <row r="431">
      <c r="D431" s="308"/>
      <c r="E431" s="309"/>
      <c r="F431" s="310"/>
      <c r="G431" s="311"/>
    </row>
    <row r="432">
      <c r="D432" s="308"/>
      <c r="E432" s="309"/>
      <c r="F432" s="310"/>
      <c r="G432" s="311"/>
    </row>
    <row r="433">
      <c r="D433" s="308"/>
      <c r="E433" s="309"/>
      <c r="F433" s="310"/>
      <c r="G433" s="311"/>
    </row>
    <row r="434">
      <c r="D434" s="308"/>
      <c r="E434" s="309"/>
      <c r="F434" s="310"/>
      <c r="G434" s="311"/>
    </row>
    <row r="435">
      <c r="D435" s="308"/>
      <c r="E435" s="309"/>
      <c r="F435" s="310"/>
      <c r="G435" s="311"/>
    </row>
    <row r="436">
      <c r="D436" s="308"/>
      <c r="E436" s="309"/>
      <c r="F436" s="310"/>
      <c r="G436" s="311"/>
    </row>
    <row r="437">
      <c r="D437" s="308"/>
      <c r="E437" s="309"/>
      <c r="F437" s="310"/>
      <c r="G437" s="311"/>
    </row>
    <row r="438">
      <c r="D438" s="308"/>
      <c r="E438" s="309"/>
      <c r="F438" s="310"/>
      <c r="G438" s="311"/>
    </row>
    <row r="439">
      <c r="D439" s="308"/>
      <c r="E439" s="309"/>
      <c r="F439" s="310"/>
      <c r="G439" s="311"/>
    </row>
    <row r="440">
      <c r="D440" s="308"/>
      <c r="E440" s="309"/>
      <c r="F440" s="310"/>
      <c r="G440" s="311"/>
    </row>
    <row r="441">
      <c r="D441" s="308"/>
      <c r="E441" s="309"/>
      <c r="F441" s="310"/>
      <c r="G441" s="311"/>
    </row>
    <row r="442">
      <c r="D442" s="308"/>
      <c r="E442" s="309"/>
      <c r="F442" s="310"/>
      <c r="G442" s="311"/>
    </row>
    <row r="443">
      <c r="D443" s="308"/>
      <c r="E443" s="309"/>
      <c r="F443" s="310"/>
      <c r="G443" s="311"/>
    </row>
    <row r="444">
      <c r="D444" s="308"/>
      <c r="E444" s="309"/>
      <c r="F444" s="310"/>
      <c r="G444" s="311"/>
    </row>
    <row r="445">
      <c r="D445" s="308"/>
      <c r="E445" s="309"/>
      <c r="F445" s="310"/>
      <c r="G445" s="311"/>
    </row>
    <row r="446">
      <c r="D446" s="308"/>
      <c r="E446" s="309"/>
      <c r="F446" s="310"/>
      <c r="G446" s="311"/>
    </row>
    <row r="447">
      <c r="D447" s="308"/>
      <c r="E447" s="309"/>
      <c r="F447" s="310"/>
      <c r="G447" s="311"/>
    </row>
    <row r="448">
      <c r="D448" s="308"/>
      <c r="E448" s="309"/>
      <c r="F448" s="310"/>
      <c r="G448" s="311"/>
    </row>
    <row r="449">
      <c r="D449" s="308"/>
      <c r="E449" s="309"/>
      <c r="F449" s="310"/>
      <c r="G449" s="311"/>
    </row>
    <row r="450">
      <c r="D450" s="308"/>
      <c r="E450" s="309"/>
      <c r="F450" s="310"/>
      <c r="G450" s="311"/>
    </row>
    <row r="451">
      <c r="D451" s="308"/>
      <c r="E451" s="309"/>
      <c r="F451" s="310"/>
      <c r="G451" s="311"/>
    </row>
    <row r="452">
      <c r="D452" s="308"/>
      <c r="E452" s="309"/>
      <c r="F452" s="310"/>
      <c r="G452" s="311"/>
    </row>
    <row r="453">
      <c r="D453" s="308"/>
      <c r="E453" s="309"/>
      <c r="F453" s="310"/>
      <c r="G453" s="311"/>
    </row>
    <row r="454">
      <c r="D454" s="308"/>
      <c r="E454" s="309"/>
      <c r="F454" s="310"/>
      <c r="G454" s="311"/>
    </row>
    <row r="455">
      <c r="D455" s="308"/>
      <c r="E455" s="309"/>
      <c r="F455" s="310"/>
      <c r="G455" s="311"/>
    </row>
    <row r="456">
      <c r="D456" s="308"/>
      <c r="E456" s="309"/>
      <c r="F456" s="310"/>
      <c r="G456" s="311"/>
    </row>
    <row r="457">
      <c r="D457" s="308"/>
      <c r="E457" s="309"/>
      <c r="F457" s="310"/>
      <c r="G457" s="311"/>
    </row>
    <row r="458">
      <c r="D458" s="308"/>
      <c r="E458" s="309"/>
      <c r="F458" s="310"/>
      <c r="G458" s="311"/>
    </row>
    <row r="459">
      <c r="D459" s="308"/>
      <c r="E459" s="309"/>
      <c r="F459" s="310"/>
      <c r="G459" s="311"/>
    </row>
    <row r="460">
      <c r="D460" s="308"/>
      <c r="E460" s="309"/>
      <c r="F460" s="310"/>
      <c r="G460" s="311"/>
    </row>
    <row r="461">
      <c r="D461" s="308"/>
      <c r="E461" s="309"/>
      <c r="F461" s="310"/>
      <c r="G461" s="311"/>
    </row>
    <row r="462">
      <c r="D462" s="308"/>
      <c r="E462" s="309"/>
      <c r="F462" s="310"/>
      <c r="G462" s="311"/>
    </row>
    <row r="463">
      <c r="D463" s="308"/>
      <c r="E463" s="309"/>
      <c r="F463" s="310"/>
      <c r="G463" s="311"/>
    </row>
    <row r="464">
      <c r="D464" s="308"/>
      <c r="E464" s="309"/>
      <c r="F464" s="310"/>
      <c r="G464" s="311"/>
    </row>
    <row r="465">
      <c r="D465" s="308"/>
      <c r="E465" s="309"/>
      <c r="F465" s="310"/>
      <c r="G465" s="311"/>
    </row>
    <row r="466">
      <c r="D466" s="308"/>
      <c r="E466" s="309"/>
      <c r="F466" s="310"/>
      <c r="G466" s="311"/>
    </row>
    <row r="467">
      <c r="D467" s="308"/>
      <c r="E467" s="309"/>
      <c r="F467" s="310"/>
      <c r="G467" s="311"/>
    </row>
    <row r="468">
      <c r="D468" s="308"/>
      <c r="E468" s="309"/>
      <c r="F468" s="310"/>
      <c r="G468" s="311"/>
    </row>
    <row r="469">
      <c r="D469" s="308"/>
      <c r="E469" s="309"/>
      <c r="F469" s="310"/>
      <c r="G469" s="311"/>
    </row>
    <row r="470">
      <c r="D470" s="308"/>
      <c r="E470" s="309"/>
      <c r="F470" s="310"/>
      <c r="G470" s="311"/>
    </row>
    <row r="471">
      <c r="D471" s="308"/>
      <c r="E471" s="309"/>
      <c r="F471" s="310"/>
      <c r="G471" s="311"/>
    </row>
    <row r="472">
      <c r="D472" s="308"/>
      <c r="E472" s="309"/>
      <c r="F472" s="310"/>
      <c r="G472" s="311"/>
    </row>
    <row r="473">
      <c r="D473" s="308"/>
      <c r="E473" s="309"/>
      <c r="F473" s="310"/>
      <c r="G473" s="311"/>
    </row>
    <row r="474">
      <c r="D474" s="308"/>
      <c r="E474" s="309"/>
      <c r="F474" s="310"/>
      <c r="G474" s="311"/>
    </row>
    <row r="475">
      <c r="D475" s="308"/>
      <c r="E475" s="309"/>
      <c r="F475" s="310"/>
      <c r="G475" s="311"/>
    </row>
    <row r="476">
      <c r="D476" s="308"/>
      <c r="E476" s="309"/>
      <c r="F476" s="310"/>
      <c r="G476" s="311"/>
    </row>
    <row r="477">
      <c r="D477" s="308"/>
      <c r="E477" s="309"/>
      <c r="F477" s="310"/>
      <c r="G477" s="311"/>
    </row>
    <row r="478">
      <c r="D478" s="308"/>
      <c r="E478" s="309"/>
      <c r="F478" s="310"/>
      <c r="G478" s="311"/>
    </row>
    <row r="479">
      <c r="D479" s="308"/>
      <c r="E479" s="309"/>
      <c r="F479" s="310"/>
      <c r="G479" s="311"/>
    </row>
    <row r="480">
      <c r="D480" s="308"/>
      <c r="E480" s="309"/>
      <c r="F480" s="310"/>
      <c r="G480" s="311"/>
    </row>
    <row r="481">
      <c r="D481" s="308"/>
      <c r="E481" s="309"/>
      <c r="F481" s="310"/>
      <c r="G481" s="311"/>
    </row>
    <row r="482">
      <c r="D482" s="308"/>
      <c r="E482" s="309"/>
      <c r="F482" s="310"/>
      <c r="G482" s="311"/>
    </row>
    <row r="483">
      <c r="D483" s="308"/>
      <c r="E483" s="309"/>
      <c r="F483" s="310"/>
      <c r="G483" s="311"/>
    </row>
    <row r="484">
      <c r="D484" s="308"/>
      <c r="E484" s="309"/>
      <c r="F484" s="310"/>
      <c r="G484" s="311"/>
    </row>
    <row r="485">
      <c r="D485" s="308"/>
      <c r="E485" s="309"/>
      <c r="F485" s="310"/>
      <c r="G485" s="311"/>
    </row>
    <row r="486">
      <c r="D486" s="308"/>
      <c r="E486" s="309"/>
      <c r="F486" s="310"/>
      <c r="G486" s="311"/>
    </row>
    <row r="487">
      <c r="D487" s="308"/>
      <c r="E487" s="309"/>
      <c r="F487" s="310"/>
      <c r="G487" s="311"/>
    </row>
    <row r="488">
      <c r="D488" s="308"/>
      <c r="E488" s="309"/>
      <c r="F488" s="310"/>
      <c r="G488" s="311"/>
    </row>
    <row r="489">
      <c r="D489" s="308"/>
      <c r="E489" s="309"/>
      <c r="F489" s="310"/>
      <c r="G489" s="311"/>
    </row>
    <row r="490">
      <c r="D490" s="308"/>
      <c r="E490" s="309"/>
      <c r="F490" s="310"/>
      <c r="G490" s="311"/>
    </row>
    <row r="491">
      <c r="D491" s="308"/>
      <c r="E491" s="309"/>
      <c r="F491" s="310"/>
      <c r="G491" s="311"/>
    </row>
    <row r="492">
      <c r="D492" s="308"/>
      <c r="E492" s="309"/>
      <c r="F492" s="310"/>
      <c r="G492" s="311"/>
    </row>
    <row r="493">
      <c r="D493" s="308"/>
      <c r="E493" s="309"/>
      <c r="F493" s="310"/>
      <c r="G493" s="311"/>
    </row>
    <row r="494">
      <c r="D494" s="308"/>
      <c r="E494" s="309"/>
      <c r="F494" s="310"/>
      <c r="G494" s="311"/>
    </row>
    <row r="495">
      <c r="D495" s="308"/>
      <c r="E495" s="309"/>
      <c r="F495" s="310"/>
      <c r="G495" s="311"/>
    </row>
    <row r="496">
      <c r="D496" s="308"/>
      <c r="E496" s="309"/>
      <c r="F496" s="310"/>
      <c r="G496" s="311"/>
    </row>
    <row r="497">
      <c r="D497" s="308"/>
      <c r="E497" s="309"/>
      <c r="F497" s="310"/>
      <c r="G497" s="311"/>
    </row>
    <row r="498">
      <c r="D498" s="308"/>
      <c r="E498" s="309"/>
      <c r="F498" s="310"/>
      <c r="G498" s="311"/>
    </row>
    <row r="499">
      <c r="D499" s="308"/>
      <c r="E499" s="309"/>
      <c r="F499" s="310"/>
      <c r="G499" s="311"/>
    </row>
    <row r="500">
      <c r="D500" s="308"/>
      <c r="E500" s="309"/>
      <c r="F500" s="310"/>
      <c r="G500" s="311"/>
    </row>
    <row r="501">
      <c r="D501" s="308"/>
      <c r="E501" s="309"/>
      <c r="F501" s="310"/>
      <c r="G501" s="311"/>
    </row>
    <row r="502">
      <c r="D502" s="308"/>
      <c r="E502" s="309"/>
      <c r="F502" s="310"/>
      <c r="G502" s="311"/>
    </row>
    <row r="503">
      <c r="D503" s="308"/>
      <c r="E503" s="309"/>
      <c r="F503" s="310"/>
      <c r="G503" s="311"/>
    </row>
    <row r="504">
      <c r="D504" s="308"/>
      <c r="E504" s="309"/>
      <c r="F504" s="310"/>
      <c r="G504" s="311"/>
    </row>
    <row r="505">
      <c r="D505" s="308"/>
      <c r="E505" s="309"/>
      <c r="F505" s="310"/>
      <c r="G505" s="311"/>
    </row>
    <row r="506">
      <c r="D506" s="308"/>
      <c r="E506" s="309"/>
      <c r="F506" s="310"/>
      <c r="G506" s="311"/>
    </row>
    <row r="507">
      <c r="D507" s="308"/>
      <c r="E507" s="309"/>
      <c r="F507" s="310"/>
      <c r="G507" s="311"/>
    </row>
    <row r="508">
      <c r="D508" s="308"/>
      <c r="E508" s="309"/>
      <c r="F508" s="310"/>
      <c r="G508" s="311"/>
    </row>
    <row r="509">
      <c r="D509" s="308"/>
      <c r="E509" s="309"/>
      <c r="F509" s="310"/>
      <c r="G509" s="311"/>
    </row>
    <row r="510">
      <c r="D510" s="308"/>
      <c r="E510" s="309"/>
      <c r="F510" s="310"/>
      <c r="G510" s="311"/>
    </row>
    <row r="511">
      <c r="D511" s="308"/>
      <c r="E511" s="309"/>
      <c r="F511" s="310"/>
      <c r="G511" s="311"/>
    </row>
    <row r="512">
      <c r="D512" s="308"/>
      <c r="E512" s="309"/>
      <c r="F512" s="310"/>
      <c r="G512" s="311"/>
    </row>
    <row r="513">
      <c r="D513" s="308"/>
      <c r="E513" s="309"/>
      <c r="F513" s="310"/>
      <c r="G513" s="311"/>
    </row>
    <row r="514">
      <c r="D514" s="308"/>
      <c r="E514" s="309"/>
      <c r="F514" s="310"/>
      <c r="G514" s="311"/>
    </row>
    <row r="515">
      <c r="D515" s="308"/>
      <c r="E515" s="309"/>
      <c r="F515" s="310"/>
      <c r="G515" s="311"/>
    </row>
    <row r="516">
      <c r="D516" s="308"/>
      <c r="E516" s="309"/>
      <c r="F516" s="310"/>
      <c r="G516" s="311"/>
    </row>
    <row r="517">
      <c r="D517" s="308"/>
      <c r="E517" s="309"/>
      <c r="F517" s="310"/>
      <c r="G517" s="311"/>
    </row>
    <row r="518">
      <c r="D518" s="308"/>
      <c r="E518" s="309"/>
      <c r="F518" s="310"/>
      <c r="G518" s="311"/>
    </row>
    <row r="519">
      <c r="D519" s="308"/>
      <c r="E519" s="309"/>
      <c r="F519" s="310"/>
      <c r="G519" s="311"/>
    </row>
    <row r="520">
      <c r="D520" s="308"/>
      <c r="E520" s="309"/>
      <c r="F520" s="310"/>
      <c r="G520" s="311"/>
    </row>
    <row r="521">
      <c r="D521" s="308"/>
      <c r="E521" s="309"/>
      <c r="F521" s="310"/>
      <c r="G521" s="311"/>
    </row>
    <row r="522">
      <c r="D522" s="308"/>
      <c r="E522" s="309"/>
      <c r="F522" s="310"/>
      <c r="G522" s="311"/>
    </row>
    <row r="523">
      <c r="D523" s="308"/>
      <c r="E523" s="309"/>
      <c r="F523" s="310"/>
      <c r="G523" s="311"/>
    </row>
    <row r="524">
      <c r="D524" s="308"/>
      <c r="E524" s="309"/>
      <c r="F524" s="310"/>
      <c r="G524" s="311"/>
    </row>
    <row r="525">
      <c r="D525" s="308"/>
      <c r="E525" s="309"/>
      <c r="F525" s="310"/>
      <c r="G525" s="311"/>
    </row>
    <row r="526">
      <c r="D526" s="308"/>
      <c r="E526" s="309"/>
      <c r="F526" s="310"/>
      <c r="G526" s="311"/>
    </row>
    <row r="527">
      <c r="D527" s="308"/>
      <c r="E527" s="309"/>
      <c r="F527" s="310"/>
      <c r="G527" s="311"/>
    </row>
    <row r="528">
      <c r="D528" s="308"/>
      <c r="E528" s="309"/>
      <c r="F528" s="310"/>
      <c r="G528" s="311"/>
    </row>
    <row r="529">
      <c r="D529" s="308"/>
      <c r="E529" s="309"/>
      <c r="F529" s="310"/>
      <c r="G529" s="311"/>
    </row>
    <row r="530">
      <c r="D530" s="308"/>
      <c r="E530" s="309"/>
      <c r="F530" s="310"/>
      <c r="G530" s="311"/>
    </row>
    <row r="531">
      <c r="D531" s="308"/>
      <c r="E531" s="309"/>
      <c r="F531" s="310"/>
      <c r="G531" s="311"/>
    </row>
    <row r="532">
      <c r="D532" s="308"/>
      <c r="E532" s="309"/>
      <c r="F532" s="310"/>
      <c r="G532" s="311"/>
    </row>
    <row r="533">
      <c r="D533" s="308"/>
      <c r="E533" s="309"/>
      <c r="F533" s="310"/>
      <c r="G533" s="311"/>
    </row>
    <row r="534">
      <c r="D534" s="308"/>
      <c r="E534" s="309"/>
      <c r="F534" s="310"/>
      <c r="G534" s="311"/>
    </row>
    <row r="535">
      <c r="D535" s="308"/>
      <c r="E535" s="309"/>
      <c r="F535" s="310"/>
      <c r="G535" s="311"/>
    </row>
    <row r="536">
      <c r="D536" s="308"/>
      <c r="E536" s="309"/>
      <c r="F536" s="310"/>
      <c r="G536" s="311"/>
    </row>
    <row r="537">
      <c r="D537" s="308"/>
      <c r="E537" s="309"/>
      <c r="F537" s="310"/>
      <c r="G537" s="311"/>
    </row>
    <row r="538">
      <c r="D538" s="308"/>
      <c r="E538" s="309"/>
      <c r="F538" s="310"/>
      <c r="G538" s="311"/>
    </row>
    <row r="539">
      <c r="D539" s="308"/>
      <c r="E539" s="309"/>
      <c r="F539" s="310"/>
      <c r="G539" s="311"/>
    </row>
    <row r="540">
      <c r="D540" s="308"/>
      <c r="E540" s="309"/>
      <c r="F540" s="310"/>
      <c r="G540" s="311"/>
    </row>
    <row r="541">
      <c r="D541" s="308"/>
      <c r="E541" s="309"/>
      <c r="F541" s="310"/>
      <c r="G541" s="311"/>
    </row>
    <row r="542">
      <c r="D542" s="308"/>
      <c r="E542" s="309"/>
      <c r="F542" s="310"/>
      <c r="G542" s="311"/>
    </row>
    <row r="543">
      <c r="D543" s="308"/>
      <c r="E543" s="309"/>
      <c r="F543" s="310"/>
      <c r="G543" s="311"/>
    </row>
    <row r="544">
      <c r="D544" s="308"/>
      <c r="E544" s="309"/>
      <c r="F544" s="310"/>
      <c r="G544" s="311"/>
    </row>
    <row r="545">
      <c r="D545" s="308"/>
      <c r="E545" s="309"/>
      <c r="F545" s="310"/>
      <c r="G545" s="311"/>
    </row>
    <row r="546">
      <c r="D546" s="308"/>
      <c r="E546" s="309"/>
      <c r="F546" s="310"/>
      <c r="G546" s="311"/>
    </row>
    <row r="547">
      <c r="D547" s="308"/>
      <c r="E547" s="309"/>
      <c r="F547" s="310"/>
      <c r="G547" s="311"/>
    </row>
    <row r="548">
      <c r="D548" s="308"/>
      <c r="E548" s="309"/>
      <c r="F548" s="310"/>
      <c r="G548" s="311"/>
    </row>
    <row r="549">
      <c r="D549" s="308"/>
      <c r="E549" s="309"/>
      <c r="F549" s="310"/>
      <c r="G549" s="311"/>
    </row>
    <row r="550">
      <c r="D550" s="308"/>
      <c r="E550" s="309"/>
      <c r="F550" s="310"/>
      <c r="G550" s="311"/>
    </row>
    <row r="551">
      <c r="D551" s="308"/>
      <c r="E551" s="309"/>
      <c r="F551" s="310"/>
      <c r="G551" s="311"/>
    </row>
    <row r="552">
      <c r="D552" s="308"/>
      <c r="E552" s="309"/>
      <c r="F552" s="310"/>
      <c r="G552" s="311"/>
    </row>
    <row r="553">
      <c r="D553" s="308"/>
      <c r="E553" s="309"/>
      <c r="F553" s="310"/>
      <c r="G553" s="311"/>
    </row>
    <row r="554">
      <c r="D554" s="308"/>
      <c r="E554" s="309"/>
      <c r="F554" s="310"/>
      <c r="G554" s="311"/>
    </row>
    <row r="555">
      <c r="D555" s="308"/>
      <c r="E555" s="309"/>
      <c r="F555" s="310"/>
      <c r="G555" s="311"/>
    </row>
    <row r="556">
      <c r="D556" s="308"/>
      <c r="E556" s="309"/>
      <c r="F556" s="310"/>
      <c r="G556" s="311"/>
    </row>
    <row r="557">
      <c r="D557" s="308"/>
      <c r="E557" s="309"/>
      <c r="F557" s="310"/>
      <c r="G557" s="311"/>
    </row>
    <row r="558">
      <c r="D558" s="308"/>
      <c r="E558" s="309"/>
      <c r="F558" s="310"/>
      <c r="G558" s="311"/>
    </row>
    <row r="559">
      <c r="D559" s="308"/>
      <c r="E559" s="309"/>
      <c r="F559" s="310"/>
      <c r="G559" s="311"/>
    </row>
    <row r="560">
      <c r="D560" s="308"/>
      <c r="E560" s="309"/>
      <c r="F560" s="310"/>
      <c r="G560" s="311"/>
    </row>
    <row r="561">
      <c r="D561" s="308"/>
      <c r="E561" s="309"/>
      <c r="F561" s="310"/>
      <c r="G561" s="311"/>
    </row>
    <row r="562">
      <c r="D562" s="308"/>
      <c r="E562" s="309"/>
      <c r="F562" s="310"/>
      <c r="G562" s="311"/>
    </row>
    <row r="563">
      <c r="D563" s="308"/>
      <c r="E563" s="309"/>
      <c r="F563" s="310"/>
      <c r="G563" s="311"/>
    </row>
    <row r="564">
      <c r="D564" s="308"/>
      <c r="E564" s="309"/>
      <c r="F564" s="310"/>
      <c r="G564" s="311"/>
    </row>
    <row r="565">
      <c r="D565" s="308"/>
      <c r="E565" s="309"/>
      <c r="F565" s="310"/>
      <c r="G565" s="311"/>
    </row>
    <row r="566">
      <c r="D566" s="308"/>
      <c r="E566" s="309"/>
      <c r="F566" s="310"/>
      <c r="G566" s="311"/>
    </row>
    <row r="567">
      <c r="D567" s="308"/>
      <c r="E567" s="309"/>
      <c r="F567" s="310"/>
      <c r="G567" s="311"/>
    </row>
    <row r="568">
      <c r="D568" s="308"/>
      <c r="E568" s="309"/>
      <c r="F568" s="310"/>
      <c r="G568" s="311"/>
    </row>
    <row r="569">
      <c r="D569" s="308"/>
      <c r="E569" s="309"/>
      <c r="F569" s="310"/>
      <c r="G569" s="311"/>
    </row>
    <row r="570">
      <c r="D570" s="308"/>
      <c r="E570" s="309"/>
      <c r="F570" s="310"/>
      <c r="G570" s="311"/>
    </row>
    <row r="571">
      <c r="D571" s="308"/>
      <c r="E571" s="309"/>
      <c r="F571" s="310"/>
      <c r="G571" s="311"/>
    </row>
    <row r="572">
      <c r="D572" s="308"/>
      <c r="E572" s="309"/>
      <c r="F572" s="310"/>
      <c r="G572" s="311"/>
    </row>
    <row r="573">
      <c r="D573" s="308"/>
      <c r="E573" s="309"/>
      <c r="F573" s="310"/>
      <c r="G573" s="311"/>
    </row>
    <row r="574">
      <c r="D574" s="308"/>
      <c r="E574" s="309"/>
      <c r="F574" s="310"/>
      <c r="G574" s="311"/>
    </row>
    <row r="575">
      <c r="D575" s="308"/>
      <c r="E575" s="309"/>
      <c r="F575" s="310"/>
      <c r="G575" s="311"/>
    </row>
    <row r="576">
      <c r="D576" s="308"/>
      <c r="E576" s="309"/>
      <c r="F576" s="310"/>
      <c r="G576" s="311"/>
    </row>
    <row r="577">
      <c r="D577" s="308"/>
      <c r="E577" s="309"/>
      <c r="F577" s="310"/>
      <c r="G577" s="311"/>
    </row>
    <row r="578">
      <c r="D578" s="308"/>
      <c r="E578" s="309"/>
      <c r="F578" s="310"/>
      <c r="G578" s="311"/>
    </row>
    <row r="579">
      <c r="D579" s="308"/>
      <c r="E579" s="309"/>
      <c r="F579" s="310"/>
      <c r="G579" s="311"/>
    </row>
    <row r="580">
      <c r="D580" s="308"/>
      <c r="E580" s="309"/>
      <c r="F580" s="310"/>
      <c r="G580" s="311"/>
    </row>
    <row r="581">
      <c r="D581" s="308"/>
      <c r="E581" s="309"/>
      <c r="F581" s="310"/>
      <c r="G581" s="311"/>
    </row>
    <row r="582">
      <c r="D582" s="308"/>
      <c r="E582" s="309"/>
      <c r="F582" s="310"/>
      <c r="G582" s="311"/>
    </row>
    <row r="583">
      <c r="D583" s="308"/>
      <c r="E583" s="309"/>
      <c r="F583" s="310"/>
      <c r="G583" s="311"/>
    </row>
    <row r="584">
      <c r="D584" s="308"/>
      <c r="E584" s="309"/>
      <c r="F584" s="310"/>
      <c r="G584" s="311"/>
    </row>
    <row r="585">
      <c r="D585" s="308"/>
      <c r="E585" s="309"/>
      <c r="F585" s="310"/>
      <c r="G585" s="311"/>
    </row>
    <row r="586">
      <c r="D586" s="308"/>
      <c r="E586" s="309"/>
      <c r="F586" s="310"/>
      <c r="G586" s="311"/>
    </row>
    <row r="587">
      <c r="D587" s="308"/>
      <c r="E587" s="309"/>
      <c r="F587" s="310"/>
      <c r="G587" s="311"/>
    </row>
    <row r="588">
      <c r="D588" s="308"/>
      <c r="E588" s="309"/>
      <c r="F588" s="310"/>
      <c r="G588" s="311"/>
    </row>
    <row r="589">
      <c r="D589" s="308"/>
      <c r="E589" s="309"/>
      <c r="F589" s="310"/>
      <c r="G589" s="311"/>
    </row>
    <row r="590">
      <c r="D590" s="308"/>
      <c r="E590" s="309"/>
      <c r="F590" s="310"/>
      <c r="G590" s="311"/>
    </row>
    <row r="591">
      <c r="D591" s="308"/>
      <c r="E591" s="309"/>
      <c r="F591" s="310"/>
      <c r="G591" s="311"/>
    </row>
    <row r="592">
      <c r="D592" s="308"/>
      <c r="E592" s="309"/>
      <c r="F592" s="310"/>
      <c r="G592" s="311"/>
    </row>
    <row r="593">
      <c r="D593" s="308"/>
      <c r="E593" s="309"/>
      <c r="F593" s="310"/>
      <c r="G593" s="311"/>
    </row>
    <row r="594">
      <c r="D594" s="308"/>
      <c r="E594" s="309"/>
      <c r="F594" s="310"/>
      <c r="G594" s="311"/>
    </row>
    <row r="595">
      <c r="D595" s="308"/>
      <c r="E595" s="309"/>
      <c r="F595" s="310"/>
      <c r="G595" s="311"/>
    </row>
    <row r="596">
      <c r="D596" s="308"/>
      <c r="E596" s="309"/>
      <c r="F596" s="310"/>
      <c r="G596" s="311"/>
    </row>
    <row r="597">
      <c r="D597" s="308"/>
      <c r="E597" s="309"/>
      <c r="F597" s="310"/>
      <c r="G597" s="311"/>
    </row>
    <row r="598">
      <c r="D598" s="308"/>
      <c r="E598" s="309"/>
      <c r="F598" s="310"/>
      <c r="G598" s="311"/>
    </row>
    <row r="599">
      <c r="D599" s="308"/>
      <c r="E599" s="309"/>
      <c r="F599" s="310"/>
      <c r="G599" s="311"/>
    </row>
    <row r="600">
      <c r="D600" s="308"/>
      <c r="E600" s="309"/>
      <c r="F600" s="310"/>
      <c r="G600" s="311"/>
    </row>
    <row r="601">
      <c r="D601" s="308"/>
      <c r="E601" s="309"/>
      <c r="F601" s="310"/>
      <c r="G601" s="311"/>
    </row>
    <row r="602">
      <c r="D602" s="308"/>
      <c r="E602" s="309"/>
      <c r="F602" s="310"/>
      <c r="G602" s="311"/>
    </row>
    <row r="603">
      <c r="D603" s="308"/>
      <c r="E603" s="309"/>
      <c r="F603" s="310"/>
      <c r="G603" s="311"/>
    </row>
    <row r="604">
      <c r="D604" s="308"/>
      <c r="E604" s="309"/>
      <c r="F604" s="310"/>
      <c r="G604" s="311"/>
    </row>
    <row r="605">
      <c r="D605" s="308"/>
      <c r="E605" s="309"/>
      <c r="F605" s="310"/>
      <c r="G605" s="311"/>
    </row>
    <row r="606">
      <c r="D606" s="308"/>
      <c r="E606" s="309"/>
      <c r="F606" s="310"/>
      <c r="G606" s="311"/>
    </row>
    <row r="607">
      <c r="D607" s="308"/>
      <c r="E607" s="309"/>
      <c r="F607" s="310"/>
      <c r="G607" s="311"/>
    </row>
    <row r="608">
      <c r="D608" s="308"/>
      <c r="E608" s="309"/>
      <c r="F608" s="310"/>
      <c r="G608" s="311"/>
    </row>
    <row r="609">
      <c r="D609" s="308"/>
      <c r="E609" s="309"/>
      <c r="F609" s="310"/>
      <c r="G609" s="311"/>
    </row>
    <row r="610">
      <c r="D610" s="308"/>
      <c r="E610" s="309"/>
      <c r="F610" s="310"/>
      <c r="G610" s="311"/>
    </row>
    <row r="611">
      <c r="D611" s="308"/>
      <c r="E611" s="309"/>
      <c r="F611" s="310"/>
      <c r="G611" s="311"/>
    </row>
    <row r="612">
      <c r="D612" s="308"/>
      <c r="E612" s="309"/>
      <c r="F612" s="310"/>
      <c r="G612" s="311"/>
    </row>
    <row r="613">
      <c r="D613" s="308"/>
      <c r="E613" s="309"/>
      <c r="F613" s="310"/>
      <c r="G613" s="311"/>
    </row>
    <row r="614">
      <c r="D614" s="308"/>
      <c r="E614" s="309"/>
      <c r="F614" s="310"/>
      <c r="G614" s="311"/>
    </row>
    <row r="615">
      <c r="D615" s="308"/>
      <c r="E615" s="309"/>
      <c r="F615" s="310"/>
      <c r="G615" s="311"/>
    </row>
    <row r="616">
      <c r="D616" s="308"/>
      <c r="E616" s="309"/>
      <c r="F616" s="310"/>
      <c r="G616" s="311"/>
    </row>
    <row r="617">
      <c r="D617" s="308"/>
      <c r="E617" s="309"/>
      <c r="F617" s="310"/>
      <c r="G617" s="311"/>
    </row>
    <row r="618">
      <c r="D618" s="308"/>
      <c r="E618" s="309"/>
      <c r="F618" s="310"/>
      <c r="G618" s="311"/>
    </row>
    <row r="619">
      <c r="D619" s="308"/>
      <c r="E619" s="309"/>
      <c r="F619" s="310"/>
      <c r="G619" s="311"/>
    </row>
    <row r="620">
      <c r="D620" s="308"/>
      <c r="E620" s="309"/>
      <c r="F620" s="310"/>
      <c r="G620" s="311"/>
    </row>
    <row r="621">
      <c r="D621" s="308"/>
      <c r="E621" s="309"/>
      <c r="F621" s="310"/>
      <c r="G621" s="311"/>
    </row>
    <row r="622">
      <c r="D622" s="308"/>
      <c r="E622" s="309"/>
      <c r="F622" s="310"/>
      <c r="G622" s="311"/>
    </row>
    <row r="623">
      <c r="D623" s="308"/>
      <c r="E623" s="309"/>
      <c r="F623" s="310"/>
      <c r="G623" s="311"/>
    </row>
    <row r="624">
      <c r="D624" s="308"/>
      <c r="E624" s="309"/>
      <c r="F624" s="310"/>
      <c r="G624" s="311"/>
    </row>
    <row r="625">
      <c r="D625" s="308"/>
      <c r="E625" s="309"/>
      <c r="F625" s="310"/>
      <c r="G625" s="311"/>
    </row>
    <row r="626">
      <c r="D626" s="308"/>
      <c r="E626" s="309"/>
      <c r="F626" s="310"/>
      <c r="G626" s="311"/>
    </row>
    <row r="627">
      <c r="D627" s="308"/>
      <c r="E627" s="309"/>
      <c r="F627" s="310"/>
      <c r="G627" s="311"/>
    </row>
    <row r="628">
      <c r="D628" s="308"/>
      <c r="E628" s="309"/>
      <c r="F628" s="310"/>
      <c r="G628" s="311"/>
    </row>
    <row r="629">
      <c r="D629" s="308"/>
      <c r="E629" s="309"/>
      <c r="F629" s="310"/>
      <c r="G629" s="311"/>
    </row>
    <row r="630">
      <c r="D630" s="308"/>
      <c r="E630" s="309"/>
      <c r="F630" s="310"/>
      <c r="G630" s="311"/>
    </row>
    <row r="631">
      <c r="D631" s="308"/>
      <c r="E631" s="309"/>
      <c r="F631" s="310"/>
      <c r="G631" s="311"/>
    </row>
    <row r="632">
      <c r="D632" s="308"/>
      <c r="E632" s="309"/>
      <c r="F632" s="310"/>
      <c r="G632" s="311"/>
    </row>
    <row r="633">
      <c r="D633" s="308"/>
      <c r="E633" s="309"/>
      <c r="F633" s="310"/>
      <c r="G633" s="311"/>
    </row>
    <row r="634">
      <c r="D634" s="308"/>
      <c r="E634" s="309"/>
      <c r="F634" s="310"/>
      <c r="G634" s="311"/>
    </row>
    <row r="635">
      <c r="D635" s="308"/>
      <c r="E635" s="309"/>
      <c r="F635" s="310"/>
      <c r="G635" s="311"/>
    </row>
    <row r="636">
      <c r="D636" s="308"/>
      <c r="E636" s="309"/>
      <c r="F636" s="310"/>
      <c r="G636" s="311"/>
    </row>
    <row r="637">
      <c r="D637" s="308"/>
      <c r="E637" s="309"/>
      <c r="F637" s="310"/>
      <c r="G637" s="311"/>
    </row>
    <row r="638">
      <c r="D638" s="308"/>
      <c r="E638" s="309"/>
      <c r="F638" s="310"/>
      <c r="G638" s="311"/>
    </row>
    <row r="639">
      <c r="D639" s="308"/>
      <c r="E639" s="309"/>
      <c r="F639" s="310"/>
      <c r="G639" s="311"/>
    </row>
    <row r="640">
      <c r="D640" s="308"/>
      <c r="E640" s="309"/>
      <c r="F640" s="310"/>
      <c r="G640" s="311"/>
    </row>
    <row r="641">
      <c r="D641" s="308"/>
      <c r="E641" s="309"/>
      <c r="F641" s="310"/>
      <c r="G641" s="311"/>
    </row>
    <row r="642">
      <c r="D642" s="308"/>
      <c r="E642" s="309"/>
      <c r="F642" s="310"/>
      <c r="G642" s="311"/>
    </row>
    <row r="643">
      <c r="D643" s="308"/>
      <c r="E643" s="309"/>
      <c r="F643" s="310"/>
      <c r="G643" s="311"/>
    </row>
    <row r="644">
      <c r="D644" s="308"/>
      <c r="E644" s="309"/>
      <c r="F644" s="310"/>
      <c r="G644" s="311"/>
    </row>
    <row r="645">
      <c r="D645" s="308"/>
      <c r="E645" s="309"/>
      <c r="F645" s="310"/>
      <c r="G645" s="311"/>
    </row>
    <row r="646">
      <c r="D646" s="308"/>
      <c r="E646" s="309"/>
      <c r="F646" s="310"/>
      <c r="G646" s="311"/>
    </row>
    <row r="647">
      <c r="D647" s="308"/>
      <c r="E647" s="309"/>
      <c r="F647" s="310"/>
      <c r="G647" s="311"/>
    </row>
    <row r="648">
      <c r="D648" s="308"/>
      <c r="E648" s="309"/>
      <c r="F648" s="310"/>
      <c r="G648" s="311"/>
    </row>
    <row r="649">
      <c r="D649" s="308"/>
      <c r="E649" s="309"/>
      <c r="F649" s="310"/>
      <c r="G649" s="311"/>
    </row>
    <row r="650">
      <c r="D650" s="308"/>
      <c r="E650" s="309"/>
      <c r="F650" s="310"/>
      <c r="G650" s="311"/>
    </row>
    <row r="651">
      <c r="D651" s="308"/>
      <c r="E651" s="309"/>
      <c r="F651" s="310"/>
      <c r="G651" s="311"/>
    </row>
    <row r="652">
      <c r="D652" s="308"/>
      <c r="E652" s="309"/>
      <c r="F652" s="310"/>
      <c r="G652" s="311"/>
    </row>
    <row r="653">
      <c r="D653" s="308"/>
      <c r="E653" s="309"/>
      <c r="F653" s="310"/>
      <c r="G653" s="311"/>
    </row>
    <row r="654">
      <c r="D654" s="308"/>
      <c r="E654" s="309"/>
      <c r="F654" s="310"/>
      <c r="G654" s="311"/>
    </row>
    <row r="655">
      <c r="D655" s="308"/>
      <c r="E655" s="309"/>
      <c r="F655" s="310"/>
      <c r="G655" s="311"/>
    </row>
    <row r="656">
      <c r="D656" s="308"/>
      <c r="E656" s="309"/>
      <c r="F656" s="310"/>
      <c r="G656" s="311"/>
    </row>
    <row r="657">
      <c r="D657" s="308"/>
      <c r="E657" s="309"/>
      <c r="F657" s="310"/>
      <c r="G657" s="311"/>
    </row>
    <row r="658">
      <c r="D658" s="308"/>
      <c r="E658" s="309"/>
      <c r="F658" s="310"/>
      <c r="G658" s="311"/>
    </row>
    <row r="659">
      <c r="D659" s="308"/>
      <c r="E659" s="309"/>
      <c r="F659" s="310"/>
      <c r="G659" s="311"/>
    </row>
    <row r="660">
      <c r="D660" s="308"/>
      <c r="E660" s="309"/>
      <c r="F660" s="310"/>
      <c r="G660" s="311"/>
    </row>
    <row r="661">
      <c r="D661" s="308"/>
      <c r="E661" s="309"/>
      <c r="F661" s="310"/>
      <c r="G661" s="311"/>
    </row>
    <row r="662">
      <c r="D662" s="308"/>
      <c r="E662" s="309"/>
      <c r="F662" s="310"/>
      <c r="G662" s="311"/>
    </row>
    <row r="663">
      <c r="D663" s="308"/>
      <c r="E663" s="309"/>
      <c r="F663" s="310"/>
      <c r="G663" s="311"/>
    </row>
    <row r="664">
      <c r="D664" s="308"/>
      <c r="E664" s="309"/>
      <c r="F664" s="310"/>
      <c r="G664" s="311"/>
    </row>
    <row r="665">
      <c r="D665" s="308"/>
      <c r="E665" s="309"/>
      <c r="F665" s="310"/>
      <c r="G665" s="311"/>
    </row>
    <row r="666">
      <c r="D666" s="308"/>
      <c r="E666" s="309"/>
      <c r="F666" s="310"/>
      <c r="G666" s="311"/>
    </row>
    <row r="667">
      <c r="D667" s="308"/>
      <c r="E667" s="309"/>
      <c r="F667" s="310"/>
      <c r="G667" s="311"/>
    </row>
    <row r="668">
      <c r="D668" s="308"/>
      <c r="E668" s="309"/>
      <c r="F668" s="310"/>
      <c r="G668" s="311"/>
    </row>
    <row r="669">
      <c r="D669" s="308"/>
      <c r="E669" s="309"/>
      <c r="F669" s="310"/>
      <c r="G669" s="311"/>
    </row>
    <row r="670">
      <c r="D670" s="308"/>
      <c r="E670" s="309"/>
      <c r="F670" s="310"/>
      <c r="G670" s="311"/>
    </row>
    <row r="671">
      <c r="D671" s="308"/>
      <c r="E671" s="309"/>
      <c r="F671" s="310"/>
      <c r="G671" s="311"/>
    </row>
    <row r="672">
      <c r="D672" s="308"/>
      <c r="E672" s="309"/>
      <c r="F672" s="310"/>
      <c r="G672" s="311"/>
    </row>
    <row r="673">
      <c r="D673" s="308"/>
      <c r="E673" s="309"/>
      <c r="F673" s="310"/>
      <c r="G673" s="311"/>
    </row>
    <row r="674">
      <c r="D674" s="308"/>
      <c r="E674" s="309"/>
      <c r="F674" s="310"/>
      <c r="G674" s="311"/>
    </row>
    <row r="675">
      <c r="D675" s="308"/>
      <c r="E675" s="309"/>
      <c r="F675" s="310"/>
      <c r="G675" s="311"/>
    </row>
    <row r="676">
      <c r="D676" s="308"/>
      <c r="E676" s="309"/>
      <c r="F676" s="310"/>
      <c r="G676" s="311"/>
    </row>
    <row r="677">
      <c r="D677" s="308"/>
      <c r="E677" s="309"/>
      <c r="F677" s="310"/>
      <c r="G677" s="311"/>
    </row>
    <row r="678">
      <c r="D678" s="308"/>
      <c r="E678" s="309"/>
      <c r="F678" s="310"/>
      <c r="G678" s="311"/>
    </row>
    <row r="679">
      <c r="D679" s="308"/>
      <c r="E679" s="309"/>
      <c r="F679" s="310"/>
      <c r="G679" s="311"/>
    </row>
    <row r="680">
      <c r="D680" s="308"/>
      <c r="E680" s="309"/>
      <c r="F680" s="310"/>
      <c r="G680" s="311"/>
    </row>
    <row r="681">
      <c r="D681" s="308"/>
      <c r="E681" s="309"/>
      <c r="F681" s="310"/>
      <c r="G681" s="311"/>
    </row>
    <row r="682">
      <c r="D682" s="308"/>
      <c r="E682" s="309"/>
      <c r="F682" s="310"/>
      <c r="G682" s="311"/>
    </row>
    <row r="683">
      <c r="D683" s="308"/>
      <c r="E683" s="309"/>
      <c r="F683" s="310"/>
      <c r="G683" s="311"/>
    </row>
    <row r="684">
      <c r="D684" s="308"/>
      <c r="E684" s="309"/>
      <c r="F684" s="310"/>
      <c r="G684" s="311"/>
    </row>
    <row r="685">
      <c r="D685" s="308"/>
      <c r="E685" s="309"/>
      <c r="F685" s="310"/>
      <c r="G685" s="311"/>
    </row>
    <row r="686">
      <c r="D686" s="308"/>
      <c r="E686" s="309"/>
      <c r="F686" s="310"/>
      <c r="G686" s="311"/>
    </row>
    <row r="687">
      <c r="D687" s="308"/>
      <c r="E687" s="309"/>
      <c r="F687" s="310"/>
      <c r="G687" s="311"/>
    </row>
    <row r="688">
      <c r="D688" s="308"/>
      <c r="E688" s="309"/>
      <c r="F688" s="310"/>
      <c r="G688" s="311"/>
    </row>
    <row r="689">
      <c r="D689" s="308"/>
      <c r="E689" s="309"/>
      <c r="F689" s="310"/>
      <c r="G689" s="311"/>
    </row>
    <row r="690">
      <c r="D690" s="308"/>
      <c r="E690" s="309"/>
      <c r="F690" s="310"/>
      <c r="G690" s="311"/>
    </row>
    <row r="691">
      <c r="D691" s="308"/>
      <c r="E691" s="309"/>
      <c r="F691" s="310"/>
      <c r="G691" s="311"/>
    </row>
    <row r="692">
      <c r="D692" s="308"/>
      <c r="E692" s="309"/>
      <c r="F692" s="310"/>
      <c r="G692" s="311"/>
    </row>
    <row r="693">
      <c r="D693" s="308"/>
      <c r="E693" s="309"/>
      <c r="F693" s="310"/>
      <c r="G693" s="311"/>
    </row>
    <row r="694">
      <c r="D694" s="308"/>
      <c r="E694" s="309"/>
      <c r="F694" s="310"/>
      <c r="G694" s="311"/>
    </row>
    <row r="695">
      <c r="D695" s="308"/>
      <c r="E695" s="309"/>
      <c r="F695" s="310"/>
      <c r="G695" s="311"/>
    </row>
    <row r="696">
      <c r="D696" s="308"/>
      <c r="E696" s="309"/>
      <c r="F696" s="310"/>
      <c r="G696" s="311"/>
    </row>
    <row r="697">
      <c r="D697" s="308"/>
      <c r="E697" s="309"/>
      <c r="F697" s="310"/>
      <c r="G697" s="311"/>
    </row>
    <row r="698">
      <c r="D698" s="308"/>
      <c r="E698" s="309"/>
      <c r="F698" s="310"/>
      <c r="G698" s="311"/>
    </row>
    <row r="699">
      <c r="D699" s="308"/>
      <c r="E699" s="309"/>
      <c r="F699" s="310"/>
      <c r="G699" s="311"/>
    </row>
    <row r="700">
      <c r="D700" s="308"/>
      <c r="E700" s="309"/>
      <c r="F700" s="310"/>
      <c r="G700" s="311"/>
    </row>
    <row r="701">
      <c r="D701" s="308"/>
      <c r="E701" s="309"/>
      <c r="F701" s="310"/>
      <c r="G701" s="311"/>
    </row>
    <row r="702">
      <c r="D702" s="308"/>
      <c r="E702" s="309"/>
      <c r="F702" s="310"/>
      <c r="G702" s="311"/>
    </row>
    <row r="703">
      <c r="D703" s="308"/>
      <c r="E703" s="309"/>
      <c r="F703" s="310"/>
      <c r="G703" s="311"/>
    </row>
    <row r="704">
      <c r="D704" s="308"/>
      <c r="E704" s="309"/>
      <c r="F704" s="310"/>
      <c r="G704" s="311"/>
    </row>
    <row r="705">
      <c r="D705" s="308"/>
      <c r="E705" s="309"/>
      <c r="F705" s="310"/>
      <c r="G705" s="311"/>
    </row>
    <row r="706">
      <c r="D706" s="308"/>
      <c r="E706" s="309"/>
      <c r="F706" s="310"/>
      <c r="G706" s="311"/>
    </row>
    <row r="707">
      <c r="D707" s="308"/>
      <c r="E707" s="309"/>
      <c r="F707" s="310"/>
      <c r="G707" s="311"/>
    </row>
    <row r="708">
      <c r="D708" s="308"/>
      <c r="E708" s="309"/>
      <c r="F708" s="310"/>
      <c r="G708" s="311"/>
    </row>
    <row r="709">
      <c r="D709" s="308"/>
      <c r="E709" s="309"/>
      <c r="F709" s="310"/>
      <c r="G709" s="311"/>
    </row>
    <row r="710">
      <c r="D710" s="308"/>
      <c r="E710" s="309"/>
      <c r="F710" s="310"/>
      <c r="G710" s="311"/>
    </row>
    <row r="711">
      <c r="D711" s="308"/>
      <c r="E711" s="309"/>
      <c r="F711" s="310"/>
      <c r="G711" s="311"/>
    </row>
    <row r="712">
      <c r="D712" s="308"/>
      <c r="E712" s="309"/>
      <c r="F712" s="310"/>
      <c r="G712" s="311"/>
    </row>
    <row r="713">
      <c r="D713" s="308"/>
      <c r="E713" s="309"/>
      <c r="F713" s="310"/>
      <c r="G713" s="311"/>
    </row>
    <row r="714">
      <c r="D714" s="308"/>
      <c r="E714" s="309"/>
      <c r="F714" s="310"/>
      <c r="G714" s="311"/>
    </row>
    <row r="715">
      <c r="D715" s="308"/>
      <c r="E715" s="309"/>
      <c r="F715" s="310"/>
      <c r="G715" s="311"/>
    </row>
    <row r="716">
      <c r="D716" s="308"/>
      <c r="E716" s="309"/>
      <c r="F716" s="310"/>
      <c r="G716" s="311"/>
    </row>
    <row r="717">
      <c r="D717" s="308"/>
      <c r="E717" s="309"/>
      <c r="F717" s="310"/>
      <c r="G717" s="311"/>
    </row>
    <row r="718">
      <c r="D718" s="308"/>
      <c r="E718" s="309"/>
      <c r="F718" s="310"/>
      <c r="G718" s="311"/>
    </row>
    <row r="719">
      <c r="D719" s="308"/>
      <c r="E719" s="309"/>
      <c r="F719" s="310"/>
      <c r="G719" s="311"/>
    </row>
    <row r="720">
      <c r="D720" s="308"/>
      <c r="E720" s="309"/>
      <c r="F720" s="310"/>
      <c r="G720" s="311"/>
    </row>
    <row r="721">
      <c r="D721" s="308"/>
      <c r="E721" s="309"/>
      <c r="F721" s="310"/>
      <c r="G721" s="311"/>
    </row>
    <row r="722">
      <c r="D722" s="308"/>
      <c r="E722" s="309"/>
      <c r="F722" s="310"/>
      <c r="G722" s="311"/>
    </row>
    <row r="723">
      <c r="D723" s="308"/>
      <c r="E723" s="309"/>
      <c r="F723" s="310"/>
      <c r="G723" s="311"/>
    </row>
    <row r="724">
      <c r="D724" s="308"/>
      <c r="E724" s="309"/>
      <c r="F724" s="310"/>
      <c r="G724" s="311"/>
    </row>
    <row r="725">
      <c r="D725" s="308"/>
      <c r="E725" s="309"/>
      <c r="F725" s="310"/>
      <c r="G725" s="311"/>
    </row>
    <row r="726">
      <c r="D726" s="308"/>
      <c r="E726" s="309"/>
      <c r="F726" s="310"/>
      <c r="G726" s="311"/>
    </row>
    <row r="727">
      <c r="D727" s="308"/>
      <c r="E727" s="309"/>
      <c r="F727" s="310"/>
      <c r="G727" s="311"/>
    </row>
    <row r="728">
      <c r="D728" s="308"/>
      <c r="E728" s="309"/>
      <c r="F728" s="310"/>
      <c r="G728" s="311"/>
    </row>
    <row r="729">
      <c r="D729" s="308"/>
      <c r="E729" s="309"/>
      <c r="F729" s="310"/>
      <c r="G729" s="311"/>
    </row>
    <row r="730">
      <c r="D730" s="308"/>
      <c r="E730" s="309"/>
      <c r="F730" s="310"/>
      <c r="G730" s="311"/>
    </row>
    <row r="731">
      <c r="D731" s="308"/>
      <c r="E731" s="309"/>
      <c r="F731" s="310"/>
      <c r="G731" s="311"/>
    </row>
    <row r="732">
      <c r="D732" s="308"/>
      <c r="E732" s="309"/>
      <c r="F732" s="310"/>
      <c r="G732" s="311"/>
    </row>
    <row r="733">
      <c r="D733" s="308"/>
      <c r="E733" s="309"/>
      <c r="F733" s="310"/>
      <c r="G733" s="311"/>
    </row>
    <row r="734">
      <c r="D734" s="308"/>
      <c r="E734" s="309"/>
      <c r="F734" s="310"/>
      <c r="G734" s="311"/>
    </row>
    <row r="735">
      <c r="D735" s="308"/>
      <c r="E735" s="309"/>
      <c r="F735" s="310"/>
      <c r="G735" s="311"/>
    </row>
    <row r="736">
      <c r="D736" s="308"/>
      <c r="E736" s="309"/>
      <c r="F736" s="310"/>
      <c r="G736" s="311"/>
    </row>
    <row r="737">
      <c r="D737" s="308"/>
      <c r="E737" s="309"/>
      <c r="F737" s="310"/>
      <c r="G737" s="311"/>
    </row>
    <row r="738">
      <c r="D738" s="308"/>
      <c r="E738" s="309"/>
      <c r="F738" s="310"/>
      <c r="G738" s="311"/>
    </row>
    <row r="739">
      <c r="D739" s="308"/>
      <c r="E739" s="309"/>
      <c r="F739" s="310"/>
      <c r="G739" s="311"/>
    </row>
    <row r="740">
      <c r="D740" s="308"/>
      <c r="E740" s="309"/>
      <c r="F740" s="310"/>
      <c r="G740" s="311"/>
    </row>
    <row r="741">
      <c r="D741" s="308"/>
      <c r="E741" s="309"/>
      <c r="F741" s="310"/>
      <c r="G741" s="311"/>
    </row>
    <row r="742">
      <c r="D742" s="308"/>
      <c r="E742" s="309"/>
      <c r="F742" s="310"/>
      <c r="G742" s="311"/>
    </row>
    <row r="743">
      <c r="D743" s="308"/>
      <c r="E743" s="309"/>
      <c r="F743" s="310"/>
      <c r="G743" s="311"/>
    </row>
    <row r="744">
      <c r="D744" s="308"/>
      <c r="E744" s="309"/>
      <c r="F744" s="310"/>
      <c r="G744" s="311"/>
    </row>
    <row r="745">
      <c r="D745" s="308"/>
      <c r="E745" s="309"/>
      <c r="F745" s="310"/>
      <c r="G745" s="311"/>
    </row>
    <row r="746">
      <c r="D746" s="308"/>
      <c r="E746" s="309"/>
      <c r="F746" s="310"/>
      <c r="G746" s="311"/>
    </row>
    <row r="747">
      <c r="D747" s="308"/>
      <c r="E747" s="309"/>
      <c r="F747" s="310"/>
      <c r="G747" s="311"/>
    </row>
    <row r="748">
      <c r="D748" s="308"/>
      <c r="E748" s="309"/>
      <c r="F748" s="310"/>
      <c r="G748" s="311"/>
    </row>
    <row r="749">
      <c r="D749" s="308"/>
      <c r="E749" s="309"/>
      <c r="F749" s="310"/>
      <c r="G749" s="311"/>
    </row>
    <row r="750">
      <c r="D750" s="308"/>
      <c r="E750" s="309"/>
      <c r="F750" s="310"/>
      <c r="G750" s="311"/>
    </row>
    <row r="751">
      <c r="D751" s="308"/>
      <c r="E751" s="309"/>
      <c r="F751" s="310"/>
      <c r="G751" s="311"/>
    </row>
    <row r="752">
      <c r="D752" s="308"/>
      <c r="E752" s="309"/>
      <c r="F752" s="310"/>
      <c r="G752" s="311"/>
    </row>
    <row r="753">
      <c r="D753" s="308"/>
      <c r="E753" s="309"/>
      <c r="F753" s="310"/>
      <c r="G753" s="311"/>
    </row>
    <row r="754">
      <c r="D754" s="308"/>
      <c r="E754" s="309"/>
      <c r="F754" s="310"/>
      <c r="G754" s="311"/>
    </row>
    <row r="755">
      <c r="D755" s="308"/>
      <c r="E755" s="309"/>
      <c r="F755" s="310"/>
      <c r="G755" s="311"/>
    </row>
    <row r="756">
      <c r="D756" s="308"/>
      <c r="E756" s="309"/>
      <c r="F756" s="310"/>
      <c r="G756" s="311"/>
    </row>
    <row r="757">
      <c r="D757" s="308"/>
      <c r="E757" s="309"/>
      <c r="F757" s="310"/>
      <c r="G757" s="311"/>
    </row>
    <row r="758">
      <c r="D758" s="308"/>
      <c r="E758" s="309"/>
      <c r="F758" s="310"/>
      <c r="G758" s="311"/>
    </row>
    <row r="759">
      <c r="D759" s="308"/>
      <c r="E759" s="309"/>
      <c r="F759" s="310"/>
      <c r="G759" s="311"/>
    </row>
    <row r="760">
      <c r="D760" s="308"/>
      <c r="E760" s="309"/>
      <c r="F760" s="310"/>
      <c r="G760" s="311"/>
    </row>
    <row r="761">
      <c r="D761" s="308"/>
      <c r="E761" s="309"/>
      <c r="F761" s="310"/>
      <c r="G761" s="311"/>
    </row>
    <row r="762">
      <c r="D762" s="308"/>
      <c r="E762" s="309"/>
      <c r="F762" s="310"/>
      <c r="G762" s="311"/>
    </row>
    <row r="763">
      <c r="D763" s="308"/>
      <c r="E763" s="309"/>
      <c r="F763" s="310"/>
      <c r="G763" s="311"/>
    </row>
    <row r="764">
      <c r="D764" s="308"/>
      <c r="E764" s="309"/>
      <c r="F764" s="310"/>
      <c r="G764" s="311"/>
    </row>
    <row r="765">
      <c r="D765" s="308"/>
      <c r="E765" s="309"/>
      <c r="F765" s="310"/>
      <c r="G765" s="311"/>
    </row>
    <row r="766">
      <c r="D766" s="308"/>
      <c r="E766" s="309"/>
      <c r="F766" s="310"/>
      <c r="G766" s="311"/>
    </row>
    <row r="767">
      <c r="D767" s="308"/>
      <c r="E767" s="309"/>
      <c r="F767" s="310"/>
      <c r="G767" s="311"/>
    </row>
    <row r="768">
      <c r="D768" s="308"/>
      <c r="E768" s="309"/>
      <c r="F768" s="310"/>
      <c r="G768" s="311"/>
    </row>
    <row r="769">
      <c r="D769" s="308"/>
      <c r="E769" s="309"/>
      <c r="F769" s="310"/>
      <c r="G769" s="311"/>
    </row>
    <row r="770">
      <c r="D770" s="308"/>
      <c r="E770" s="309"/>
      <c r="F770" s="310"/>
      <c r="G770" s="311"/>
    </row>
    <row r="771">
      <c r="D771" s="308"/>
      <c r="E771" s="309"/>
      <c r="F771" s="310"/>
      <c r="G771" s="311"/>
    </row>
    <row r="772">
      <c r="D772" s="308"/>
      <c r="E772" s="309"/>
      <c r="F772" s="310"/>
      <c r="G772" s="311"/>
    </row>
    <row r="773">
      <c r="D773" s="308"/>
      <c r="E773" s="309"/>
      <c r="F773" s="310"/>
      <c r="G773" s="311"/>
    </row>
    <row r="774">
      <c r="D774" s="308"/>
      <c r="E774" s="309"/>
      <c r="F774" s="310"/>
      <c r="G774" s="311"/>
    </row>
    <row r="775">
      <c r="D775" s="308"/>
      <c r="E775" s="309"/>
      <c r="F775" s="310"/>
      <c r="G775" s="311"/>
    </row>
    <row r="776">
      <c r="D776" s="308"/>
      <c r="E776" s="309"/>
      <c r="F776" s="310"/>
      <c r="G776" s="311"/>
    </row>
    <row r="777">
      <c r="D777" s="308"/>
      <c r="E777" s="309"/>
      <c r="F777" s="310"/>
      <c r="G777" s="311"/>
    </row>
    <row r="778">
      <c r="D778" s="308"/>
      <c r="E778" s="309"/>
      <c r="F778" s="310"/>
      <c r="G778" s="311"/>
    </row>
    <row r="779">
      <c r="D779" s="308"/>
      <c r="E779" s="309"/>
      <c r="F779" s="310"/>
      <c r="G779" s="311"/>
    </row>
    <row r="780">
      <c r="D780" s="308"/>
      <c r="E780" s="309"/>
      <c r="F780" s="310"/>
      <c r="G780" s="311"/>
    </row>
    <row r="781">
      <c r="D781" s="308"/>
      <c r="E781" s="309"/>
      <c r="F781" s="310"/>
      <c r="G781" s="311"/>
    </row>
    <row r="782">
      <c r="D782" s="308"/>
      <c r="E782" s="309"/>
      <c r="F782" s="310"/>
      <c r="G782" s="311"/>
    </row>
    <row r="783">
      <c r="D783" s="308"/>
      <c r="E783" s="309"/>
      <c r="F783" s="310"/>
      <c r="G783" s="311"/>
    </row>
    <row r="784">
      <c r="D784" s="308"/>
      <c r="E784" s="309"/>
      <c r="F784" s="310"/>
      <c r="G784" s="311"/>
    </row>
    <row r="785">
      <c r="D785" s="308"/>
      <c r="E785" s="309"/>
      <c r="F785" s="310"/>
      <c r="G785" s="311"/>
    </row>
    <row r="786">
      <c r="D786" s="308"/>
      <c r="E786" s="309"/>
      <c r="F786" s="310"/>
      <c r="G786" s="311"/>
    </row>
    <row r="787">
      <c r="D787" s="308"/>
      <c r="E787" s="309"/>
      <c r="F787" s="310"/>
      <c r="G787" s="311"/>
    </row>
    <row r="788">
      <c r="D788" s="308"/>
      <c r="E788" s="309"/>
      <c r="F788" s="310"/>
      <c r="G788" s="311"/>
    </row>
    <row r="789">
      <c r="D789" s="308"/>
      <c r="E789" s="309"/>
      <c r="F789" s="310"/>
      <c r="G789" s="311"/>
    </row>
    <row r="790">
      <c r="D790" s="308"/>
      <c r="E790" s="309"/>
      <c r="F790" s="310"/>
      <c r="G790" s="311"/>
    </row>
    <row r="791">
      <c r="D791" s="308"/>
      <c r="E791" s="309"/>
      <c r="F791" s="310"/>
      <c r="G791" s="311"/>
    </row>
    <row r="792">
      <c r="D792" s="308"/>
      <c r="E792" s="309"/>
      <c r="F792" s="310"/>
      <c r="G792" s="311"/>
    </row>
    <row r="793">
      <c r="D793" s="308"/>
      <c r="E793" s="309"/>
      <c r="F793" s="310"/>
      <c r="G793" s="311"/>
    </row>
    <row r="794">
      <c r="D794" s="308"/>
      <c r="E794" s="309"/>
      <c r="F794" s="310"/>
      <c r="G794" s="311"/>
    </row>
    <row r="795">
      <c r="D795" s="308"/>
      <c r="E795" s="309"/>
      <c r="F795" s="310"/>
      <c r="G795" s="311"/>
    </row>
    <row r="796">
      <c r="D796" s="308"/>
      <c r="E796" s="309"/>
      <c r="F796" s="310"/>
      <c r="G796" s="311"/>
    </row>
    <row r="797">
      <c r="D797" s="308"/>
      <c r="E797" s="309"/>
      <c r="F797" s="310"/>
      <c r="G797" s="311"/>
    </row>
    <row r="798">
      <c r="D798" s="308"/>
      <c r="E798" s="309"/>
      <c r="F798" s="310"/>
      <c r="G798" s="311"/>
    </row>
    <row r="799">
      <c r="D799" s="308"/>
      <c r="E799" s="309"/>
      <c r="F799" s="310"/>
      <c r="G799" s="311"/>
    </row>
    <row r="800">
      <c r="D800" s="308"/>
      <c r="E800" s="309"/>
      <c r="F800" s="310"/>
      <c r="G800" s="311"/>
    </row>
    <row r="801">
      <c r="D801" s="308"/>
      <c r="E801" s="309"/>
      <c r="F801" s="310"/>
      <c r="G801" s="311"/>
    </row>
    <row r="802">
      <c r="D802" s="308"/>
      <c r="E802" s="309"/>
      <c r="F802" s="310"/>
      <c r="G802" s="311"/>
    </row>
    <row r="803">
      <c r="D803" s="308"/>
      <c r="E803" s="309"/>
      <c r="F803" s="310"/>
      <c r="G803" s="311"/>
    </row>
    <row r="804">
      <c r="D804" s="308"/>
      <c r="E804" s="309"/>
      <c r="F804" s="310"/>
      <c r="G804" s="311"/>
    </row>
    <row r="805">
      <c r="D805" s="308"/>
      <c r="E805" s="309"/>
      <c r="F805" s="310"/>
      <c r="G805" s="311"/>
    </row>
    <row r="806">
      <c r="D806" s="308"/>
      <c r="E806" s="309"/>
      <c r="F806" s="310"/>
      <c r="G806" s="311"/>
    </row>
    <row r="807">
      <c r="D807" s="308"/>
      <c r="E807" s="309"/>
      <c r="F807" s="310"/>
      <c r="G807" s="311"/>
    </row>
    <row r="808">
      <c r="D808" s="308"/>
      <c r="E808" s="309"/>
      <c r="F808" s="310"/>
      <c r="G808" s="311"/>
    </row>
    <row r="809">
      <c r="D809" s="308"/>
      <c r="E809" s="309"/>
      <c r="F809" s="310"/>
      <c r="G809" s="311"/>
    </row>
    <row r="810">
      <c r="D810" s="308"/>
      <c r="E810" s="309"/>
      <c r="F810" s="310"/>
      <c r="G810" s="311"/>
    </row>
    <row r="811">
      <c r="D811" s="308"/>
      <c r="E811" s="309"/>
      <c r="F811" s="310"/>
      <c r="G811" s="311"/>
    </row>
    <row r="812">
      <c r="D812" s="308"/>
      <c r="E812" s="309"/>
      <c r="F812" s="310"/>
      <c r="G812" s="311"/>
    </row>
    <row r="813">
      <c r="D813" s="308"/>
      <c r="E813" s="309"/>
      <c r="F813" s="310"/>
      <c r="G813" s="311"/>
    </row>
    <row r="814">
      <c r="D814" s="308"/>
      <c r="E814" s="309"/>
      <c r="F814" s="310"/>
      <c r="G814" s="311"/>
    </row>
    <row r="815">
      <c r="D815" s="308"/>
      <c r="E815" s="309"/>
      <c r="F815" s="310"/>
      <c r="G815" s="311"/>
    </row>
    <row r="816">
      <c r="D816" s="308"/>
      <c r="E816" s="309"/>
      <c r="F816" s="310"/>
      <c r="G816" s="311"/>
    </row>
    <row r="817">
      <c r="D817" s="308"/>
      <c r="E817" s="309"/>
      <c r="F817" s="310"/>
      <c r="G817" s="311"/>
    </row>
    <row r="818">
      <c r="D818" s="308"/>
      <c r="E818" s="309"/>
      <c r="F818" s="310"/>
      <c r="G818" s="311"/>
    </row>
    <row r="819">
      <c r="D819" s="308"/>
      <c r="E819" s="309"/>
      <c r="F819" s="310"/>
      <c r="G819" s="311"/>
    </row>
    <row r="820">
      <c r="D820" s="308"/>
      <c r="E820" s="309"/>
      <c r="F820" s="310"/>
      <c r="G820" s="311"/>
    </row>
    <row r="821">
      <c r="D821" s="308"/>
      <c r="E821" s="309"/>
      <c r="F821" s="310"/>
      <c r="G821" s="311"/>
    </row>
    <row r="822">
      <c r="D822" s="308"/>
      <c r="E822" s="309"/>
      <c r="F822" s="310"/>
      <c r="G822" s="311"/>
    </row>
    <row r="823">
      <c r="D823" s="308"/>
      <c r="E823" s="309"/>
      <c r="F823" s="310"/>
      <c r="G823" s="311"/>
    </row>
    <row r="824">
      <c r="D824" s="308"/>
      <c r="E824" s="309"/>
      <c r="F824" s="310"/>
      <c r="G824" s="311"/>
    </row>
    <row r="825">
      <c r="D825" s="308"/>
      <c r="E825" s="309"/>
      <c r="F825" s="310"/>
      <c r="G825" s="311"/>
    </row>
    <row r="826">
      <c r="D826" s="308"/>
      <c r="E826" s="309"/>
      <c r="F826" s="310"/>
      <c r="G826" s="311"/>
    </row>
    <row r="827">
      <c r="D827" s="308"/>
      <c r="E827" s="309"/>
      <c r="F827" s="310"/>
      <c r="G827" s="311"/>
    </row>
    <row r="828">
      <c r="D828" s="308"/>
      <c r="E828" s="309"/>
      <c r="F828" s="310"/>
      <c r="G828" s="311"/>
    </row>
    <row r="829">
      <c r="D829" s="308"/>
      <c r="E829" s="309"/>
      <c r="F829" s="310"/>
      <c r="G829" s="311"/>
    </row>
    <row r="830">
      <c r="D830" s="308"/>
      <c r="E830" s="309"/>
      <c r="F830" s="310"/>
      <c r="G830" s="311"/>
    </row>
    <row r="831">
      <c r="D831" s="308"/>
      <c r="E831" s="309"/>
      <c r="F831" s="310"/>
      <c r="G831" s="311"/>
    </row>
    <row r="832">
      <c r="D832" s="308"/>
      <c r="E832" s="309"/>
      <c r="F832" s="310"/>
      <c r="G832" s="311"/>
    </row>
    <row r="833">
      <c r="D833" s="308"/>
      <c r="E833" s="309"/>
      <c r="F833" s="310"/>
      <c r="G833" s="311"/>
    </row>
    <row r="834">
      <c r="D834" s="308"/>
      <c r="E834" s="309"/>
      <c r="F834" s="310"/>
      <c r="G834" s="311"/>
    </row>
    <row r="835">
      <c r="D835" s="308"/>
      <c r="E835" s="309"/>
      <c r="F835" s="310"/>
      <c r="G835" s="311"/>
    </row>
    <row r="836">
      <c r="D836" s="308"/>
      <c r="E836" s="309"/>
      <c r="F836" s="310"/>
      <c r="G836" s="311"/>
    </row>
    <row r="837">
      <c r="D837" s="308"/>
      <c r="E837" s="309"/>
      <c r="F837" s="310"/>
      <c r="G837" s="311"/>
    </row>
    <row r="838">
      <c r="D838" s="308"/>
      <c r="E838" s="309"/>
      <c r="F838" s="310"/>
      <c r="G838" s="311"/>
    </row>
    <row r="839">
      <c r="D839" s="308"/>
      <c r="E839" s="309"/>
      <c r="F839" s="310"/>
      <c r="G839" s="311"/>
    </row>
    <row r="840">
      <c r="D840" s="308"/>
      <c r="E840" s="309"/>
      <c r="F840" s="310"/>
      <c r="G840" s="311"/>
    </row>
    <row r="841">
      <c r="D841" s="308"/>
      <c r="E841" s="309"/>
      <c r="F841" s="310"/>
      <c r="G841" s="311"/>
    </row>
    <row r="842">
      <c r="D842" s="308"/>
      <c r="E842" s="309"/>
      <c r="F842" s="310"/>
      <c r="G842" s="311"/>
    </row>
    <row r="843">
      <c r="D843" s="308"/>
      <c r="E843" s="309"/>
      <c r="F843" s="310"/>
      <c r="G843" s="311"/>
    </row>
    <row r="844">
      <c r="D844" s="308"/>
      <c r="E844" s="309"/>
      <c r="F844" s="310"/>
      <c r="G844" s="311"/>
    </row>
    <row r="845">
      <c r="D845" s="308"/>
      <c r="E845" s="309"/>
      <c r="F845" s="310"/>
      <c r="G845" s="311"/>
    </row>
    <row r="846">
      <c r="D846" s="308"/>
      <c r="E846" s="309"/>
      <c r="F846" s="310"/>
      <c r="G846" s="311"/>
    </row>
    <row r="847">
      <c r="D847" s="308"/>
      <c r="E847" s="309"/>
      <c r="F847" s="310"/>
      <c r="G847" s="311"/>
    </row>
    <row r="848">
      <c r="D848" s="308"/>
      <c r="E848" s="309"/>
      <c r="F848" s="310"/>
      <c r="G848" s="311"/>
    </row>
    <row r="849">
      <c r="D849" s="308"/>
      <c r="E849" s="309"/>
      <c r="F849" s="310"/>
      <c r="G849" s="311"/>
    </row>
    <row r="850">
      <c r="D850" s="308"/>
      <c r="E850" s="309"/>
      <c r="F850" s="310"/>
      <c r="G850" s="311"/>
    </row>
    <row r="851">
      <c r="D851" s="308"/>
      <c r="E851" s="309"/>
      <c r="F851" s="310"/>
      <c r="G851" s="311"/>
    </row>
    <row r="852">
      <c r="D852" s="308"/>
      <c r="E852" s="309"/>
      <c r="F852" s="310"/>
      <c r="G852" s="311"/>
    </row>
    <row r="853">
      <c r="D853" s="308"/>
      <c r="E853" s="309"/>
      <c r="F853" s="310"/>
      <c r="G853" s="311"/>
    </row>
    <row r="854">
      <c r="D854" s="308"/>
      <c r="E854" s="309"/>
      <c r="F854" s="310"/>
      <c r="G854" s="311"/>
    </row>
    <row r="855">
      <c r="D855" s="308"/>
      <c r="E855" s="309"/>
      <c r="F855" s="310"/>
      <c r="G855" s="311"/>
    </row>
    <row r="856">
      <c r="D856" s="308"/>
      <c r="E856" s="309"/>
      <c r="F856" s="310"/>
      <c r="G856" s="311"/>
    </row>
    <row r="857">
      <c r="D857" s="308"/>
      <c r="E857" s="309"/>
      <c r="F857" s="310"/>
      <c r="G857" s="311"/>
    </row>
    <row r="858">
      <c r="D858" s="308"/>
      <c r="E858" s="309"/>
      <c r="F858" s="310"/>
      <c r="G858" s="311"/>
    </row>
    <row r="859">
      <c r="D859" s="308"/>
      <c r="E859" s="309"/>
      <c r="F859" s="310"/>
      <c r="G859" s="311"/>
    </row>
    <row r="860">
      <c r="D860" s="308"/>
      <c r="E860" s="309"/>
      <c r="F860" s="310"/>
      <c r="G860" s="311"/>
    </row>
    <row r="861">
      <c r="D861" s="308"/>
      <c r="E861" s="309"/>
      <c r="F861" s="310"/>
      <c r="G861" s="311"/>
    </row>
    <row r="862">
      <c r="D862" s="308"/>
      <c r="E862" s="309"/>
      <c r="F862" s="310"/>
      <c r="G862" s="311"/>
    </row>
    <row r="863">
      <c r="D863" s="308"/>
      <c r="E863" s="309"/>
      <c r="F863" s="310"/>
      <c r="G863" s="311"/>
    </row>
    <row r="864">
      <c r="D864" s="308"/>
      <c r="E864" s="309"/>
      <c r="F864" s="310"/>
      <c r="G864" s="311"/>
    </row>
    <row r="865">
      <c r="D865" s="308"/>
      <c r="E865" s="309"/>
      <c r="F865" s="310"/>
      <c r="G865" s="311"/>
    </row>
    <row r="866">
      <c r="D866" s="308"/>
      <c r="E866" s="309"/>
      <c r="F866" s="310"/>
      <c r="G866" s="311"/>
    </row>
    <row r="867">
      <c r="D867" s="308"/>
      <c r="E867" s="309"/>
      <c r="F867" s="310"/>
      <c r="G867" s="311"/>
    </row>
    <row r="868">
      <c r="D868" s="308"/>
      <c r="E868" s="309"/>
      <c r="F868" s="310"/>
      <c r="G868" s="311"/>
    </row>
    <row r="869">
      <c r="D869" s="308"/>
      <c r="E869" s="309"/>
      <c r="F869" s="310"/>
      <c r="G869" s="311"/>
    </row>
    <row r="870">
      <c r="D870" s="308"/>
      <c r="E870" s="309"/>
      <c r="F870" s="310"/>
      <c r="G870" s="311"/>
    </row>
    <row r="871">
      <c r="D871" s="308"/>
      <c r="E871" s="309"/>
      <c r="F871" s="310"/>
      <c r="G871" s="311"/>
    </row>
    <row r="872">
      <c r="D872" s="308"/>
      <c r="E872" s="309"/>
      <c r="F872" s="310"/>
      <c r="G872" s="311"/>
    </row>
    <row r="873">
      <c r="D873" s="308"/>
      <c r="E873" s="309"/>
      <c r="F873" s="310"/>
      <c r="G873" s="311"/>
    </row>
    <row r="874">
      <c r="D874" s="308"/>
      <c r="E874" s="309"/>
      <c r="F874" s="310"/>
      <c r="G874" s="311"/>
    </row>
    <row r="875">
      <c r="D875" s="308"/>
      <c r="E875" s="309"/>
      <c r="F875" s="310"/>
      <c r="G875" s="311"/>
    </row>
    <row r="876">
      <c r="D876" s="308"/>
      <c r="E876" s="309"/>
      <c r="F876" s="310"/>
      <c r="G876" s="311"/>
    </row>
    <row r="877">
      <c r="D877" s="308"/>
      <c r="E877" s="309"/>
      <c r="F877" s="310"/>
      <c r="G877" s="311"/>
    </row>
    <row r="878">
      <c r="D878" s="308"/>
      <c r="E878" s="309"/>
      <c r="F878" s="310"/>
      <c r="G878" s="311"/>
    </row>
    <row r="879">
      <c r="D879" s="308"/>
      <c r="E879" s="309"/>
      <c r="F879" s="310"/>
      <c r="G879" s="311"/>
    </row>
    <row r="880">
      <c r="D880" s="308"/>
      <c r="E880" s="309"/>
      <c r="F880" s="310"/>
      <c r="G880" s="311"/>
    </row>
    <row r="881">
      <c r="D881" s="308"/>
      <c r="E881" s="309"/>
      <c r="F881" s="310"/>
      <c r="G881" s="311"/>
    </row>
    <row r="882">
      <c r="D882" s="308"/>
      <c r="E882" s="309"/>
      <c r="F882" s="310"/>
      <c r="G882" s="311"/>
    </row>
    <row r="883">
      <c r="D883" s="308"/>
      <c r="E883" s="309"/>
      <c r="F883" s="310"/>
      <c r="G883" s="311"/>
    </row>
    <row r="884">
      <c r="D884" s="308"/>
      <c r="E884" s="309"/>
      <c r="F884" s="310"/>
      <c r="G884" s="311"/>
    </row>
    <row r="885">
      <c r="D885" s="308"/>
      <c r="E885" s="309"/>
      <c r="F885" s="310"/>
      <c r="G885" s="311"/>
    </row>
    <row r="886">
      <c r="D886" s="308"/>
      <c r="E886" s="309"/>
      <c r="F886" s="310"/>
      <c r="G886" s="311"/>
    </row>
    <row r="887">
      <c r="D887" s="308"/>
      <c r="E887" s="309"/>
      <c r="F887" s="310"/>
      <c r="G887" s="311"/>
    </row>
    <row r="888">
      <c r="D888" s="308"/>
      <c r="E888" s="309"/>
      <c r="F888" s="310"/>
      <c r="G888" s="311"/>
    </row>
    <row r="889">
      <c r="D889" s="308"/>
      <c r="E889" s="309"/>
      <c r="F889" s="310"/>
      <c r="G889" s="311"/>
    </row>
    <row r="890">
      <c r="D890" s="308"/>
      <c r="E890" s="309"/>
      <c r="F890" s="310"/>
      <c r="G890" s="311"/>
    </row>
    <row r="891">
      <c r="D891" s="308"/>
      <c r="E891" s="309"/>
      <c r="F891" s="310"/>
      <c r="G891" s="311"/>
    </row>
    <row r="892">
      <c r="D892" s="308"/>
      <c r="E892" s="309"/>
      <c r="F892" s="310"/>
      <c r="G892" s="311"/>
    </row>
    <row r="893">
      <c r="D893" s="308"/>
      <c r="E893" s="309"/>
      <c r="F893" s="310"/>
      <c r="G893" s="311"/>
    </row>
    <row r="894">
      <c r="D894" s="308"/>
      <c r="E894" s="309"/>
      <c r="F894" s="310"/>
      <c r="G894" s="311"/>
    </row>
    <row r="895">
      <c r="D895" s="308"/>
      <c r="E895" s="309"/>
      <c r="F895" s="310"/>
      <c r="G895" s="311"/>
    </row>
    <row r="896">
      <c r="D896" s="308"/>
      <c r="E896" s="309"/>
      <c r="F896" s="310"/>
      <c r="G896" s="311"/>
    </row>
    <row r="897">
      <c r="D897" s="308"/>
      <c r="E897" s="309"/>
      <c r="F897" s="310"/>
      <c r="G897" s="311"/>
    </row>
    <row r="898">
      <c r="D898" s="308"/>
      <c r="E898" s="309"/>
      <c r="F898" s="310"/>
      <c r="G898" s="311"/>
    </row>
    <row r="899">
      <c r="D899" s="308"/>
      <c r="E899" s="309"/>
      <c r="F899" s="310"/>
      <c r="G899" s="311"/>
    </row>
    <row r="900">
      <c r="D900" s="308"/>
      <c r="E900" s="309"/>
      <c r="F900" s="310"/>
      <c r="G900" s="311"/>
    </row>
    <row r="901">
      <c r="D901" s="308"/>
      <c r="E901" s="309"/>
      <c r="F901" s="310"/>
      <c r="G901" s="311"/>
    </row>
    <row r="902">
      <c r="D902" s="308"/>
      <c r="E902" s="309"/>
      <c r="F902" s="310"/>
      <c r="G902" s="311"/>
    </row>
    <row r="903">
      <c r="D903" s="308"/>
      <c r="E903" s="309"/>
      <c r="F903" s="310"/>
      <c r="G903" s="311"/>
    </row>
    <row r="904">
      <c r="D904" s="308"/>
      <c r="E904" s="309"/>
      <c r="F904" s="310"/>
      <c r="G904" s="311"/>
    </row>
    <row r="905">
      <c r="D905" s="308"/>
      <c r="E905" s="309"/>
      <c r="F905" s="310"/>
      <c r="G905" s="311"/>
    </row>
    <row r="906">
      <c r="D906" s="308"/>
      <c r="E906" s="309"/>
      <c r="F906" s="310"/>
      <c r="G906" s="311"/>
    </row>
    <row r="907">
      <c r="D907" s="308"/>
      <c r="E907" s="309"/>
      <c r="F907" s="310"/>
      <c r="G907" s="311"/>
    </row>
    <row r="908">
      <c r="D908" s="308"/>
      <c r="E908" s="309"/>
      <c r="F908" s="310"/>
      <c r="G908" s="311"/>
    </row>
    <row r="909">
      <c r="D909" s="308"/>
      <c r="E909" s="309"/>
      <c r="F909" s="310"/>
      <c r="G909" s="311"/>
    </row>
    <row r="910">
      <c r="D910" s="308"/>
      <c r="E910" s="309"/>
      <c r="F910" s="310"/>
      <c r="G910" s="311"/>
    </row>
    <row r="911">
      <c r="D911" s="308"/>
      <c r="E911" s="309"/>
      <c r="F911" s="310"/>
      <c r="G911" s="311"/>
    </row>
    <row r="912">
      <c r="D912" s="308"/>
      <c r="E912" s="309"/>
      <c r="F912" s="310"/>
      <c r="G912" s="311"/>
    </row>
    <row r="913">
      <c r="D913" s="308"/>
      <c r="E913" s="309"/>
      <c r="F913" s="310"/>
      <c r="G913" s="311"/>
    </row>
    <row r="914">
      <c r="D914" s="308"/>
      <c r="E914" s="309"/>
      <c r="F914" s="310"/>
      <c r="G914" s="311"/>
    </row>
    <row r="915">
      <c r="D915" s="308"/>
      <c r="E915" s="309"/>
      <c r="F915" s="310"/>
      <c r="G915" s="311"/>
    </row>
    <row r="916">
      <c r="D916" s="308"/>
      <c r="E916" s="309"/>
      <c r="F916" s="310"/>
      <c r="G916" s="311"/>
    </row>
    <row r="917">
      <c r="D917" s="308"/>
      <c r="E917" s="309"/>
      <c r="F917" s="310"/>
      <c r="G917" s="311"/>
    </row>
    <row r="918">
      <c r="D918" s="308"/>
      <c r="E918" s="309"/>
      <c r="F918" s="310"/>
      <c r="G918" s="311"/>
    </row>
    <row r="919">
      <c r="D919" s="308"/>
      <c r="E919" s="309"/>
      <c r="F919" s="310"/>
      <c r="G919" s="311"/>
    </row>
    <row r="920">
      <c r="D920" s="308"/>
      <c r="E920" s="309"/>
      <c r="F920" s="310"/>
      <c r="G920" s="311"/>
    </row>
    <row r="921">
      <c r="D921" s="308"/>
      <c r="E921" s="309"/>
      <c r="F921" s="310"/>
      <c r="G921" s="311"/>
    </row>
    <row r="922">
      <c r="D922" s="308"/>
      <c r="E922" s="309"/>
      <c r="F922" s="310"/>
      <c r="G922" s="311"/>
    </row>
    <row r="923">
      <c r="D923" s="308"/>
      <c r="E923" s="309"/>
      <c r="F923" s="310"/>
      <c r="G923" s="311"/>
    </row>
    <row r="924">
      <c r="D924" s="308"/>
      <c r="E924" s="309"/>
      <c r="F924" s="310"/>
      <c r="G924" s="311"/>
    </row>
    <row r="925">
      <c r="D925" s="308"/>
      <c r="E925" s="309"/>
      <c r="F925" s="310"/>
      <c r="G925" s="311"/>
    </row>
    <row r="926">
      <c r="D926" s="308"/>
      <c r="E926" s="309"/>
      <c r="F926" s="310"/>
      <c r="G926" s="311"/>
    </row>
    <row r="927">
      <c r="D927" s="308"/>
      <c r="E927" s="309"/>
      <c r="F927" s="310"/>
      <c r="G927" s="311"/>
    </row>
    <row r="928">
      <c r="D928" s="308"/>
      <c r="E928" s="309"/>
      <c r="F928" s="310"/>
      <c r="G928" s="311"/>
    </row>
    <row r="929">
      <c r="D929" s="308"/>
      <c r="E929" s="309"/>
      <c r="F929" s="310"/>
      <c r="G929" s="311"/>
    </row>
    <row r="930">
      <c r="D930" s="308"/>
      <c r="E930" s="309"/>
      <c r="F930" s="310"/>
      <c r="G930" s="311"/>
    </row>
    <row r="931">
      <c r="D931" s="308"/>
      <c r="E931" s="309"/>
      <c r="F931" s="310"/>
      <c r="G931" s="311"/>
    </row>
    <row r="932">
      <c r="D932" s="308"/>
      <c r="E932" s="309"/>
      <c r="F932" s="310"/>
      <c r="G932" s="311"/>
    </row>
    <row r="933">
      <c r="D933" s="308"/>
      <c r="E933" s="309"/>
      <c r="F933" s="310"/>
      <c r="G933" s="311"/>
    </row>
    <row r="934">
      <c r="D934" s="308"/>
      <c r="E934" s="309"/>
      <c r="F934" s="310"/>
      <c r="G934" s="311"/>
    </row>
    <row r="935">
      <c r="D935" s="308"/>
      <c r="E935" s="309"/>
      <c r="F935" s="310"/>
      <c r="G935" s="311"/>
    </row>
    <row r="936">
      <c r="D936" s="308"/>
      <c r="E936" s="309"/>
      <c r="F936" s="310"/>
      <c r="G936" s="311"/>
    </row>
    <row r="937">
      <c r="D937" s="308"/>
      <c r="E937" s="309"/>
      <c r="F937" s="310"/>
      <c r="G937" s="311"/>
    </row>
    <row r="938">
      <c r="D938" s="308"/>
      <c r="E938" s="309"/>
      <c r="F938" s="310"/>
      <c r="G938" s="311"/>
    </row>
    <row r="939">
      <c r="D939" s="308"/>
      <c r="E939" s="309"/>
      <c r="F939" s="310"/>
      <c r="G939" s="311"/>
    </row>
    <row r="940">
      <c r="D940" s="308"/>
      <c r="E940" s="309"/>
      <c r="F940" s="310"/>
      <c r="G940" s="311"/>
    </row>
    <row r="941">
      <c r="D941" s="308"/>
      <c r="E941" s="309"/>
      <c r="F941" s="310"/>
      <c r="G941" s="311"/>
    </row>
    <row r="942">
      <c r="D942" s="308"/>
      <c r="E942" s="309"/>
      <c r="F942" s="310"/>
      <c r="G942" s="311"/>
    </row>
    <row r="943">
      <c r="D943" s="308"/>
      <c r="E943" s="309"/>
      <c r="F943" s="310"/>
      <c r="G943" s="311"/>
    </row>
    <row r="944">
      <c r="D944" s="308"/>
      <c r="E944" s="309"/>
      <c r="F944" s="310"/>
      <c r="G944" s="311"/>
    </row>
    <row r="945">
      <c r="D945" s="308"/>
      <c r="E945" s="309"/>
      <c r="F945" s="310"/>
      <c r="G945" s="311"/>
    </row>
    <row r="946">
      <c r="D946" s="308"/>
      <c r="E946" s="309"/>
      <c r="F946" s="310"/>
      <c r="G946" s="311"/>
    </row>
    <row r="947">
      <c r="D947" s="308"/>
      <c r="E947" s="309"/>
      <c r="F947" s="310"/>
      <c r="G947" s="311"/>
    </row>
    <row r="948">
      <c r="D948" s="308"/>
      <c r="E948" s="309"/>
      <c r="F948" s="310"/>
      <c r="G948" s="311"/>
    </row>
    <row r="949">
      <c r="D949" s="308"/>
      <c r="E949" s="309"/>
      <c r="F949" s="310"/>
      <c r="G949" s="311"/>
    </row>
    <row r="950">
      <c r="D950" s="308"/>
      <c r="E950" s="309"/>
      <c r="F950" s="310"/>
      <c r="G950" s="311"/>
    </row>
    <row r="951">
      <c r="D951" s="308"/>
      <c r="E951" s="309"/>
      <c r="F951" s="310"/>
      <c r="G951" s="311"/>
    </row>
    <row r="952">
      <c r="D952" s="308"/>
      <c r="E952" s="309"/>
      <c r="F952" s="310"/>
      <c r="G952" s="311"/>
    </row>
    <row r="953">
      <c r="D953" s="308"/>
      <c r="E953" s="309"/>
      <c r="F953" s="310"/>
      <c r="G953" s="311"/>
    </row>
    <row r="954">
      <c r="D954" s="308"/>
      <c r="E954" s="309"/>
      <c r="F954" s="310"/>
      <c r="G954" s="311"/>
    </row>
    <row r="955">
      <c r="D955" s="308"/>
      <c r="E955" s="309"/>
      <c r="F955" s="310"/>
      <c r="G955" s="311"/>
    </row>
    <row r="956">
      <c r="D956" s="308"/>
      <c r="E956" s="309"/>
      <c r="F956" s="310"/>
      <c r="G956" s="311"/>
    </row>
    <row r="957">
      <c r="D957" s="308"/>
      <c r="E957" s="309"/>
      <c r="F957" s="310"/>
      <c r="G957" s="311"/>
    </row>
    <row r="958">
      <c r="D958" s="308"/>
      <c r="E958" s="309"/>
      <c r="F958" s="310"/>
      <c r="G958" s="311"/>
    </row>
    <row r="959">
      <c r="D959" s="308"/>
      <c r="E959" s="309"/>
      <c r="F959" s="310"/>
      <c r="G959" s="311"/>
    </row>
    <row r="960">
      <c r="D960" s="308"/>
      <c r="E960" s="309"/>
      <c r="F960" s="310"/>
      <c r="G960" s="311"/>
    </row>
    <row r="961">
      <c r="D961" s="308"/>
      <c r="E961" s="309"/>
      <c r="F961" s="310"/>
      <c r="G961" s="311"/>
    </row>
    <row r="962">
      <c r="D962" s="308"/>
      <c r="E962" s="309"/>
      <c r="F962" s="310"/>
      <c r="G962" s="311"/>
    </row>
    <row r="963">
      <c r="D963" s="308"/>
      <c r="E963" s="309"/>
      <c r="F963" s="310"/>
      <c r="G963" s="311"/>
    </row>
    <row r="964">
      <c r="D964" s="308"/>
      <c r="E964" s="309"/>
      <c r="F964" s="310"/>
      <c r="G964" s="311"/>
    </row>
    <row r="965">
      <c r="D965" s="308"/>
      <c r="E965" s="309"/>
      <c r="F965" s="310"/>
      <c r="G965" s="311"/>
    </row>
    <row r="966">
      <c r="D966" s="308"/>
      <c r="E966" s="309"/>
      <c r="F966" s="310"/>
      <c r="G966" s="311"/>
    </row>
    <row r="967">
      <c r="D967" s="308"/>
      <c r="E967" s="309"/>
      <c r="F967" s="310"/>
      <c r="G967" s="311"/>
    </row>
    <row r="968">
      <c r="D968" s="308"/>
      <c r="E968" s="309"/>
      <c r="F968" s="310"/>
      <c r="G968" s="311"/>
    </row>
    <row r="969">
      <c r="D969" s="308"/>
      <c r="E969" s="309"/>
      <c r="F969" s="310"/>
      <c r="G969" s="311"/>
    </row>
    <row r="970">
      <c r="D970" s="308"/>
      <c r="E970" s="309"/>
      <c r="F970" s="310"/>
      <c r="G970" s="311"/>
    </row>
    <row r="971">
      <c r="D971" s="308"/>
      <c r="E971" s="309"/>
      <c r="F971" s="310"/>
      <c r="G971" s="311"/>
    </row>
    <row r="972">
      <c r="D972" s="308"/>
      <c r="E972" s="309"/>
      <c r="F972" s="310"/>
      <c r="G972" s="311"/>
    </row>
    <row r="973">
      <c r="D973" s="308"/>
      <c r="E973" s="309"/>
      <c r="F973" s="310"/>
      <c r="G973" s="311"/>
    </row>
    <row r="974">
      <c r="D974" s="308"/>
      <c r="E974" s="309"/>
      <c r="F974" s="310"/>
      <c r="G974" s="311"/>
    </row>
    <row r="975">
      <c r="D975" s="308"/>
      <c r="E975" s="309"/>
      <c r="F975" s="310"/>
      <c r="G975" s="311"/>
    </row>
    <row r="976">
      <c r="D976" s="308"/>
      <c r="E976" s="309"/>
      <c r="F976" s="310"/>
      <c r="G976" s="311"/>
    </row>
    <row r="977">
      <c r="D977" s="308"/>
      <c r="E977" s="309"/>
      <c r="F977" s="310"/>
      <c r="G977" s="311"/>
    </row>
    <row r="978">
      <c r="D978" s="308"/>
      <c r="E978" s="309"/>
      <c r="F978" s="310"/>
      <c r="G978" s="311"/>
    </row>
    <row r="979">
      <c r="D979" s="308"/>
      <c r="E979" s="309"/>
      <c r="F979" s="310"/>
      <c r="G979" s="311"/>
    </row>
    <row r="980">
      <c r="D980" s="308"/>
      <c r="E980" s="309"/>
      <c r="F980" s="310"/>
      <c r="G980" s="311"/>
    </row>
    <row r="981">
      <c r="D981" s="308"/>
      <c r="E981" s="309"/>
      <c r="F981" s="310"/>
      <c r="G981" s="311"/>
    </row>
    <row r="982">
      <c r="D982" s="308"/>
      <c r="E982" s="309"/>
      <c r="F982" s="310"/>
      <c r="G982" s="311"/>
    </row>
    <row r="983">
      <c r="D983" s="308"/>
      <c r="E983" s="309"/>
      <c r="F983" s="310"/>
      <c r="G983" s="311"/>
    </row>
    <row r="984">
      <c r="D984" s="308"/>
      <c r="E984" s="309"/>
      <c r="F984" s="310"/>
      <c r="G984" s="311"/>
    </row>
    <row r="985">
      <c r="D985" s="308"/>
      <c r="E985" s="309"/>
      <c r="F985" s="310"/>
      <c r="G985" s="311"/>
    </row>
    <row r="986">
      <c r="D986" s="308"/>
      <c r="E986" s="309"/>
      <c r="F986" s="310"/>
      <c r="G986" s="311"/>
    </row>
    <row r="987">
      <c r="D987" s="308"/>
      <c r="E987" s="309"/>
      <c r="F987" s="310"/>
      <c r="G987" s="311"/>
    </row>
    <row r="988">
      <c r="D988" s="308"/>
      <c r="E988" s="309"/>
      <c r="F988" s="310"/>
      <c r="G988" s="311"/>
    </row>
    <row r="989">
      <c r="D989" s="308"/>
      <c r="E989" s="309"/>
      <c r="F989" s="310"/>
      <c r="G989" s="311"/>
    </row>
    <row r="990">
      <c r="D990" s="308"/>
      <c r="E990" s="309"/>
      <c r="F990" s="310"/>
      <c r="G990" s="311"/>
    </row>
    <row r="991">
      <c r="D991" s="308"/>
      <c r="E991" s="309"/>
      <c r="F991" s="310"/>
      <c r="G991" s="311"/>
    </row>
    <row r="992">
      <c r="D992" s="308"/>
      <c r="E992" s="309"/>
      <c r="F992" s="310"/>
      <c r="G992" s="311"/>
    </row>
    <row r="993">
      <c r="D993" s="308"/>
      <c r="E993" s="309"/>
      <c r="F993" s="310"/>
      <c r="G993" s="311"/>
    </row>
    <row r="994">
      <c r="D994" s="308"/>
      <c r="E994" s="309"/>
      <c r="F994" s="310"/>
      <c r="G994" s="311"/>
    </row>
    <row r="995">
      <c r="D995" s="308"/>
      <c r="E995" s="309"/>
      <c r="F995" s="310"/>
      <c r="G995" s="311"/>
    </row>
    <row r="996">
      <c r="D996" s="308"/>
      <c r="E996" s="309"/>
      <c r="F996" s="310"/>
      <c r="G996" s="311"/>
    </row>
    <row r="997">
      <c r="D997" s="308"/>
      <c r="E997" s="309"/>
      <c r="F997" s="310"/>
      <c r="G997" s="311"/>
    </row>
    <row r="998">
      <c r="D998" s="308"/>
      <c r="E998" s="309"/>
      <c r="F998" s="310"/>
      <c r="G998" s="311"/>
    </row>
    <row r="999">
      <c r="D999" s="308"/>
      <c r="E999" s="309"/>
      <c r="F999" s="310"/>
      <c r="G999" s="311"/>
    </row>
    <row r="1000">
      <c r="D1000" s="308"/>
      <c r="E1000" s="309"/>
      <c r="F1000" s="310"/>
      <c r="G1000" s="311"/>
    </row>
    <row r="1001">
      <c r="D1001" s="308"/>
      <c r="E1001" s="309"/>
      <c r="F1001" s="310"/>
      <c r="G1001" s="311"/>
    </row>
    <row r="1002">
      <c r="D1002" s="308"/>
      <c r="E1002" s="309"/>
      <c r="F1002" s="310"/>
      <c r="G1002" s="311"/>
    </row>
    <row r="1003">
      <c r="D1003" s="308"/>
      <c r="E1003" s="309"/>
      <c r="F1003" s="310"/>
      <c r="G1003" s="311"/>
    </row>
    <row r="1004">
      <c r="D1004" s="308"/>
      <c r="E1004" s="309"/>
      <c r="F1004" s="310"/>
      <c r="G1004" s="311"/>
    </row>
    <row r="1005">
      <c r="D1005" s="308"/>
      <c r="E1005" s="309"/>
      <c r="F1005" s="310"/>
      <c r="G1005" s="311"/>
    </row>
    <row r="1006">
      <c r="D1006" s="308"/>
      <c r="E1006" s="309"/>
      <c r="F1006" s="310"/>
      <c r="G1006" s="311"/>
    </row>
    <row r="1007">
      <c r="D1007" s="308"/>
      <c r="E1007" s="309"/>
      <c r="F1007" s="310"/>
      <c r="G1007" s="311"/>
    </row>
    <row r="1008">
      <c r="D1008" s="308"/>
      <c r="E1008" s="309"/>
      <c r="F1008" s="310"/>
      <c r="G1008" s="311"/>
    </row>
    <row r="1009">
      <c r="D1009" s="308"/>
      <c r="E1009" s="309"/>
      <c r="F1009" s="310"/>
      <c r="G1009" s="311"/>
    </row>
    <row r="1010">
      <c r="D1010" s="308"/>
      <c r="E1010" s="309"/>
      <c r="F1010" s="310"/>
      <c r="G1010" s="311"/>
    </row>
    <row r="1011">
      <c r="D1011" s="308"/>
      <c r="E1011" s="309"/>
      <c r="F1011" s="310"/>
      <c r="G1011" s="311"/>
    </row>
    <row r="1012">
      <c r="D1012" s="308"/>
      <c r="E1012" s="309"/>
      <c r="F1012" s="310"/>
      <c r="G1012" s="311"/>
    </row>
    <row r="1013">
      <c r="D1013" s="308"/>
      <c r="E1013" s="309"/>
      <c r="F1013" s="310"/>
      <c r="G1013" s="311"/>
    </row>
    <row r="1014">
      <c r="D1014" s="308"/>
      <c r="E1014" s="309"/>
      <c r="F1014" s="310"/>
      <c r="G1014" s="311"/>
    </row>
    <row r="1015">
      <c r="D1015" s="308"/>
      <c r="E1015" s="309"/>
      <c r="F1015" s="310"/>
      <c r="G1015" s="311"/>
    </row>
    <row r="1016">
      <c r="D1016" s="308"/>
      <c r="E1016" s="309"/>
      <c r="F1016" s="310"/>
      <c r="G1016" s="311"/>
    </row>
    <row r="1017">
      <c r="D1017" s="308"/>
      <c r="E1017" s="309"/>
      <c r="F1017" s="310"/>
      <c r="G1017" s="311"/>
    </row>
    <row r="1018">
      <c r="D1018" s="308"/>
      <c r="E1018" s="309"/>
      <c r="F1018" s="310"/>
      <c r="G1018" s="311"/>
    </row>
    <row r="1019">
      <c r="D1019" s="308"/>
      <c r="E1019" s="309"/>
      <c r="F1019" s="310"/>
      <c r="G1019" s="311"/>
    </row>
    <row r="1020">
      <c r="D1020" s="308"/>
      <c r="E1020" s="309"/>
      <c r="F1020" s="310"/>
      <c r="G1020" s="311"/>
    </row>
    <row r="1021">
      <c r="D1021" s="308"/>
      <c r="E1021" s="309"/>
      <c r="F1021" s="310"/>
      <c r="G1021" s="311"/>
    </row>
    <row r="1022">
      <c r="D1022" s="308"/>
      <c r="E1022" s="309"/>
      <c r="F1022" s="310"/>
      <c r="G1022" s="311"/>
    </row>
    <row r="1023">
      <c r="D1023" s="308"/>
      <c r="E1023" s="309"/>
      <c r="F1023" s="310"/>
      <c r="G1023" s="311"/>
    </row>
    <row r="1024">
      <c r="D1024" s="308"/>
      <c r="E1024" s="309"/>
      <c r="F1024" s="310"/>
      <c r="G1024" s="311"/>
    </row>
    <row r="1025">
      <c r="D1025" s="308"/>
      <c r="E1025" s="309"/>
      <c r="F1025" s="310"/>
      <c r="G1025" s="311"/>
    </row>
    <row r="1026">
      <c r="D1026" s="308"/>
      <c r="E1026" s="309"/>
      <c r="F1026" s="310"/>
      <c r="G1026" s="311"/>
    </row>
    <row r="1027">
      <c r="D1027" s="308"/>
      <c r="E1027" s="309"/>
      <c r="F1027" s="310"/>
      <c r="G1027" s="311"/>
    </row>
    <row r="1028">
      <c r="D1028" s="308"/>
      <c r="E1028" s="309"/>
      <c r="F1028" s="310"/>
      <c r="G1028" s="311"/>
    </row>
    <row r="1029">
      <c r="D1029" s="308"/>
      <c r="E1029" s="309"/>
      <c r="F1029" s="310"/>
      <c r="G1029" s="311"/>
    </row>
    <row r="1030">
      <c r="D1030" s="308"/>
      <c r="E1030" s="309"/>
      <c r="F1030" s="310"/>
      <c r="G1030" s="311"/>
    </row>
    <row r="1031">
      <c r="D1031" s="308"/>
      <c r="E1031" s="309"/>
      <c r="F1031" s="310"/>
      <c r="G1031" s="311"/>
    </row>
    <row r="1032">
      <c r="D1032" s="308"/>
      <c r="E1032" s="309"/>
      <c r="F1032" s="310"/>
      <c r="G1032" s="311"/>
    </row>
    <row r="1033">
      <c r="D1033" s="308"/>
      <c r="E1033" s="309"/>
      <c r="F1033" s="310"/>
      <c r="G1033" s="311"/>
    </row>
    <row r="1034">
      <c r="D1034" s="308"/>
      <c r="E1034" s="309"/>
      <c r="F1034" s="310"/>
      <c r="G1034" s="311"/>
    </row>
    <row r="1035">
      <c r="D1035" s="308"/>
      <c r="E1035" s="309"/>
      <c r="F1035" s="310"/>
      <c r="G1035" s="311"/>
    </row>
    <row r="1036">
      <c r="D1036" s="308"/>
      <c r="E1036" s="309"/>
      <c r="F1036" s="310"/>
      <c r="G1036" s="311"/>
    </row>
    <row r="1037">
      <c r="D1037" s="308"/>
      <c r="E1037" s="309"/>
      <c r="F1037" s="310"/>
      <c r="G1037" s="311"/>
    </row>
    <row r="1038">
      <c r="D1038" s="308"/>
      <c r="E1038" s="309"/>
      <c r="F1038" s="310"/>
      <c r="G1038" s="311"/>
    </row>
    <row r="1039">
      <c r="D1039" s="308"/>
      <c r="E1039" s="309"/>
      <c r="F1039" s="310"/>
      <c r="G1039" s="311"/>
    </row>
    <row r="1040">
      <c r="D1040" s="308"/>
      <c r="E1040" s="309"/>
      <c r="F1040" s="310"/>
      <c r="G1040" s="311"/>
    </row>
    <row r="1041">
      <c r="D1041" s="308"/>
      <c r="E1041" s="309"/>
      <c r="F1041" s="310"/>
      <c r="G1041" s="311"/>
    </row>
    <row r="1042">
      <c r="D1042" s="308"/>
      <c r="E1042" s="309"/>
      <c r="F1042" s="310"/>
      <c r="G1042" s="311"/>
    </row>
    <row r="1043">
      <c r="D1043" s="308"/>
      <c r="E1043" s="309"/>
      <c r="F1043" s="310"/>
      <c r="G1043" s="311"/>
    </row>
    <row r="1044">
      <c r="D1044" s="308"/>
      <c r="E1044" s="309"/>
      <c r="F1044" s="310"/>
      <c r="G1044" s="311"/>
    </row>
    <row r="1045">
      <c r="D1045" s="308"/>
      <c r="E1045" s="309"/>
      <c r="F1045" s="310"/>
      <c r="G1045" s="311"/>
    </row>
    <row r="1046">
      <c r="D1046" s="308"/>
      <c r="E1046" s="309"/>
      <c r="F1046" s="310"/>
      <c r="G1046" s="311"/>
    </row>
    <row r="1047">
      <c r="D1047" s="308"/>
      <c r="E1047" s="309"/>
      <c r="F1047" s="310"/>
      <c r="G1047" s="311"/>
    </row>
    <row r="1048">
      <c r="D1048" s="308"/>
      <c r="E1048" s="309"/>
      <c r="F1048" s="310"/>
      <c r="G1048" s="311"/>
    </row>
    <row r="1049">
      <c r="D1049" s="308"/>
      <c r="E1049" s="309"/>
      <c r="F1049" s="310"/>
      <c r="G1049" s="311"/>
    </row>
    <row r="1050">
      <c r="D1050" s="308"/>
      <c r="E1050" s="309"/>
      <c r="F1050" s="310"/>
      <c r="G1050" s="311"/>
    </row>
    <row r="1051">
      <c r="D1051" s="308"/>
      <c r="E1051" s="309"/>
      <c r="F1051" s="310"/>
      <c r="G1051" s="311"/>
    </row>
    <row r="1052">
      <c r="D1052" s="308"/>
      <c r="E1052" s="309"/>
      <c r="F1052" s="310"/>
      <c r="G1052" s="311"/>
    </row>
    <row r="1053">
      <c r="D1053" s="308"/>
      <c r="E1053" s="309"/>
      <c r="F1053" s="310"/>
      <c r="G1053" s="311"/>
    </row>
    <row r="1054">
      <c r="D1054" s="308"/>
      <c r="E1054" s="309"/>
      <c r="F1054" s="310"/>
      <c r="G1054" s="311"/>
    </row>
    <row r="1055">
      <c r="D1055" s="308"/>
      <c r="E1055" s="309"/>
      <c r="F1055" s="310"/>
      <c r="G1055" s="311"/>
    </row>
    <row r="1056">
      <c r="D1056" s="308"/>
      <c r="E1056" s="309"/>
      <c r="F1056" s="310"/>
      <c r="G1056" s="311"/>
    </row>
    <row r="1057">
      <c r="D1057" s="308"/>
      <c r="E1057" s="309"/>
      <c r="F1057" s="310"/>
      <c r="G1057" s="311"/>
    </row>
    <row r="1058">
      <c r="D1058" s="308"/>
      <c r="E1058" s="309"/>
      <c r="F1058" s="310"/>
      <c r="G1058" s="311"/>
    </row>
    <row r="1059">
      <c r="D1059" s="308"/>
      <c r="E1059" s="309"/>
      <c r="F1059" s="310"/>
      <c r="G1059" s="311"/>
    </row>
    <row r="1060">
      <c r="D1060" s="308"/>
      <c r="E1060" s="309"/>
      <c r="F1060" s="310"/>
      <c r="G1060" s="311"/>
    </row>
    <row r="1061">
      <c r="D1061" s="308"/>
      <c r="E1061" s="309"/>
      <c r="F1061" s="310"/>
      <c r="G1061" s="311"/>
    </row>
    <row r="1062">
      <c r="D1062" s="308"/>
      <c r="E1062" s="309"/>
      <c r="F1062" s="310"/>
      <c r="G1062" s="311"/>
    </row>
    <row r="1063">
      <c r="D1063" s="308"/>
      <c r="E1063" s="309"/>
      <c r="F1063" s="310"/>
      <c r="G1063" s="311"/>
    </row>
    <row r="1064">
      <c r="D1064" s="308"/>
      <c r="E1064" s="309"/>
      <c r="F1064" s="310"/>
      <c r="G1064" s="311"/>
    </row>
    <row r="1065">
      <c r="D1065" s="308"/>
      <c r="E1065" s="309"/>
      <c r="F1065" s="310"/>
      <c r="G1065" s="311"/>
    </row>
    <row r="1066">
      <c r="D1066" s="308"/>
      <c r="E1066" s="309"/>
      <c r="F1066" s="310"/>
      <c r="G1066" s="311"/>
    </row>
    <row r="1067">
      <c r="D1067" s="308"/>
      <c r="E1067" s="309"/>
      <c r="F1067" s="310"/>
      <c r="G1067" s="311"/>
    </row>
    <row r="1068">
      <c r="D1068" s="308"/>
      <c r="E1068" s="309"/>
      <c r="F1068" s="310"/>
      <c r="G1068" s="311"/>
    </row>
    <row r="1069">
      <c r="D1069" s="308"/>
      <c r="E1069" s="309"/>
      <c r="F1069" s="310"/>
      <c r="G1069" s="311"/>
    </row>
    <row r="1070">
      <c r="D1070" s="308"/>
      <c r="E1070" s="309"/>
      <c r="F1070" s="310"/>
      <c r="G1070" s="311"/>
    </row>
    <row r="1071">
      <c r="D1071" s="308"/>
      <c r="E1071" s="309"/>
      <c r="F1071" s="310"/>
      <c r="G1071" s="311"/>
    </row>
    <row r="1072">
      <c r="D1072" s="308"/>
      <c r="E1072" s="309"/>
      <c r="F1072" s="310"/>
      <c r="G1072" s="311"/>
    </row>
    <row r="1073">
      <c r="D1073" s="308"/>
      <c r="E1073" s="309"/>
      <c r="F1073" s="310"/>
      <c r="G1073" s="311"/>
    </row>
    <row r="1074">
      <c r="D1074" s="308"/>
      <c r="E1074" s="309"/>
      <c r="F1074" s="310"/>
      <c r="G1074" s="311"/>
    </row>
    <row r="1075">
      <c r="D1075" s="308"/>
      <c r="E1075" s="309"/>
      <c r="F1075" s="310"/>
      <c r="G1075" s="311"/>
    </row>
    <row r="1076">
      <c r="D1076" s="308"/>
      <c r="E1076" s="309"/>
      <c r="F1076" s="310"/>
      <c r="G1076" s="311"/>
    </row>
    <row r="1077">
      <c r="D1077" s="308"/>
      <c r="E1077" s="309"/>
      <c r="F1077" s="310"/>
      <c r="G1077" s="311"/>
    </row>
    <row r="1078">
      <c r="D1078" s="308"/>
      <c r="E1078" s="309"/>
      <c r="F1078" s="310"/>
      <c r="G1078" s="311"/>
    </row>
    <row r="1079">
      <c r="D1079" s="308"/>
      <c r="E1079" s="309"/>
      <c r="F1079" s="310"/>
      <c r="G1079" s="311"/>
    </row>
    <row r="1080">
      <c r="D1080" s="308"/>
      <c r="E1080" s="309"/>
      <c r="F1080" s="310"/>
      <c r="G1080" s="311"/>
    </row>
    <row r="1081">
      <c r="D1081" s="308"/>
      <c r="E1081" s="309"/>
      <c r="F1081" s="310"/>
      <c r="G1081" s="311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25"/>
  </cols>
  <sheetData>
    <row r="1">
      <c r="A1" s="247" t="s">
        <v>837</v>
      </c>
      <c r="B1" s="247" t="s">
        <v>838</v>
      </c>
      <c r="C1" s="318" t="s">
        <v>471</v>
      </c>
      <c r="D1" s="318" t="s">
        <v>475</v>
      </c>
      <c r="E1" s="318" t="s">
        <v>839</v>
      </c>
      <c r="F1" s="318" t="s">
        <v>840</v>
      </c>
      <c r="G1" s="318" t="s">
        <v>841</v>
      </c>
    </row>
    <row r="2">
      <c r="A2" s="247" t="s">
        <v>842</v>
      </c>
      <c r="B2" s="37">
        <v>0.11</v>
      </c>
    </row>
    <row r="3">
      <c r="A3" s="247" t="s">
        <v>843</v>
      </c>
      <c r="B3" s="37">
        <v>0.22</v>
      </c>
      <c r="C3" s="37">
        <f t="shared" ref="C3:C4" si="1">B3/2</f>
        <v>0.11</v>
      </c>
      <c r="D3" s="37">
        <f t="shared" ref="D3:D4" si="2">B3/3</f>
        <v>0.07333333333</v>
      </c>
    </row>
    <row r="4">
      <c r="A4" s="247" t="s">
        <v>844</v>
      </c>
      <c r="B4" s="37">
        <v>0.3</v>
      </c>
      <c r="C4" s="37">
        <f t="shared" si="1"/>
        <v>0.15</v>
      </c>
      <c r="D4" s="37">
        <f t="shared" si="2"/>
        <v>0.1</v>
      </c>
      <c r="E4" s="37">
        <f>B4/4</f>
        <v>0.075</v>
      </c>
      <c r="F4" s="37">
        <f>B4/5</f>
        <v>0.06</v>
      </c>
      <c r="G4" s="37">
        <f>B4/6</f>
        <v>0.05</v>
      </c>
    </row>
  </sheetData>
  <drawing r:id="rId1"/>
</worksheet>
</file>