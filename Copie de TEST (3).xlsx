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hats" sheetId="1" r:id="rId4"/>
    <sheet state="visible" name="Stock" sheetId="2" r:id="rId5"/>
    <sheet state="visible" name="Suivi stockvaleurs" sheetId="3" r:id="rId6"/>
    <sheet state="visible" name="Ventes" sheetId="4" r:id="rId7"/>
    <sheet state="visible" name="Compta 09-2025" sheetId="5" r:id="rId8"/>
    <sheet state="visible" name="Compta 10-2025" sheetId="6" r:id="rId9"/>
    <sheet state="visible" name="Frais" sheetId="7" r:id="rId10"/>
    <sheet state="visible" name="Achatsmoisarticles" sheetId="8" r:id="rId11"/>
    <sheet state="visible" name="StockOld" sheetId="9" r:id="rId12"/>
    <sheet state="visible" name="Ventes(old)" sheetId="10" r:id="rId13"/>
    <sheet state="visible" name="Comptabilité" sheetId="11" r:id="rId14"/>
  </sheets>
  <definedNames>
    <definedName name="MARQUES">Achats!$C$15:$C$31</definedName>
    <definedName name="GENRE">Achats!$E$15:$E$31</definedName>
    <definedName name="ARTICLES">Achats!$B$15:$B$31</definedName>
    <definedName name="DATE_ACHAT">Achats!$F$15:$F$31</definedName>
    <definedName name="SKU">Achats!$G$15:$G$31</definedName>
  </definedNames>
  <calcPr/>
  <pivotCaches>
    <pivotCache cacheId="0" r:id="rId1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SKU:smhf-12</t>
      </text>
    </comment>
    <comment authorId="0" ref="A4">
      <text>
        <t xml:space="preserve">SKU:vphb-15</t>
      </text>
    </comment>
    <comment authorId="0" ref="A5">
      <text>
        <t xml:space="preserve">SKU:vmwnhf-1</t>
      </text>
    </comment>
    <comment authorId="0" ref="A6">
      <text>
        <t xml:space="preserve">SKU:vmwnhf-2</t>
      </text>
    </comment>
    <comment authorId="0" ref="A7">
      <text>
        <t xml:space="preserve">SKU:vmwnhf-3</t>
      </text>
    </comment>
    <comment authorId="0" ref="A8">
      <text>
        <t xml:space="preserve">SKU:vmwnhf-4</t>
      </text>
    </comment>
    <comment authorId="0" ref="A9">
      <text>
        <t xml:space="preserve">SKU:smhf-11</t>
      </text>
    </comment>
    <comment authorId="0" ref="A10">
      <text>
        <t xml:space="preserve">SKU:smhf-10</t>
      </text>
    </comment>
    <comment authorId="0" ref="A11">
      <text>
        <t xml:space="preserve">SKU:vmwnhf-5</t>
      </text>
    </comment>
    <comment authorId="0" ref="A12">
      <text>
        <t xml:space="preserve">SKU:vmwnhf-6</t>
      </text>
    </comment>
    <comment authorId="0" ref="A13">
      <text>
        <t xml:space="preserve">SKU:vmwnhf-7</t>
      </text>
    </comment>
    <comment authorId="0" ref="A14">
      <text>
        <t xml:space="preserve">SKU:smhf-9</t>
      </text>
    </comment>
    <comment authorId="0" ref="A18">
      <text>
        <t xml:space="preserve">SKU:jlfk-23</t>
      </text>
    </comment>
    <comment authorId="0" ref="A19">
      <text>
        <t xml:space="preserve">SKU:jlfk-28</t>
      </text>
    </comment>
    <comment authorId="0" ref="A20">
      <text>
        <t xml:space="preserve">SKU:jlfk-29</t>
      </text>
    </comment>
    <comment authorId="0" ref="A21">
      <text>
        <t xml:space="preserve">SKU:jlfk-25</t>
      </text>
    </comment>
    <comment authorId="0" ref="A22">
      <text>
        <t xml:space="preserve">SKU:jlfk-41</t>
      </text>
    </comment>
    <comment authorId="0" ref="A23">
      <text>
        <t xml:space="preserve">SKU:jlfk-42</t>
      </text>
    </comment>
    <comment authorId="0" ref="A24">
      <text>
        <t xml:space="preserve">SKU:vphb-17</t>
      </text>
    </comment>
    <comment authorId="0" ref="A25">
      <text>
        <t xml:space="preserve">SKU:jlfk-47</t>
      </text>
    </comment>
    <comment authorId="0" ref="A26">
      <text>
        <t xml:space="preserve">SKU:jlfk-59</t>
      </text>
    </comment>
    <comment authorId="0" ref="A27">
      <text>
        <t xml:space="preserve">SKU:jlfk-67</t>
      </text>
    </comment>
    <comment authorId="0" ref="A28">
      <text>
        <t xml:space="preserve">SKU:jlfk-68</t>
      </text>
    </comment>
    <comment authorId="0" ref="A29">
      <text>
        <t xml:space="preserve">SKU:jlfk-71</t>
      </text>
    </comment>
    <comment authorId="0" ref="A30">
      <text>
        <t xml:space="preserve">SKU:jlfk-24</t>
      </text>
    </comment>
    <comment authorId="0" ref="A31">
      <text>
        <t xml:space="preserve">SKU:jlfk-54</t>
      </text>
    </comment>
    <comment authorId="0" ref="A32">
      <text>
        <t xml:space="preserve">SKU:jlfk-26</t>
      </text>
    </comment>
    <comment authorId="0" ref="A33">
      <text>
        <t xml:space="preserve">SKU:smhf-8</t>
      </text>
    </comment>
    <comment authorId="0" ref="A34">
      <text>
        <t xml:space="preserve">SKU:jlfk-57</t>
      </text>
    </comment>
    <comment authorId="0" ref="A38">
      <text>
        <t xml:space="preserve">SKU:jlfk-53</t>
      </text>
    </comment>
    <comment authorId="0" ref="A39">
      <text>
        <t xml:space="preserve">SKU:jlfk-62</t>
      </text>
    </comment>
    <comment authorId="0" ref="A40">
      <text>
        <t xml:space="preserve">SKU:jlfk-52</t>
      </text>
    </comment>
    <comment authorId="0" ref="A41">
      <text>
        <t xml:space="preserve">SKU:jlfk-34</t>
      </text>
    </comment>
    <comment authorId="0" ref="A42">
      <text>
        <t xml:space="preserve">SKU:smhf-7</t>
      </text>
    </comment>
    <comment authorId="0" ref="A43">
      <text>
        <t xml:space="preserve">SKU:smhf-6</t>
      </text>
    </comment>
    <comment authorId="0" ref="A44">
      <text>
        <t xml:space="preserve">SKU:jlfk-78</t>
      </text>
    </comment>
    <comment authorId="0" ref="A45">
      <text>
        <t xml:space="preserve">SKU:vthf-1</t>
      </text>
    </comment>
    <comment authorId="0" ref="A46">
      <text>
        <t xml:space="preserve">SKU:vthf-2</t>
      </text>
    </comment>
    <comment authorId="0" ref="A47">
      <text>
        <t xml:space="preserve">SKU:jlfk-64</t>
      </text>
    </comment>
    <comment authorId="0" ref="A48">
      <text>
        <t xml:space="preserve">SKU:vthf-3</t>
      </text>
    </comment>
    <comment authorId="0" ref="A52">
      <text>
        <t xml:space="preserve">SKU:jlfk-76</t>
      </text>
    </comment>
    <comment authorId="0" ref="A53">
      <text>
        <t xml:space="preserve">SKU:jlfk-73</t>
      </text>
    </comment>
    <comment authorId="0" ref="A54">
      <text>
        <t xml:space="preserve">SKU:jlfk-45</t>
      </text>
    </comment>
    <comment authorId="0" ref="A55">
      <text>
        <t xml:space="preserve">SKU:vthf-4</t>
      </text>
    </comment>
    <comment authorId="0" ref="A56">
      <text>
        <t xml:space="preserve">SKU:vthf-5</t>
      </text>
    </comment>
    <comment authorId="0" ref="A57">
      <text>
        <t xml:space="preserve">SKU:vthf-10</t>
      </text>
    </comment>
    <comment authorId="0" ref="A58">
      <text>
        <t xml:space="preserve">SKU:vthf-11</t>
      </text>
    </comment>
    <comment authorId="0" ref="A59">
      <text>
        <t xml:space="preserve">SKU:jmhf-082</t>
      </text>
    </comment>
    <comment authorId="0" ref="A60">
      <text>
        <t xml:space="preserve">SKU:vthf-13</t>
      </text>
    </comment>
    <comment authorId="0" ref="A61">
      <text>
        <t xml:space="preserve">SKU:vthf-12</t>
      </text>
    </comment>
    <comment authorId="0" ref="A62">
      <text>
        <t xml:space="preserve">SKU:jlfk-75</t>
      </text>
    </comment>
    <comment authorId="0" ref="A63">
      <text>
        <t xml:space="preserve">SKU:smhf-5</t>
      </text>
    </comment>
    <comment authorId="0" ref="A64">
      <text>
        <t xml:space="preserve">SKU:jmhf-083</t>
      </text>
    </comment>
    <comment authorId="0" ref="A65">
      <text>
        <t xml:space="preserve">SKU:jlfk-63</t>
      </text>
    </comment>
    <comment authorId="0" ref="A66">
      <text>
        <t xml:space="preserve">SKU:jmhf-097</t>
      </text>
    </comment>
    <comment authorId="0" ref="A67">
      <text>
        <t xml:space="preserve">SKU:jmhf-088</t>
      </text>
    </comment>
    <comment authorId="0" ref="A68">
      <text>
        <t xml:space="preserve">SKU:jmhf-103</t>
      </text>
    </comment>
    <comment authorId="0" ref="A69">
      <text>
        <t xml:space="preserve">SKU:jlfk-48</t>
      </text>
    </comment>
    <comment authorId="0" ref="A70">
      <text>
        <t xml:space="preserve">SKU:jlfk-36</t>
      </text>
    </comment>
    <comment authorId="0" ref="A71">
      <text>
        <t xml:space="preserve">SKU:smhf-4</t>
      </text>
    </comment>
    <comment authorId="0" ref="A72">
      <text>
        <t xml:space="preserve">SKU:jmhf-089</t>
      </text>
    </comment>
    <comment authorId="0" ref="A73">
      <text>
        <t xml:space="preserve">SKU:jmhf-096</t>
      </text>
    </comment>
    <comment authorId="0" ref="A74">
      <text>
        <t xml:space="preserve">SKU:jmhf-104</t>
      </text>
    </comment>
    <comment authorId="0" ref="A75">
      <text>
        <t xml:space="preserve">SKU:jmhf-108</t>
      </text>
    </comment>
    <comment authorId="0" ref="A76">
      <text>
        <t xml:space="preserve">SKU:jmhf-085</t>
      </text>
    </comment>
    <comment authorId="0" ref="A77">
      <text>
        <t xml:space="preserve">SKU:jmhf-115</t>
      </text>
    </comment>
    <comment authorId="0" ref="A78">
      <text>
        <t xml:space="preserve">SKU:vthf-6</t>
      </text>
    </comment>
    <comment authorId="0" ref="A79">
      <text>
        <t xml:space="preserve">SKU:jlfk-58</t>
      </text>
    </comment>
    <comment authorId="0" ref="A80">
      <text>
        <t xml:space="preserve">SKU:jlfk-22</t>
      </text>
    </comment>
    <comment authorId="0" ref="A81">
      <text>
        <t xml:space="preserve">SKU:jlfk-38</t>
      </text>
    </comment>
    <comment authorId="0" ref="A82">
      <text>
        <t xml:space="preserve">SKU:vthf-14</t>
      </text>
    </comment>
    <comment authorId="0" ref="A83">
      <text>
        <t xml:space="preserve">SKU:jlfk-39</t>
      </text>
    </comment>
    <comment authorId="0" ref="A84">
      <text>
        <t xml:space="preserve">SKU:jlfk-50</t>
      </text>
    </comment>
    <comment authorId="0" ref="A88">
      <text>
        <t xml:space="preserve">SKU:jlfk-61</t>
      </text>
    </comment>
    <comment authorId="0" ref="A89">
      <text>
        <t xml:space="preserve">SKU:jlfk-80</t>
      </text>
    </comment>
    <comment authorId="0" ref="A90">
      <text>
        <t xml:space="preserve">SKU:jmhf-095</t>
      </text>
    </comment>
    <comment authorId="0" ref="A91">
      <text>
        <t xml:space="preserve">SKU:jmhf-102</t>
      </text>
    </comment>
    <comment authorId="0" ref="A92">
      <text>
        <t xml:space="preserve">SKU:jmhf-109</t>
      </text>
    </comment>
    <comment authorId="0" ref="A93">
      <text>
        <t xml:space="preserve">SKU:jmhf-100</t>
      </text>
    </comment>
    <comment authorId="0" ref="A94">
      <text>
        <t xml:space="preserve">SKU:jmhf-093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SKU:jlf-49</t>
      </text>
    </comment>
    <comment authorId="0" ref="A10">
      <text>
        <t xml:space="preserve">SKU:jlf-62</t>
      </text>
    </comment>
    <comment authorId="0" ref="A11">
      <text>
        <t xml:space="preserve">SKU:jlf-64</t>
      </text>
    </comment>
    <comment authorId="0" ref="A12">
      <text>
        <t xml:space="preserve">SKU:jlf-66</t>
      </text>
    </comment>
    <comment authorId="0" ref="A13">
      <text>
        <t xml:space="preserve">SKU:jlf-34</t>
      </text>
    </comment>
    <comment authorId="0" ref="A14">
      <text>
        <t xml:space="preserve">SKU:jlf-75</t>
      </text>
    </comment>
    <comment authorId="0" ref="A15">
      <text>
        <t xml:space="preserve">SKU:jlf-76</t>
      </text>
    </comment>
    <comment authorId="0" ref="A16">
      <text>
        <t xml:space="preserve">SKU:jlf-61</t>
      </text>
    </comment>
    <comment authorId="0" ref="A17">
      <text>
        <t xml:space="preserve">SKU:jlf-73</t>
      </text>
    </comment>
    <comment authorId="0" ref="A18">
      <text>
        <t xml:space="preserve">SKU:jlf-59</t>
      </text>
    </comment>
    <comment authorId="0" ref="A19">
      <text>
        <t xml:space="preserve">SKU:vthf-15</t>
      </text>
    </comment>
    <comment authorId="0" ref="A20">
      <text>
        <t xml:space="preserve">SKU:jlf-52</t>
      </text>
    </comment>
    <comment authorId="0" ref="A21">
      <text>
        <t xml:space="preserve">SKU:jlf-51</t>
      </text>
    </comment>
    <comment authorId="0" ref="A22">
      <text>
        <t xml:space="preserve">SKU:jlf-43</t>
      </text>
    </comment>
    <comment authorId="0" ref="A23">
      <text>
        <t xml:space="preserve">SKU:jmhf-121</t>
      </text>
    </comment>
    <comment authorId="0" ref="A24">
      <text>
        <t xml:space="preserve">SKU:jlfk-40</t>
      </text>
    </comment>
    <comment authorId="0" ref="A25">
      <text>
        <t xml:space="preserve">SKU:jlfk-30</t>
      </text>
    </comment>
    <comment authorId="0" ref="A26">
      <text>
        <t xml:space="preserve">SKU:jlf-54</t>
      </text>
    </comment>
    <comment authorId="0" ref="A27">
      <text>
        <t xml:space="preserve">SKU:jlf-80</t>
      </text>
    </comment>
    <comment authorId="0" ref="A28">
      <text>
        <t xml:space="preserve">SKU:jlf-81</t>
      </text>
    </comment>
    <comment authorId="0" ref="A29">
      <text>
        <t xml:space="preserve">SKU:jlf-77</t>
      </text>
    </comment>
    <comment authorId="0" ref="A30">
      <text>
        <t xml:space="preserve">SKU:jlf-90</t>
      </text>
    </comment>
    <comment authorId="0" ref="A31">
      <text>
        <t xml:space="preserve">SKU:jlf-86</t>
      </text>
    </comment>
    <comment authorId="0" ref="A32">
      <text>
        <t xml:space="preserve">SKU:jlf-69</t>
      </text>
    </comment>
    <comment authorId="0" ref="A33">
      <text>
        <t xml:space="preserve">SKU:jlfk-66</t>
      </text>
    </comment>
    <comment authorId="0" ref="A34">
      <text>
        <t xml:space="preserve">SKU:jlf-36</t>
      </text>
    </comment>
    <comment authorId="0" ref="A35">
      <text>
        <t xml:space="preserve">SKU:jlf-35</t>
      </text>
    </comment>
    <comment authorId="0" ref="A36">
      <text>
        <t xml:space="preserve">SKU:jlf-11</t>
      </text>
    </comment>
    <comment authorId="0" ref="A37">
      <text>
        <t xml:space="preserve">SKU:jlf-7</t>
      </text>
    </comment>
    <comment authorId="0" ref="A38">
      <text>
        <t xml:space="preserve">SKU:jlf-40</t>
      </text>
    </comment>
    <comment authorId="0" ref="A39">
      <text>
        <t xml:space="preserve">SKU:jlfk-49</t>
      </text>
    </comment>
    <comment authorId="0" ref="A43">
      <text>
        <t xml:space="preserve">SKU:jlf-79</t>
      </text>
    </comment>
    <comment authorId="0" ref="A44">
      <text>
        <t xml:space="preserve">SKU:jlf-96</t>
      </text>
    </comment>
    <comment authorId="0" ref="A45">
      <text>
        <t xml:space="preserve">SKU:jlf-91</t>
      </text>
    </comment>
    <comment authorId="0" ref="A46">
      <text>
        <t xml:space="preserve">SKU:jlf-41</t>
      </text>
    </comment>
    <comment authorId="0" ref="A47">
      <text>
        <t xml:space="preserve">SKU:jlf-20</t>
      </text>
    </comment>
    <comment authorId="0" ref="A48">
      <text>
        <t xml:space="preserve">SKU:jlf-13</t>
      </text>
    </comment>
    <comment authorId="0" ref="A49">
      <text>
        <t xml:space="preserve">SKU:vthf-16</t>
      </text>
    </comment>
    <comment authorId="0" ref="A50">
      <text>
        <t xml:space="preserve">SKU:jlf-97</t>
      </text>
    </comment>
    <comment authorId="0" ref="A51">
      <text>
        <t xml:space="preserve">SKU:jlf-98</t>
      </text>
    </comment>
    <comment authorId="0" ref="A52">
      <text>
        <t xml:space="preserve">SKU:jlf-99</t>
      </text>
    </comment>
    <comment authorId="0" ref="A53">
      <text>
        <t xml:space="preserve">SKU:jlf-100</t>
      </text>
    </comment>
    <comment authorId="0" ref="A54">
      <text>
        <t xml:space="preserve">SKU:jlf-116</t>
      </text>
    </comment>
    <comment authorId="0" ref="A55">
      <text>
        <t xml:space="preserve">SKU:jlf-102</t>
      </text>
    </comment>
    <comment authorId="0" ref="A56">
      <text>
        <t xml:space="preserve">SKU:jlf-110</t>
      </text>
    </comment>
    <comment authorId="0" ref="A57">
      <text>
        <t xml:space="preserve">SKU:jmhf-129</t>
      </text>
    </comment>
    <comment authorId="0" ref="A58">
      <text>
        <t xml:space="preserve">SKU:jlf-67</t>
      </text>
    </comment>
    <comment authorId="0" ref="A59">
      <text>
        <t xml:space="preserve">SKU:jlf-78</t>
      </text>
    </comment>
    <comment authorId="0" ref="A60">
      <text>
        <t xml:space="preserve">SKU:jlf-88</t>
      </text>
    </comment>
    <comment authorId="0" ref="A61">
      <text>
        <t xml:space="preserve">SKU:jlf-115</t>
      </text>
    </comment>
    <comment authorId="0" ref="A62">
      <text>
        <t xml:space="preserve">SKU:jlf-122</t>
      </text>
    </comment>
    <comment authorId="0" ref="A63">
      <text>
        <t xml:space="preserve">SKU:jlf-127</t>
      </text>
    </comment>
    <comment authorId="0" ref="A64">
      <text>
        <t xml:space="preserve">SKU:jlf-70</t>
      </text>
    </comment>
    <comment authorId="0" ref="A65">
      <text>
        <t xml:space="preserve">SKU:jlf-117</t>
      </text>
    </comment>
    <comment authorId="0" ref="A66">
      <text>
        <t xml:space="preserve">SKU:jlf-133</t>
      </text>
    </comment>
    <comment authorId="0" ref="A67">
      <text>
        <t xml:space="preserve">SKU:jlf-135</t>
      </text>
    </comment>
    <comment authorId="0" ref="A68">
      <text>
        <t xml:space="preserve">SKU:pthf-8</t>
      </text>
    </comment>
    <comment authorId="0" ref="A69">
      <text>
        <t xml:space="preserve">SKU:jlf-108</t>
      </text>
    </comment>
    <comment authorId="0" ref="A70">
      <text>
        <t xml:space="preserve">SKU:jlf-84</t>
      </text>
    </comment>
    <comment authorId="0" ref="A71">
      <text>
        <t xml:space="preserve">SKU:pthf-9</t>
      </text>
    </comment>
    <comment authorId="0" ref="A72">
      <text>
        <t xml:space="preserve">SKU:jlf-105</t>
      </text>
    </comment>
    <comment authorId="0" ref="A73">
      <text>
        <t xml:space="preserve">SKU:jlf-29</t>
      </text>
    </comment>
    <comment authorId="0" ref="A74">
      <text>
        <t xml:space="preserve">SKU:jlf-21</t>
      </text>
    </comment>
    <comment authorId="0" ref="A75">
      <text>
        <t xml:space="preserve">SKU:jlf-15</t>
      </text>
    </comment>
    <comment authorId="0" ref="A76">
      <text>
        <t xml:space="preserve">SKU:jlf-12</t>
      </text>
    </comment>
    <comment authorId="0" ref="A77">
      <text>
        <t xml:space="preserve">SKU:jmhf-133</t>
      </text>
    </comment>
    <comment authorId="0" ref="A78">
      <text>
        <t xml:space="preserve">SKU:jlfk-77</t>
      </text>
    </comment>
    <comment authorId="0" ref="A79">
      <text>
        <t xml:space="preserve">SKU:jlf-39</t>
      </text>
    </comment>
    <comment authorId="0" ref="A80">
      <text>
        <t xml:space="preserve">SKU:pthf-16</t>
      </text>
    </comment>
    <comment authorId="0" ref="A81">
      <text>
        <t xml:space="preserve">SKU:pthf-14</t>
      </text>
    </comment>
    <comment authorId="0" ref="A82">
      <text>
        <t xml:space="preserve">SKU:jlf-126</t>
      </text>
    </comment>
    <comment authorId="0" ref="A83">
      <text>
        <t xml:space="preserve">SKU:jlf-123</t>
      </text>
    </comment>
    <comment authorId="0" ref="A84">
      <text>
        <t xml:space="preserve">SKU:jlf-121</t>
      </text>
    </comment>
    <comment authorId="0" ref="A85">
      <text>
        <t xml:space="preserve">SKU:jlf-103</t>
      </text>
    </comment>
    <comment authorId="0" ref="A86">
      <text>
        <t xml:space="preserve">SKU:jlf-92</t>
      </text>
    </comment>
    <comment authorId="0" ref="A87">
      <text>
        <t xml:space="preserve">SKU:jlf-48</t>
      </text>
    </comment>
    <comment authorId="0" ref="A88">
      <text>
        <t xml:space="preserve">SKU:vthf-8</t>
      </text>
    </comment>
    <comment authorId="0" ref="A89">
      <text>
        <t xml:space="preserve">SKU:jlf-113</t>
      </text>
    </comment>
    <comment authorId="0" ref="A93">
      <text>
        <t xml:space="preserve">SKU:pthf-23</t>
      </text>
    </comment>
    <comment authorId="0" ref="A94">
      <text>
        <t xml:space="preserve">SKU:pthf-20</t>
      </text>
    </comment>
    <comment authorId="0" ref="A95">
      <text>
        <t xml:space="preserve">SKU:pthf-27</t>
      </text>
    </comment>
    <comment authorId="0" ref="A96">
      <text>
        <t xml:space="preserve">SKU:pthf-32</t>
      </text>
    </comment>
    <comment authorId="0" ref="A97">
      <text>
        <t xml:space="preserve">SKU:pthf-22</t>
      </text>
    </comment>
    <comment authorId="0" ref="A98">
      <text>
        <t xml:space="preserve">SKU:pthf-38</t>
      </text>
    </comment>
    <comment authorId="0" ref="A99">
      <text>
        <t xml:space="preserve">SKU:pthf-28</t>
      </text>
    </comment>
    <comment authorId="0" ref="A100">
      <text>
        <t xml:space="preserve">SKU:pthf-30</t>
      </text>
    </comment>
    <comment authorId="0" ref="A101">
      <text>
        <t xml:space="preserve">SKU:pthf-44</t>
      </text>
    </comment>
    <comment authorId="0" ref="A102">
      <text>
        <t xml:space="preserve">SKU:pthf-33</t>
      </text>
    </comment>
    <comment authorId="0" ref="A103">
      <text>
        <t xml:space="preserve">SKU:pthf-34</t>
      </text>
    </comment>
    <comment authorId="0" ref="A104">
      <text>
        <t xml:space="preserve">SKU:pthf-35</t>
      </text>
    </comment>
    <comment authorId="0" ref="A105">
      <text>
        <t xml:space="preserve">SKU:pthf-41</t>
      </text>
    </comment>
    <comment authorId="0" ref="A106">
      <text>
        <t xml:space="preserve">SKU:pthf-43</t>
      </text>
    </comment>
    <comment authorId="0" ref="A107">
      <text>
        <t xml:space="preserve">SKU:pthf-51</t>
      </text>
    </comment>
    <comment authorId="0" ref="A108">
      <text>
        <t xml:space="preserve">SKU:pthf-49</t>
      </text>
    </comment>
    <comment authorId="0" ref="A109">
      <text>
        <t xml:space="preserve">SKU:jlf-139</t>
      </text>
    </comment>
    <comment authorId="0" ref="A110">
      <text>
        <t xml:space="preserve">SKU:pthf-52</t>
      </text>
    </comment>
    <comment authorId="0" ref="A111">
      <text>
        <t xml:space="preserve">SKU:pthf-40</t>
      </text>
    </comment>
    <comment authorId="0" ref="A112">
      <text>
        <t xml:space="preserve">SKU:vthf-9</t>
      </text>
    </comment>
    <comment authorId="0" ref="A113">
      <text>
        <t xml:space="preserve">SKU:jlf-124</t>
      </text>
    </comment>
    <comment authorId="0" ref="A114">
      <text>
        <t xml:space="preserve">SKU:jlf-38</t>
      </text>
    </comment>
    <comment authorId="0" ref="A115">
      <text>
        <t xml:space="preserve">SKU:jlf-28</t>
      </text>
    </comment>
    <comment authorId="0" ref="A116">
      <text>
        <t xml:space="preserve">SKU:jlf-19</t>
      </text>
    </comment>
    <comment authorId="0" ref="A117">
      <text>
        <t xml:space="preserve">SKU:jlf-128</t>
      </text>
    </comment>
  </commentList>
</comments>
</file>

<file path=xl/sharedStrings.xml><?xml version="1.0" encoding="utf-8"?>
<sst xmlns="http://schemas.openxmlformats.org/spreadsheetml/2006/main" count="3261" uniqueCount="1808">
  <si>
    <t>ID</t>
  </si>
  <si>
    <t>ARTICLES</t>
  </si>
  <si>
    <t>MARQUE</t>
  </si>
  <si>
    <t>GENRE</t>
  </si>
  <si>
    <t>DATE D'ACHAT</t>
  </si>
  <si>
    <t>GRADE</t>
  </si>
  <si>
    <t>FOURNISSEUR/CODE</t>
  </si>
  <si>
    <t xml:space="preserve">DATE DE LIVRAISON </t>
  </si>
  <si>
    <t>PRIX D'ACHAT SHIP INCLUS</t>
  </si>
  <si>
    <t>QUANTITÉ COMMANDÉE</t>
  </si>
  <si>
    <t>QUANTITÉ RECUE</t>
  </si>
  <si>
    <t>FRAIS DE LAVAGE</t>
  </si>
  <si>
    <t>TOTAL TTC</t>
  </si>
  <si>
    <t>TRACKING</t>
  </si>
  <si>
    <t>PRÊT POUR MISE EN STOCK | DATE</t>
  </si>
  <si>
    <t>SNEAKERS</t>
  </si>
  <si>
    <t>MIX</t>
  </si>
  <si>
    <t>♀️ / ♂️</t>
  </si>
  <si>
    <t>A</t>
  </si>
  <si>
    <t>WHAT NOT/VINTED</t>
  </si>
  <si>
    <t>FÉVRIER</t>
  </si>
  <si>
    <t>02</t>
  </si>
  <si>
    <t>AOÛT</t>
  </si>
  <si>
    <t>08</t>
  </si>
  <si>
    <t>SEPTEMBRE</t>
  </si>
  <si>
    <t>09</t>
  </si>
  <si>
    <t>OCTOBRE</t>
  </si>
  <si>
    <t>10</t>
  </si>
  <si>
    <t>VÊTEMENTS</t>
  </si>
  <si>
    <t>MIX WHAT NOT</t>
  </si>
  <si>
    <t>WHAT NOT</t>
  </si>
  <si>
    <t>PERSO</t>
  </si>
  <si>
    <t>♂️/ Benoît</t>
  </si>
  <si>
    <t>BENOIT STAMBACH</t>
  </si>
  <si>
    <t>JEANS</t>
  </si>
  <si>
    <t>LEVIS</t>
  </si>
  <si>
    <t>♀️/ Kevin</t>
  </si>
  <si>
    <t>SUPPLY GDD EXPORT/ 1</t>
  </si>
  <si>
    <t/>
  </si>
  <si>
    <t>TYMAN</t>
  </si>
  <si>
    <t xml:space="preserve">TYMAN </t>
  </si>
  <si>
    <t>JACKET</t>
  </si>
  <si>
    <t>B</t>
  </si>
  <si>
    <t>POLAIRE</t>
  </si>
  <si>
    <t>THE NORTH FACE</t>
  </si>
  <si>
    <t>♀️</t>
  </si>
  <si>
    <t>SUPPLY / 105</t>
  </si>
  <si>
    <t>3652902223 DHL</t>
  </si>
  <si>
    <t>COLUMBIA</t>
  </si>
  <si>
    <t>GDD EXPORT / 1</t>
  </si>
  <si>
    <t>SUPPLY GDD EXPORT / 1</t>
  </si>
  <si>
    <t>CARHARTT REWORK</t>
  </si>
  <si>
    <t>SUPPLY CODE 103</t>
  </si>
  <si>
    <t>PULL</t>
  </si>
  <si>
    <t>TOMMY HILFIGER</t>
  </si>
  <si>
    <t xml:space="preserve">SUPPLY CODE 3 </t>
  </si>
  <si>
    <t xml:space="preserve">SUPPLY GDD 1 </t>
  </si>
  <si>
    <t xml:space="preserve">LEVIS </t>
  </si>
  <si>
    <t>SKU(ancienne nomenclature)</t>
  </si>
  <si>
    <t>SKU</t>
  </si>
  <si>
    <t>DATE DE LIVRAISON</t>
  </si>
  <si>
    <t>DATE DE MISE EN STOCK</t>
  </si>
  <si>
    <t>MIS EN LIGNE | DATE DE MISE EN LIGNE</t>
  </si>
  <si>
    <t>PUBLIÉ | DATE DE PUBLICATION</t>
  </si>
  <si>
    <t>VENDU | DATE DE VENTE</t>
  </si>
  <si>
    <t>PRIX DE VENTE</t>
  </si>
  <si>
    <t>TAILLE</t>
  </si>
  <si>
    <t>LOTS</t>
  </si>
  <si>
    <t>VALIDER</t>
  </si>
  <si>
    <t>VÊTEMENTS PERSO Homme/ Benoît</t>
  </si>
  <si>
    <t>VPHB-1</t>
  </si>
  <si>
    <t>VPHB-2</t>
  </si>
  <si>
    <t>VPHB-3</t>
  </si>
  <si>
    <t>VPHB-4</t>
  </si>
  <si>
    <t>VPHB-5</t>
  </si>
  <si>
    <t>VPHB-6</t>
  </si>
  <si>
    <t>VPHB-7</t>
  </si>
  <si>
    <t>VPHB-8</t>
  </si>
  <si>
    <t>VPHB-9</t>
  </si>
  <si>
    <t>VPHB-10</t>
  </si>
  <si>
    <t>VPHB-11</t>
  </si>
  <si>
    <t>VPHB-12</t>
  </si>
  <si>
    <t>VPHB-13</t>
  </si>
  <si>
    <t>VPHB-14</t>
  </si>
  <si>
    <t>VPHB-16</t>
  </si>
  <si>
    <t>JEANS LEVIS Femme/ Kevin</t>
  </si>
  <si>
    <t>JLFK-21</t>
  </si>
  <si>
    <t>JLFK-27</t>
  </si>
  <si>
    <t>JLFK-31</t>
  </si>
  <si>
    <t>JLFK-32</t>
  </si>
  <si>
    <t>JLFK-33</t>
  </si>
  <si>
    <t>JLFK-37</t>
  </si>
  <si>
    <t>JLFK-44</t>
  </si>
  <si>
    <t>JLFK-46</t>
  </si>
  <si>
    <t>JLFK-55</t>
  </si>
  <si>
    <t>JLFK-60</t>
  </si>
  <si>
    <t>JLFK-65</t>
  </si>
  <si>
    <t>JLFK-69</t>
  </si>
  <si>
    <t>JLFK-70</t>
  </si>
  <si>
    <t>JLFK-72</t>
  </si>
  <si>
    <t>JLFK-74</t>
  </si>
  <si>
    <t>JLFK-81</t>
  </si>
  <si>
    <t>JLFK-82</t>
  </si>
  <si>
    <t>VÊTEMENTS TYMAN Homme/ Femme</t>
  </si>
  <si>
    <t>VTHF-17</t>
  </si>
  <si>
    <t>VTHF-18</t>
  </si>
  <si>
    <t>VTHF-19</t>
  </si>
  <si>
    <t>VTHF-20</t>
  </si>
  <si>
    <t>VTHF-21</t>
  </si>
  <si>
    <t>VTHF-22</t>
  </si>
  <si>
    <t>VTHF-23</t>
  </si>
  <si>
    <t>VTHF-24</t>
  </si>
  <si>
    <t>VTHF-25</t>
  </si>
  <si>
    <t>VTHF-26</t>
  </si>
  <si>
    <t>VTHF-27</t>
  </si>
  <si>
    <t>VTHF-28</t>
  </si>
  <si>
    <t>VTHF-29</t>
  </si>
  <si>
    <t>VTHF-30</t>
  </si>
  <si>
    <t>VTHF-31</t>
  </si>
  <si>
    <t>VTHF-32</t>
  </si>
  <si>
    <t>VTHF-33</t>
  </si>
  <si>
    <t>VTHF-34</t>
  </si>
  <si>
    <t>VTHF-35</t>
  </si>
  <si>
    <t>VTHF-36</t>
  </si>
  <si>
    <t>VTHF-37</t>
  </si>
  <si>
    <t>VTHF-38</t>
  </si>
  <si>
    <t>VTHF-39</t>
  </si>
  <si>
    <t>VTHF-40</t>
  </si>
  <si>
    <t>VTHF-41</t>
  </si>
  <si>
    <t>VTHF-42</t>
  </si>
  <si>
    <t>VTHF-43</t>
  </si>
  <si>
    <t>VTHF-44</t>
  </si>
  <si>
    <t>VTHF-45</t>
  </si>
  <si>
    <t>VTHF-46</t>
  </si>
  <si>
    <t>VTHF-47</t>
  </si>
  <si>
    <t>VTHF-48</t>
  </si>
  <si>
    <t>VTHF-49</t>
  </si>
  <si>
    <t>VTHF-50</t>
  </si>
  <si>
    <t>VTHF-51</t>
  </si>
  <si>
    <t>VTHF-52</t>
  </si>
  <si>
    <t>VTHF-53</t>
  </si>
  <si>
    <t>VTHF-54</t>
  </si>
  <si>
    <t>VTHF-55</t>
  </si>
  <si>
    <t>VTHF-56</t>
  </si>
  <si>
    <t>VTHF-57</t>
  </si>
  <si>
    <t>VTHF-58</t>
  </si>
  <si>
    <t>VTHF-59</t>
  </si>
  <si>
    <t>VTHF-60</t>
  </si>
  <si>
    <t>VTHF-61</t>
  </si>
  <si>
    <t>VTHF-62</t>
  </si>
  <si>
    <t>VTHF-63</t>
  </si>
  <si>
    <t>VTHF-64</t>
  </si>
  <si>
    <t>VTHF-65</t>
  </si>
  <si>
    <t>VTHF-66</t>
  </si>
  <si>
    <t>VTHF-67</t>
  </si>
  <si>
    <t>VTHF-68</t>
  </si>
  <si>
    <t>VTHF-69</t>
  </si>
  <si>
    <t>VTHF-70</t>
  </si>
  <si>
    <t>VTHF-71</t>
  </si>
  <si>
    <t>VTHF-72</t>
  </si>
  <si>
    <t>VTHF-73</t>
  </si>
  <si>
    <t>VTHF-74</t>
  </si>
  <si>
    <t>VTHF-75</t>
  </si>
  <si>
    <t>VTHF-76</t>
  </si>
  <si>
    <t>VTHF-77</t>
  </si>
  <si>
    <t>VTHF-78</t>
  </si>
  <si>
    <t>VTHF-79</t>
  </si>
  <si>
    <t>VTHF-80</t>
  </si>
  <si>
    <t>VTHF-81</t>
  </si>
  <si>
    <t>VTHF-82</t>
  </si>
  <si>
    <t>VTHF-83</t>
  </si>
  <si>
    <t>VTHF-84</t>
  </si>
  <si>
    <t>JACKET MIX Homme/ Femme</t>
  </si>
  <si>
    <t>JMB-81</t>
  </si>
  <si>
    <t>JMHF-81</t>
  </si>
  <si>
    <t>JMB-82</t>
  </si>
  <si>
    <t>JMHF-82</t>
  </si>
  <si>
    <t>JMB-83</t>
  </si>
  <si>
    <t>JMHF-83</t>
  </si>
  <si>
    <t>JMB-84</t>
  </si>
  <si>
    <t>JMHF-84</t>
  </si>
  <si>
    <t>JMB-85</t>
  </si>
  <si>
    <t>JMHF-85</t>
  </si>
  <si>
    <t>JMB-86</t>
  </si>
  <si>
    <t>JMHF-86</t>
  </si>
  <si>
    <t>JMB-87</t>
  </si>
  <si>
    <t>JMHF-87</t>
  </si>
  <si>
    <t>JMB-88</t>
  </si>
  <si>
    <t>JMHF-88</t>
  </si>
  <si>
    <t>JMB-89</t>
  </si>
  <si>
    <t>JMHF-89</t>
  </si>
  <si>
    <t>JMB-90</t>
  </si>
  <si>
    <t>JMHF-90</t>
  </si>
  <si>
    <t>JMB-91</t>
  </si>
  <si>
    <t>JMHF-91</t>
  </si>
  <si>
    <t>JMB-92</t>
  </si>
  <si>
    <t>JMHF-92</t>
  </si>
  <si>
    <t>JMB-93</t>
  </si>
  <si>
    <t>JMHF-93</t>
  </si>
  <si>
    <t>JMB-94</t>
  </si>
  <si>
    <t>JMHF-94</t>
  </si>
  <si>
    <t>JMB-95</t>
  </si>
  <si>
    <t>JMHF-95</t>
  </si>
  <si>
    <t>JMB-96</t>
  </si>
  <si>
    <t>JMHF-96</t>
  </si>
  <si>
    <t>JMB-97</t>
  </si>
  <si>
    <t>JMHF-97</t>
  </si>
  <si>
    <t>JMB-98</t>
  </si>
  <si>
    <t>JMHF-98</t>
  </si>
  <si>
    <t>JMB-99</t>
  </si>
  <si>
    <t>JMHF-99</t>
  </si>
  <si>
    <t>JMB-101</t>
  </si>
  <si>
    <t>JMHF-101</t>
  </si>
  <si>
    <t>JMB-105</t>
  </si>
  <si>
    <t>JMHF-105</t>
  </si>
  <si>
    <t>JMB-106</t>
  </si>
  <si>
    <t>JMHF-106</t>
  </si>
  <si>
    <t>JMB-107</t>
  </si>
  <si>
    <t>JMHF-107</t>
  </si>
  <si>
    <t>JMB-112</t>
  </si>
  <si>
    <t>JMHF-112</t>
  </si>
  <si>
    <t>JMB-113</t>
  </si>
  <si>
    <t>JMHF-113</t>
  </si>
  <si>
    <t>JMB-114</t>
  </si>
  <si>
    <t>JMHF-114</t>
  </si>
  <si>
    <t>JMB-117</t>
  </si>
  <si>
    <t>JMHF-117</t>
  </si>
  <si>
    <t>JMB-118</t>
  </si>
  <si>
    <t>JMHF-118</t>
  </si>
  <si>
    <t>JMB-120</t>
  </si>
  <si>
    <t>JMHF-120</t>
  </si>
  <si>
    <t>JMB-122</t>
  </si>
  <si>
    <t>JMHF-122</t>
  </si>
  <si>
    <t>JMB-123</t>
  </si>
  <si>
    <t>JMHF-123</t>
  </si>
  <si>
    <t>JMB-125</t>
  </si>
  <si>
    <t>JMHF-125</t>
  </si>
  <si>
    <t>JMB-128</t>
  </si>
  <si>
    <t>JMHF-128</t>
  </si>
  <si>
    <t>JMB-130</t>
  </si>
  <si>
    <t>JMHF-130</t>
  </si>
  <si>
    <t>JMB-138</t>
  </si>
  <si>
    <t>JMHF-138</t>
  </si>
  <si>
    <t>JMB-139</t>
  </si>
  <si>
    <t>JMHF-139</t>
  </si>
  <si>
    <t>JMB-140</t>
  </si>
  <si>
    <t>JMHF-140</t>
  </si>
  <si>
    <t>JEANS LEVIS Femme</t>
  </si>
  <si>
    <t>JLF-1</t>
  </si>
  <si>
    <t>JLF-2</t>
  </si>
  <si>
    <t>JLF-3</t>
  </si>
  <si>
    <t>JLF-4</t>
  </si>
  <si>
    <t>JLF-5</t>
  </si>
  <si>
    <t>JLF-6</t>
  </si>
  <si>
    <t>JLF-7</t>
  </si>
  <si>
    <t>JLF-8</t>
  </si>
  <si>
    <t>JLF-9</t>
  </si>
  <si>
    <t>JLF-10</t>
  </si>
  <si>
    <t>JLF-11</t>
  </si>
  <si>
    <t>JLF-12</t>
  </si>
  <si>
    <t>JLF-13</t>
  </si>
  <si>
    <t>JLF-14</t>
  </si>
  <si>
    <t>JLF-15</t>
  </si>
  <si>
    <t>JLF-16</t>
  </si>
  <si>
    <t>JLF-17</t>
  </si>
  <si>
    <t>JLF-18</t>
  </si>
  <si>
    <t>JLF-19</t>
  </si>
  <si>
    <t>JLF-20</t>
  </si>
  <si>
    <t>JLF-21</t>
  </si>
  <si>
    <t>JLF-22</t>
  </si>
  <si>
    <t>JLF-23</t>
  </si>
  <si>
    <t>JLF-24</t>
  </si>
  <si>
    <t>JLF-25</t>
  </si>
  <si>
    <t>JLF-26</t>
  </si>
  <si>
    <t>JLF-27</t>
  </si>
  <si>
    <t>JLF-28</t>
  </si>
  <si>
    <t>JLF-29</t>
  </si>
  <si>
    <t>JLF-30</t>
  </si>
  <si>
    <t>JLF-31</t>
  </si>
  <si>
    <t>JLF-32</t>
  </si>
  <si>
    <t>JLF-33</t>
  </si>
  <si>
    <t>JLF-34</t>
  </si>
  <si>
    <t>JLF-35</t>
  </si>
  <si>
    <t>JLF-36</t>
  </si>
  <si>
    <t>JLF-37</t>
  </si>
  <si>
    <t>JLF-38</t>
  </si>
  <si>
    <t>JLF-39</t>
  </si>
  <si>
    <t>JLF-40</t>
  </si>
  <si>
    <t>JLF-41</t>
  </si>
  <si>
    <t>JLF-42</t>
  </si>
  <si>
    <t>JLF-43</t>
  </si>
  <si>
    <t>JLF-44</t>
  </si>
  <si>
    <t>JLF-45</t>
  </si>
  <si>
    <t>JLF-46</t>
  </si>
  <si>
    <t>JLF-47</t>
  </si>
  <si>
    <t>JLF-48</t>
  </si>
  <si>
    <t>JLF-49</t>
  </si>
  <si>
    <t>JLF-50</t>
  </si>
  <si>
    <t>JLF-51</t>
  </si>
  <si>
    <t>JLF-52</t>
  </si>
  <si>
    <t>JLF-53</t>
  </si>
  <si>
    <t>JLF-54</t>
  </si>
  <si>
    <t>JLF-55</t>
  </si>
  <si>
    <t>JLF-56</t>
  </si>
  <si>
    <t>JLF-57</t>
  </si>
  <si>
    <t>JLF-58</t>
  </si>
  <si>
    <t>JLF-59</t>
  </si>
  <si>
    <t>JLF-60</t>
  </si>
  <si>
    <t>JLF-61</t>
  </si>
  <si>
    <t>JLF-62</t>
  </si>
  <si>
    <t>JLF-63</t>
  </si>
  <si>
    <t>JLF-64</t>
  </si>
  <si>
    <t>POLAIRE THE NORTH FACE Femme</t>
  </si>
  <si>
    <t>TNF-21</t>
  </si>
  <si>
    <t>PTNFF-21</t>
  </si>
  <si>
    <t>TNF-22</t>
  </si>
  <si>
    <t>PTNFF-22</t>
  </si>
  <si>
    <t>TNF-23</t>
  </si>
  <si>
    <t>PTNFF-23</t>
  </si>
  <si>
    <t>TNF-24</t>
  </si>
  <si>
    <t>PTNFF-24</t>
  </si>
  <si>
    <t>TNF-25</t>
  </si>
  <si>
    <t>PTNFF-25</t>
  </si>
  <si>
    <t>TNF-26</t>
  </si>
  <si>
    <t>PTNFF-26</t>
  </si>
  <si>
    <t>TNF-27</t>
  </si>
  <si>
    <t>PTNFF-27</t>
  </si>
  <si>
    <t>TNF-28</t>
  </si>
  <si>
    <t>PTNFF-28</t>
  </si>
  <si>
    <t>TNF-29</t>
  </si>
  <si>
    <t>PTNFF-29</t>
  </si>
  <si>
    <t>TNF-30</t>
  </si>
  <si>
    <t>PTNFF-30</t>
  </si>
  <si>
    <t>TNF-31</t>
  </si>
  <si>
    <t>PTNFF-31</t>
  </si>
  <si>
    <t>TNF-32</t>
  </si>
  <si>
    <t>PTNFF-32</t>
  </si>
  <si>
    <t>TNF-33</t>
  </si>
  <si>
    <t>PTNFF-33</t>
  </si>
  <si>
    <t>TNF-34</t>
  </si>
  <si>
    <t>PTNFF-34</t>
  </si>
  <si>
    <t>TNF-35</t>
  </si>
  <si>
    <t>PTNFF-35</t>
  </si>
  <si>
    <t>TNF-36</t>
  </si>
  <si>
    <t>PTNFF-36</t>
  </si>
  <si>
    <t>TNF-37</t>
  </si>
  <si>
    <t>PTNFF-37</t>
  </si>
  <si>
    <t>TNF-38</t>
  </si>
  <si>
    <t>PTNFF-38</t>
  </si>
  <si>
    <t>TNF-39</t>
  </si>
  <si>
    <t>PTNFF-39</t>
  </si>
  <si>
    <t>TNF-40</t>
  </si>
  <si>
    <t>PTNFF-40</t>
  </si>
  <si>
    <t>TNF-41</t>
  </si>
  <si>
    <t>PTNFF-41</t>
  </si>
  <si>
    <t>TNF-42</t>
  </si>
  <si>
    <t>PTNFF-42</t>
  </si>
  <si>
    <t>TNF-43</t>
  </si>
  <si>
    <t>PTNFF-43</t>
  </si>
  <si>
    <t>TNF-44</t>
  </si>
  <si>
    <t>PTNFF-44</t>
  </si>
  <si>
    <t>TNF-45</t>
  </si>
  <si>
    <t>PTNFF-45</t>
  </si>
  <si>
    <t>TNF-46</t>
  </si>
  <si>
    <t>PTNFF-46</t>
  </si>
  <si>
    <t>TNF-47</t>
  </si>
  <si>
    <t>PTNFF-47</t>
  </si>
  <si>
    <t>TNF-48</t>
  </si>
  <si>
    <t>PTNFF-48</t>
  </si>
  <si>
    <t>TNF-49</t>
  </si>
  <si>
    <t>PTNFF-49</t>
  </si>
  <si>
    <t>TNF-50</t>
  </si>
  <si>
    <t>PTNFF-50</t>
  </si>
  <si>
    <t>TNF-51</t>
  </si>
  <si>
    <t>PTNFF-51</t>
  </si>
  <si>
    <t>TNF-52</t>
  </si>
  <si>
    <t>PTNFF-52</t>
  </si>
  <si>
    <t>TNF-53</t>
  </si>
  <si>
    <t>PTNFF-53</t>
  </si>
  <si>
    <t>TNF-54</t>
  </si>
  <si>
    <t>PTNFF-54</t>
  </si>
  <si>
    <t>TNF-55</t>
  </si>
  <si>
    <t>PTNFF-55</t>
  </si>
  <si>
    <t>TNF-56</t>
  </si>
  <si>
    <t>PTNFF-56</t>
  </si>
  <si>
    <t>TNF-57</t>
  </si>
  <si>
    <t>PTNFF-57</t>
  </si>
  <si>
    <t>TNF-58</t>
  </si>
  <si>
    <t>PTNFF-58</t>
  </si>
  <si>
    <t>TNF-59</t>
  </si>
  <si>
    <t>PTNFF-59</t>
  </si>
  <si>
    <t>TNF-60</t>
  </si>
  <si>
    <t>PTNFF-60</t>
  </si>
  <si>
    <t>TNF-61</t>
  </si>
  <si>
    <t>PTNFF-61</t>
  </si>
  <si>
    <t>JLF-65</t>
  </si>
  <si>
    <t>JLF-66</t>
  </si>
  <si>
    <t>JLF-67</t>
  </si>
  <si>
    <t>JLF-68</t>
  </si>
  <si>
    <t>JLF-69</t>
  </si>
  <si>
    <t>JLF-70</t>
  </si>
  <si>
    <t>JLF-71</t>
  </si>
  <si>
    <t>JLF-72</t>
  </si>
  <si>
    <t>JLF-73</t>
  </si>
  <si>
    <t>JLF-74</t>
  </si>
  <si>
    <t>JLF-75</t>
  </si>
  <si>
    <t>JLF-76</t>
  </si>
  <si>
    <t>JLF-77</t>
  </si>
  <si>
    <t>JLF-78</t>
  </si>
  <si>
    <t>JLF-79</t>
  </si>
  <si>
    <t>JLF-80</t>
  </si>
  <si>
    <t>JLF-81</t>
  </si>
  <si>
    <t>JLF-82</t>
  </si>
  <si>
    <t>JLF-83</t>
  </si>
  <si>
    <t>JLF-84</t>
  </si>
  <si>
    <t>JLF-85</t>
  </si>
  <si>
    <t>JLF-86</t>
  </si>
  <si>
    <t>JLF-87</t>
  </si>
  <si>
    <t>JLF-88</t>
  </si>
  <si>
    <t>JLF-89</t>
  </si>
  <si>
    <t>JLF-90</t>
  </si>
  <si>
    <t>JLF-91</t>
  </si>
  <si>
    <t>JLF-92</t>
  </si>
  <si>
    <t>JLF-93</t>
  </si>
  <si>
    <t>JLF-94</t>
  </si>
  <si>
    <t>JLF-95</t>
  </si>
  <si>
    <t>JLF-96</t>
  </si>
  <si>
    <t>JLF-97</t>
  </si>
  <si>
    <t>JLF-98</t>
  </si>
  <si>
    <t>JLF-99</t>
  </si>
  <si>
    <t>JLF-100</t>
  </si>
  <si>
    <t>JLF-101</t>
  </si>
  <si>
    <t>JLF-102</t>
  </si>
  <si>
    <t>JLF-103</t>
  </si>
  <si>
    <t>JLF-104</t>
  </si>
  <si>
    <t>JLF-105</t>
  </si>
  <si>
    <t>JLF-106</t>
  </si>
  <si>
    <t>JLF-107</t>
  </si>
  <si>
    <t>JLF-108</t>
  </si>
  <si>
    <t>JLF-109</t>
  </si>
  <si>
    <t>JLF-110</t>
  </si>
  <si>
    <t>JLF-111</t>
  </si>
  <si>
    <t>JLF-112</t>
  </si>
  <si>
    <t>JLF-113</t>
  </si>
  <si>
    <t>JLF-114</t>
  </si>
  <si>
    <t>JLF-115</t>
  </si>
  <si>
    <t>JLF-116</t>
  </si>
  <si>
    <t>JLF-117</t>
  </si>
  <si>
    <t>JLF-118</t>
  </si>
  <si>
    <t>JLF-119</t>
  </si>
  <si>
    <t>JLF-120</t>
  </si>
  <si>
    <t>JLF-121</t>
  </si>
  <si>
    <t>JLF-122</t>
  </si>
  <si>
    <t>JLF-123</t>
  </si>
  <si>
    <t>JLF-124</t>
  </si>
  <si>
    <t>JLF-125</t>
  </si>
  <si>
    <t>JLF-126</t>
  </si>
  <si>
    <t>JLF-127</t>
  </si>
  <si>
    <t>JLF-128</t>
  </si>
  <si>
    <t>JLF-129</t>
  </si>
  <si>
    <t>JLF-130</t>
  </si>
  <si>
    <t>JLF-131</t>
  </si>
  <si>
    <t>JLF-132</t>
  </si>
  <si>
    <t>JLF-133</t>
  </si>
  <si>
    <t>JLF-134</t>
  </si>
  <si>
    <t>JLF-135</t>
  </si>
  <si>
    <t>JLF-136</t>
  </si>
  <si>
    <t>JLF-137</t>
  </si>
  <si>
    <t>PULL TOMMY HILFIGER Femme</t>
  </si>
  <si>
    <t>PTF-1</t>
  </si>
  <si>
    <t>PTHF-1</t>
  </si>
  <si>
    <t>PTF-3</t>
  </si>
  <si>
    <t>PTHF-3</t>
  </si>
  <si>
    <t>PTF-4</t>
  </si>
  <si>
    <t>PTHF-4</t>
  </si>
  <si>
    <t>PTF-5</t>
  </si>
  <si>
    <t>PTHF-5</t>
  </si>
  <si>
    <t>PTF-6</t>
  </si>
  <si>
    <t>PTHF-6</t>
  </si>
  <si>
    <t>PTF-7</t>
  </si>
  <si>
    <t>PTHF-7</t>
  </si>
  <si>
    <t>PTF-10</t>
  </si>
  <si>
    <t>PTHF-10</t>
  </si>
  <si>
    <t>PTF-11</t>
  </si>
  <si>
    <t>PTHF-11</t>
  </si>
  <si>
    <t>PTF-12</t>
  </si>
  <si>
    <t>PTHF-12</t>
  </si>
  <si>
    <t>PTF-13</t>
  </si>
  <si>
    <t>PTHF-13</t>
  </si>
  <si>
    <t>PTF-15</t>
  </si>
  <si>
    <t>PTHF-15</t>
  </si>
  <si>
    <t>PTF-17</t>
  </si>
  <si>
    <t>PTHF-17</t>
  </si>
  <si>
    <t>PTF-18</t>
  </si>
  <si>
    <t>PTHF-18</t>
  </si>
  <si>
    <t>PTF-19</t>
  </si>
  <si>
    <t>PTHF-19</t>
  </si>
  <si>
    <t>PTF-21</t>
  </si>
  <si>
    <t>PTHF-21</t>
  </si>
  <si>
    <t>PTF-24</t>
  </si>
  <si>
    <t>PTHF-24</t>
  </si>
  <si>
    <t>PTF-25</t>
  </si>
  <si>
    <t>PTHF-25</t>
  </si>
  <si>
    <t>PTF-26</t>
  </si>
  <si>
    <t>PTHF-26</t>
  </si>
  <si>
    <t>PTF-29</t>
  </si>
  <si>
    <t>PTHF-29</t>
  </si>
  <si>
    <t>PTF-31</t>
  </si>
  <si>
    <t>PTHF-31</t>
  </si>
  <si>
    <t>PTF-37</t>
  </si>
  <si>
    <t>PTHF-37</t>
  </si>
  <si>
    <t>PTF-39</t>
  </si>
  <si>
    <t>PTHF-39</t>
  </si>
  <si>
    <t>PTF-45</t>
  </si>
  <si>
    <t>PTHF-45</t>
  </si>
  <si>
    <t>PTF-46</t>
  </si>
  <si>
    <t>PTHF-46</t>
  </si>
  <si>
    <t>PTF-47</t>
  </si>
  <si>
    <t>PTHF-47</t>
  </si>
  <si>
    <t>PTF-48</t>
  </si>
  <si>
    <t>PTHF-48</t>
  </si>
  <si>
    <t>PTF-50</t>
  </si>
  <si>
    <t>PTHF-50</t>
  </si>
  <si>
    <t>PTF-53</t>
  </si>
  <si>
    <t>PTHF-53</t>
  </si>
  <si>
    <t>PTF-54</t>
  </si>
  <si>
    <t>PTHF-54</t>
  </si>
  <si>
    <t>PTF-55</t>
  </si>
  <si>
    <t>PTHF-55</t>
  </si>
  <si>
    <t>JLF-138</t>
  </si>
  <si>
    <t>JLF-139</t>
  </si>
  <si>
    <t>JLF-140</t>
  </si>
  <si>
    <t>JLF-141</t>
  </si>
  <si>
    <t>JLF-142</t>
  </si>
  <si>
    <t>JLF-143</t>
  </si>
  <si>
    <t>JLF-144</t>
  </si>
  <si>
    <t>JLF-145</t>
  </si>
  <si>
    <t>JLF-146</t>
  </si>
  <si>
    <t>JLF-147</t>
  </si>
  <si>
    <t>JLF-148</t>
  </si>
  <si>
    <t>JLF-149</t>
  </si>
  <si>
    <t>JLF-150</t>
  </si>
  <si>
    <t>JLF-151</t>
  </si>
  <si>
    <t>JLF-152</t>
  </si>
  <si>
    <t>JLF-153</t>
  </si>
  <si>
    <t>JLF-154</t>
  </si>
  <si>
    <t>JLF-155</t>
  </si>
  <si>
    <t>JLF-156</t>
  </si>
  <si>
    <t>JLF-157</t>
  </si>
  <si>
    <t>JLF-158</t>
  </si>
  <si>
    <t>JLF-159</t>
  </si>
  <si>
    <t>JLF-160</t>
  </si>
  <si>
    <t>JLF-161</t>
  </si>
  <si>
    <t>JLF-162</t>
  </si>
  <si>
    <t>JLF-163</t>
  </si>
  <si>
    <t>JLF-164</t>
  </si>
  <si>
    <t>JLF-165</t>
  </si>
  <si>
    <t>JLF-166</t>
  </si>
  <si>
    <t>JLF-167</t>
  </si>
  <si>
    <t>JLF-168</t>
  </si>
  <si>
    <t>JLF-169</t>
  </si>
  <si>
    <t>JLF-170</t>
  </si>
  <si>
    <t>JLF-171</t>
  </si>
  <si>
    <t>JLF-172</t>
  </si>
  <si>
    <t>JLF-173</t>
  </si>
  <si>
    <t>JLF-174</t>
  </si>
  <si>
    <t>JLF-175</t>
  </si>
  <si>
    <t>JLF-176</t>
  </si>
  <si>
    <t>JLF-177</t>
  </si>
  <si>
    <t>JLF-178</t>
  </si>
  <si>
    <t>JLF-179</t>
  </si>
  <si>
    <t>JLF-180</t>
  </si>
  <si>
    <t>JLF-181</t>
  </si>
  <si>
    <t>JLF-182</t>
  </si>
  <si>
    <t>JLF-183</t>
  </si>
  <si>
    <t>JLF-184</t>
  </si>
  <si>
    <t>JLF-185</t>
  </si>
  <si>
    <t>JLF-186</t>
  </si>
  <si>
    <t>JLF-187</t>
  </si>
  <si>
    <t>JLF-188</t>
  </si>
  <si>
    <t>JLF-189</t>
  </si>
  <si>
    <t>JLF-190</t>
  </si>
  <si>
    <t>JLF-191</t>
  </si>
  <si>
    <t>JLF-192</t>
  </si>
  <si>
    <t>JLF-193</t>
  </si>
  <si>
    <t>JLF-194</t>
  </si>
  <si>
    <t>JLF-195</t>
  </si>
  <si>
    <t>JLF-196</t>
  </si>
  <si>
    <t>JLF-197</t>
  </si>
  <si>
    <t>JLF-198</t>
  </si>
  <si>
    <t>JLF-199</t>
  </si>
  <si>
    <t>JLF-200</t>
  </si>
  <si>
    <t>JLF-201</t>
  </si>
  <si>
    <t>JLF-202</t>
  </si>
  <si>
    <t>JLF-203</t>
  </si>
  <si>
    <t>JLF-204</t>
  </si>
  <si>
    <t>JLF-205</t>
  </si>
  <si>
    <t>JLF-206</t>
  </si>
  <si>
    <t>JLF-207</t>
  </si>
  <si>
    <t>JLF-208</t>
  </si>
  <si>
    <t>JLF-209</t>
  </si>
  <si>
    <t>JLF-210</t>
  </si>
  <si>
    <t>JLF-211</t>
  </si>
  <si>
    <t>JLF-212</t>
  </si>
  <si>
    <t>JLF-213</t>
  </si>
  <si>
    <t>JLF-214</t>
  </si>
  <si>
    <t>JLF-215</t>
  </si>
  <si>
    <t>JLF-216</t>
  </si>
  <si>
    <t>JLF-217</t>
  </si>
  <si>
    <t>JLF-218</t>
  </si>
  <si>
    <t>JLF-219</t>
  </si>
  <si>
    <t>JLF-220</t>
  </si>
  <si>
    <t>JLF-221</t>
  </si>
  <si>
    <t>JLF-222</t>
  </si>
  <si>
    <t>JLF-223</t>
  </si>
  <si>
    <t>JLF-224</t>
  </si>
  <si>
    <t>JLF-225</t>
  </si>
  <si>
    <t>JLF-226</t>
  </si>
  <si>
    <t>JLF-227</t>
  </si>
  <si>
    <t>JLF-228</t>
  </si>
  <si>
    <t>JLF-229</t>
  </si>
  <si>
    <t>JLF-230</t>
  </si>
  <si>
    <t>JLF-231</t>
  </si>
  <si>
    <t>JLF-232</t>
  </si>
  <si>
    <t>JLF-233</t>
  </si>
  <si>
    <t>JLF-234</t>
  </si>
  <si>
    <t>JLF-235</t>
  </si>
  <si>
    <t>JLF-236</t>
  </si>
  <si>
    <t>JLF-237</t>
  </si>
  <si>
    <t>TNF-1</t>
  </si>
  <si>
    <t>PTNFF-1</t>
  </si>
  <si>
    <t>TNF-2</t>
  </si>
  <si>
    <t>PTNFF-2</t>
  </si>
  <si>
    <t>TNF-3</t>
  </si>
  <si>
    <t>PTNFF-3</t>
  </si>
  <si>
    <t>TNF-4</t>
  </si>
  <si>
    <t>PTNFF-4</t>
  </si>
  <si>
    <t>TNF-5</t>
  </si>
  <si>
    <t>PTNFF-5</t>
  </si>
  <si>
    <t>TNF-6</t>
  </si>
  <si>
    <t>PTNFF-6</t>
  </si>
  <si>
    <t>TNF-7</t>
  </si>
  <si>
    <t>PTNFF-7</t>
  </si>
  <si>
    <t>TNF-8</t>
  </si>
  <si>
    <t>PTNFF-8</t>
  </si>
  <si>
    <t>TNF-9</t>
  </si>
  <si>
    <t>PTNFF-9</t>
  </si>
  <si>
    <t>TNF-10</t>
  </si>
  <si>
    <t>PTNFF-10</t>
  </si>
  <si>
    <t>TNF-11</t>
  </si>
  <si>
    <t>PTNFF-11</t>
  </si>
  <si>
    <t>TNF-12</t>
  </si>
  <si>
    <t>PTNFF-12</t>
  </si>
  <si>
    <t>TNF-13</t>
  </si>
  <si>
    <t>PTNFF-13</t>
  </si>
  <si>
    <t>TNF-14</t>
  </si>
  <si>
    <t>PTNFF-14</t>
  </si>
  <si>
    <t>TNF-15</t>
  </si>
  <si>
    <t>PTNFF-15</t>
  </si>
  <si>
    <t>TNF-16</t>
  </si>
  <si>
    <t>PTNFF-16</t>
  </si>
  <si>
    <t>TNF-17</t>
  </si>
  <si>
    <t>PTNFF-17</t>
  </si>
  <si>
    <t>TNF-18</t>
  </si>
  <si>
    <t>PTNFF-18</t>
  </si>
  <si>
    <t>TNF-19</t>
  </si>
  <si>
    <t>PTNFF-19</t>
  </si>
  <si>
    <t>TNF-20</t>
  </si>
  <si>
    <t>PTNFF-20</t>
  </si>
  <si>
    <t>POLAIRE COLUMBIA Femme</t>
  </si>
  <si>
    <t>PCF-1</t>
  </si>
  <si>
    <t>PCF-2</t>
  </si>
  <si>
    <t>PCF-3</t>
  </si>
  <si>
    <t>PCF-4</t>
  </si>
  <si>
    <t>PCF-5</t>
  </si>
  <si>
    <t>PCF-6</t>
  </si>
  <si>
    <t>PCF-7</t>
  </si>
  <si>
    <t>PCF-8</t>
  </si>
  <si>
    <t>PCF-9</t>
  </si>
  <si>
    <t>PCF-10</t>
  </si>
  <si>
    <t>JLF-238</t>
  </si>
  <si>
    <t>JLF-239</t>
  </si>
  <si>
    <t>JLF-240</t>
  </si>
  <si>
    <t>JLF-241</t>
  </si>
  <si>
    <t>JLF-242</t>
  </si>
  <si>
    <t>JLF-243</t>
  </si>
  <si>
    <t>JLF-244</t>
  </si>
  <si>
    <t>JLF-245</t>
  </si>
  <si>
    <t>JLF-246</t>
  </si>
  <si>
    <t>JLF-247</t>
  </si>
  <si>
    <t>JLF-248</t>
  </si>
  <si>
    <t>JLF-249</t>
  </si>
  <si>
    <t>JLF-250</t>
  </si>
  <si>
    <t>JLF-251</t>
  </si>
  <si>
    <t>JLF-252</t>
  </si>
  <si>
    <t>JLF-253</t>
  </si>
  <si>
    <t>JLF-254</t>
  </si>
  <si>
    <t>JLF-255</t>
  </si>
  <si>
    <t>JLF-256</t>
  </si>
  <si>
    <t>JLF-257</t>
  </si>
  <si>
    <t>JLF-258</t>
  </si>
  <si>
    <t>JLF-259</t>
  </si>
  <si>
    <t>JLF-260</t>
  </si>
  <si>
    <t>JLF-261</t>
  </si>
  <si>
    <t>JLF-262</t>
  </si>
  <si>
    <t>JLF-263</t>
  </si>
  <si>
    <t>JLF-264</t>
  </si>
  <si>
    <t>JLF-265</t>
  </si>
  <si>
    <t>JLF-266</t>
  </si>
  <si>
    <t>JLF-267</t>
  </si>
  <si>
    <t>JLF-268</t>
  </si>
  <si>
    <t>JLF-269</t>
  </si>
  <si>
    <t>JLF-270</t>
  </si>
  <si>
    <t>JLF-271</t>
  </si>
  <si>
    <t>JLF-272</t>
  </si>
  <si>
    <t>JLF-273</t>
  </si>
  <si>
    <t>JLF-274</t>
  </si>
  <si>
    <t>JLF-275</t>
  </si>
  <si>
    <t>JLF-276</t>
  </si>
  <si>
    <t>JLF-277</t>
  </si>
  <si>
    <t>JLF-278</t>
  </si>
  <si>
    <t>JLF-279</t>
  </si>
  <si>
    <t>JLF-280</t>
  </si>
  <si>
    <t>JLF-281</t>
  </si>
  <si>
    <t>JLF-282</t>
  </si>
  <si>
    <t>JLF-283</t>
  </si>
  <si>
    <t>JLF-284</t>
  </si>
  <si>
    <t>JLF-285</t>
  </si>
  <si>
    <t>JLF-286</t>
  </si>
  <si>
    <t>JLF-287</t>
  </si>
  <si>
    <t>JLF-288</t>
  </si>
  <si>
    <t>JLF-289</t>
  </si>
  <si>
    <t>JLF-290</t>
  </si>
  <si>
    <t>JLF-291</t>
  </si>
  <si>
    <t>JLF-292</t>
  </si>
  <si>
    <t>JLF-293</t>
  </si>
  <si>
    <t>JLF-294</t>
  </si>
  <si>
    <t>JLF-295</t>
  </si>
  <si>
    <t>JLF-296</t>
  </si>
  <si>
    <t>JLF-297</t>
  </si>
  <si>
    <t>JLF-298</t>
  </si>
  <si>
    <t>JLF-299</t>
  </si>
  <si>
    <t>JLF-300</t>
  </si>
  <si>
    <t>JLF-301</t>
  </si>
  <si>
    <t>JLF-302</t>
  </si>
  <si>
    <t>JLF-303</t>
  </si>
  <si>
    <t>JLF-304</t>
  </si>
  <si>
    <t>JLF-305</t>
  </si>
  <si>
    <t>JLF-306</t>
  </si>
  <si>
    <t>JLF-307</t>
  </si>
  <si>
    <t>JLF-308</t>
  </si>
  <si>
    <t>JLF-309</t>
  </si>
  <si>
    <t>JLF-310</t>
  </si>
  <si>
    <t>JLF-311</t>
  </si>
  <si>
    <t>JLF-312</t>
  </si>
  <si>
    <t>JLF-313</t>
  </si>
  <si>
    <t>JLF-314</t>
  </si>
  <si>
    <t>JLF-315</t>
  </si>
  <si>
    <t>JLF-316</t>
  </si>
  <si>
    <t>JLF-317</t>
  </si>
  <si>
    <t>JLF-318</t>
  </si>
  <si>
    <t>JLF-319</t>
  </si>
  <si>
    <t>JLF-320</t>
  </si>
  <si>
    <t>JLF-321</t>
  </si>
  <si>
    <t>JLF-322</t>
  </si>
  <si>
    <t>JLF-323</t>
  </si>
  <si>
    <t>JLF-324</t>
  </si>
  <si>
    <t>JLF-325</t>
  </si>
  <si>
    <t>JLF-326</t>
  </si>
  <si>
    <t>JLF-327</t>
  </si>
  <si>
    <t>JLF-328</t>
  </si>
  <si>
    <t>JLF-329</t>
  </si>
  <si>
    <t>JLF-330</t>
  </si>
  <si>
    <t>JLF-331</t>
  </si>
  <si>
    <t>JLF-332</t>
  </si>
  <si>
    <t>JLF-333</t>
  </si>
  <si>
    <t>JLF-334</t>
  </si>
  <si>
    <t>JLF-335</t>
  </si>
  <si>
    <t>JLF-336</t>
  </si>
  <si>
    <t>JLF-337</t>
  </si>
  <si>
    <t>Références</t>
  </si>
  <si>
    <t>Quantité</t>
  </si>
  <si>
    <t>Valeurs</t>
  </si>
  <si>
    <t>Valorisation de toutes les REF</t>
  </si>
  <si>
    <t>SKU's</t>
  </si>
  <si>
    <t>PTHF</t>
  </si>
  <si>
    <t>TOUTES</t>
  </si>
  <si>
    <t>DATE DE VENTE</t>
  </si>
  <si>
    <t>ARTICLE</t>
  </si>
  <si>
    <t>FRAIS DE COLISSAGE</t>
  </si>
  <si>
    <t>PRIX VENTE</t>
  </si>
  <si>
    <t>DÉLAI D'IMMOBILISATION</t>
  </si>
  <si>
    <t>DELAI DE MISE EN LIGNE</t>
  </si>
  <si>
    <t>DELAI DE PUBLICATION</t>
  </si>
  <si>
    <t xml:space="preserve">DELAI DE VENTE </t>
  </si>
  <si>
    <t>RETOUR</t>
  </si>
  <si>
    <t>LOT</t>
  </si>
  <si>
    <t>PTHF-2</t>
  </si>
  <si>
    <t>JMHF-132</t>
  </si>
  <si>
    <t>PTHF-42</t>
  </si>
  <si>
    <t>JMHF-110</t>
  </si>
  <si>
    <t>PTHF-36</t>
  </si>
  <si>
    <t>JMHF-134</t>
  </si>
  <si>
    <t>JMHF-081</t>
  </si>
  <si>
    <t>PTHF-56</t>
  </si>
  <si>
    <t>PTHF-51</t>
  </si>
  <si>
    <t>PTHF-49</t>
  </si>
  <si>
    <t>PTHF-52</t>
  </si>
  <si>
    <t>PTHF-40</t>
  </si>
  <si>
    <t>VTHF-9</t>
  </si>
  <si>
    <t>PTHF-30</t>
  </si>
  <si>
    <t>PTHF-44</t>
  </si>
  <si>
    <t>PTHF-33</t>
  </si>
  <si>
    <t>PTHF-34</t>
  </si>
  <si>
    <t>PTHF-35</t>
  </si>
  <si>
    <t>PTHF-41</t>
  </si>
  <si>
    <t>PTHF-43</t>
  </si>
  <si>
    <t>PTHF-38</t>
  </si>
  <si>
    <t>PTHF-28</t>
  </si>
  <si>
    <t>PTHF-32</t>
  </si>
  <si>
    <t>PTHF-22</t>
  </si>
  <si>
    <t>PTHF-23</t>
  </si>
  <si>
    <t>PTHF-20</t>
  </si>
  <si>
    <t>PTHF-27</t>
  </si>
  <si>
    <t>PTHF-16</t>
  </si>
  <si>
    <t>PTHF-14</t>
  </si>
  <si>
    <t>VTHF-8</t>
  </si>
  <si>
    <t>PTHF-8</t>
  </si>
  <si>
    <t>PTHF-9</t>
  </si>
  <si>
    <t>JMHF-133</t>
  </si>
  <si>
    <t>JLFK-77</t>
  </si>
  <si>
    <t>JMHF-129</t>
  </si>
  <si>
    <t>VTHF-16</t>
  </si>
  <si>
    <t>JLFK-66</t>
  </si>
  <si>
    <t>JLFK-49</t>
  </si>
  <si>
    <t>VTHF-15</t>
  </si>
  <si>
    <t>JMHF-121</t>
  </si>
  <si>
    <t>JLFK-40</t>
  </si>
  <si>
    <t>JLFK-30</t>
  </si>
  <si>
    <t>JMHF-137</t>
  </si>
  <si>
    <t>SNEAKERS MIX Homme/ Femme</t>
  </si>
  <si>
    <t>SMHF-1</t>
  </si>
  <si>
    <t>JLFK-56</t>
  </si>
  <si>
    <t>JMHF-087</t>
  </si>
  <si>
    <t>JMHF-111</t>
  </si>
  <si>
    <t>JMHF-124</t>
  </si>
  <si>
    <t>JLFK-43</t>
  </si>
  <si>
    <t>JLFK-79</t>
  </si>
  <si>
    <t>SMHF-3</t>
  </si>
  <si>
    <t>SMHF-2</t>
  </si>
  <si>
    <t>JLFK-51</t>
  </si>
  <si>
    <t>JMHF-116</t>
  </si>
  <si>
    <t>JMHF-131</t>
  </si>
  <si>
    <t>JMHF-135</t>
  </si>
  <si>
    <t>JMHF-136</t>
  </si>
  <si>
    <t>JMHF-126</t>
  </si>
  <si>
    <t>JMHF-091</t>
  </si>
  <si>
    <t>VTHF-7</t>
  </si>
  <si>
    <t>JMHF-119</t>
  </si>
  <si>
    <t>JLFK-35</t>
  </si>
  <si>
    <t>JMHF-127</t>
  </si>
  <si>
    <t>JMHF-099</t>
  </si>
  <si>
    <t>JMHF-093</t>
  </si>
  <si>
    <t>JLFK-61</t>
  </si>
  <si>
    <t>JLFK-80</t>
  </si>
  <si>
    <t>JMHF-095</t>
  </si>
  <si>
    <t>JMHF-102</t>
  </si>
  <si>
    <t>JMHF-109</t>
  </si>
  <si>
    <t>JMHF-100</t>
  </si>
  <si>
    <t>JMHF-104</t>
  </si>
  <si>
    <t>JMHF-108</t>
  </si>
  <si>
    <t>JMHF-085</t>
  </si>
  <si>
    <t>JMHF-115</t>
  </si>
  <si>
    <t>VTHF-6</t>
  </si>
  <si>
    <t>JLFK-58</t>
  </si>
  <si>
    <t>JLFK-22</t>
  </si>
  <si>
    <t>JLFK-38</t>
  </si>
  <si>
    <t>VTHF-14</t>
  </si>
  <si>
    <t>JLFK-39</t>
  </si>
  <si>
    <t>JLFK-50</t>
  </si>
  <si>
    <t>JMHF-097</t>
  </si>
  <si>
    <t>JMHF-088</t>
  </si>
  <si>
    <t>JMHF-103</t>
  </si>
  <si>
    <t>JLFK-48</t>
  </si>
  <si>
    <t>JLFK-36</t>
  </si>
  <si>
    <t>SMHF-4</t>
  </si>
  <si>
    <t>JMHF-089</t>
  </si>
  <si>
    <t>JMHF-096</t>
  </si>
  <si>
    <t>JLFK-63</t>
  </si>
  <si>
    <t>JMHF-083</t>
  </si>
  <si>
    <t>JMHF-082</t>
  </si>
  <si>
    <t>VTHF-13</t>
  </si>
  <si>
    <t>VTHF-12</t>
  </si>
  <si>
    <t>JLFK-75</t>
  </si>
  <si>
    <t>SMHF-5</t>
  </si>
  <si>
    <t>VTHF-11</t>
  </si>
  <si>
    <t>JLFK-76</t>
  </si>
  <si>
    <t>JLFK-73</t>
  </si>
  <si>
    <t>JLFK-45</t>
  </si>
  <si>
    <t>VTHF-4</t>
  </si>
  <si>
    <t>VTHF-5</t>
  </si>
  <si>
    <t>VTHF-10</t>
  </si>
  <si>
    <t>VTHF-3</t>
  </si>
  <si>
    <t>JLFK-64</t>
  </si>
  <si>
    <t>VTHF-2</t>
  </si>
  <si>
    <t>VTHF-1</t>
  </si>
  <si>
    <t>JLFK-78</t>
  </si>
  <si>
    <t>JLFK-53</t>
  </si>
  <si>
    <t>JLFK-62</t>
  </si>
  <si>
    <t>JLFK-52</t>
  </si>
  <si>
    <t>JLFK-34</t>
  </si>
  <si>
    <t>SMHF-7</t>
  </si>
  <si>
    <t>SMHF-6</t>
  </si>
  <si>
    <t>JLFK-71</t>
  </si>
  <si>
    <t>JLFK-24</t>
  </si>
  <si>
    <t>JLFK-54</t>
  </si>
  <si>
    <t>JLFK-26</t>
  </si>
  <si>
    <t>SMHF-8</t>
  </si>
  <si>
    <t>JLFK-57</t>
  </si>
  <si>
    <t>JLFK-67</t>
  </si>
  <si>
    <t>JLFK-68</t>
  </si>
  <si>
    <t>VPHB-17</t>
  </si>
  <si>
    <t>JLFK-47</t>
  </si>
  <si>
    <t>JLFK-59</t>
  </si>
  <si>
    <t>JLFK-25</t>
  </si>
  <si>
    <t>JLFK-41</t>
  </si>
  <si>
    <t>JLFK-42</t>
  </si>
  <si>
    <t>JLFK-23</t>
  </si>
  <si>
    <t>JLFK-28</t>
  </si>
  <si>
    <t>JLFK-29</t>
  </si>
  <si>
    <t>SMHF-9</t>
  </si>
  <si>
    <t>VÊTEMENTS MIX WHAT NOT Homme/ Femme</t>
  </si>
  <si>
    <t>VMWNHF-6</t>
  </si>
  <si>
    <t>VMWNHF-7</t>
  </si>
  <si>
    <t>SMHF-10</t>
  </si>
  <si>
    <t>VMWNHF-5</t>
  </si>
  <si>
    <t>VMWNHF-1</t>
  </si>
  <si>
    <t>VMWNHF-2</t>
  </si>
  <si>
    <t>VMWNHF-3</t>
  </si>
  <si>
    <t>VMWNHF-4</t>
  </si>
  <si>
    <t>SMHF-11</t>
  </si>
  <si>
    <t>SMHF-12</t>
  </si>
  <si>
    <t>VPHB-15</t>
  </si>
  <si>
    <t>LIBELLÉS</t>
  </si>
  <si>
    <t>MARGE BRUTE</t>
  </si>
  <si>
    <t>COEFF MARGE</t>
  </si>
  <si>
    <t>NBR PCS VENDU</t>
  </si>
  <si>
    <t>SEMAINE 1 01/09/2025 AU 07/09/2025</t>
  </si>
  <si>
    <t>TOTAL VENTE SEMAINE 1 : 12</t>
  </si>
  <si>
    <t>SEMAINE 2 08/09/2025 AU 14/09/2025</t>
  </si>
  <si>
    <t>TOTAL VENTE SEMAINE 2 : 17</t>
  </si>
  <si>
    <t>SEMAINE 3 15/09/2025 AU 21/09/2025</t>
  </si>
  <si>
    <t>TOTAL VENTE SEMAINE 3 : 11</t>
  </si>
  <si>
    <t>SEMAINE 4 22/09/2025 AU 28/09/2025</t>
  </si>
  <si>
    <t>TOTAL VENTE SEMAINE 4 : 33</t>
  </si>
  <si>
    <t>SEMAINE 5 29/09/2025 AU 30/09/2025</t>
  </si>
  <si>
    <t>TOTAL VENTE SEMAINE 5 : 7</t>
  </si>
  <si>
    <t>TOTAL VENTE MOIS : 80</t>
  </si>
  <si>
    <t>SEMAINE 1 01/10/2025 AU 05/10/2025</t>
  </si>
  <si>
    <t>TOTAL VENTE SEMAINE 1</t>
  </si>
  <si>
    <t>SEMAINE 2 06/10/2025 AU 12/10/2025</t>
  </si>
  <si>
    <t>TOTAL VENTE SEMAINE 2</t>
  </si>
  <si>
    <t>SEMAINE 3 13/10/2025 AU 19/10/2025</t>
  </si>
  <si>
    <t>TOTAL VENTE SEMAINE 3 : 31</t>
  </si>
  <si>
    <t>SEMAINE 4 20/10/2025 AU 26/10/2025</t>
  </si>
  <si>
    <t>TOTAL VENTE SEMAINE 4 : 47</t>
  </si>
  <si>
    <t>SEMAINE 5 27/10/2025 AU 31/10/2025</t>
  </si>
  <si>
    <t>TOTAL VENTE SEMAINE 5 : 25</t>
  </si>
  <si>
    <t>TOTAL VENTE MOIS : 103</t>
  </si>
  <si>
    <t>TAILLE DE COLIS</t>
  </si>
  <si>
    <t xml:space="preserve">FRAIS DE COLISSAGE </t>
  </si>
  <si>
    <t>LOT DE 2</t>
  </si>
  <si>
    <t>LOT DE 3</t>
  </si>
  <si>
    <t>LOT DE 4</t>
  </si>
  <si>
    <t>LOT DE 5</t>
  </si>
  <si>
    <t>LOT DE 6</t>
  </si>
  <si>
    <t>PETIT</t>
  </si>
  <si>
    <t>MOYEN</t>
  </si>
  <si>
    <t>GRAND</t>
  </si>
  <si>
    <t>MOIS NUM</t>
  </si>
  <si>
    <t>MOIS</t>
  </si>
  <si>
    <t>SUM de PRIX D'ACHAT SHIP INCLUS</t>
  </si>
  <si>
    <t>SUM de FRAIS DE LAVAGE</t>
  </si>
  <si>
    <t>SUM de TOTAL TTC</t>
  </si>
  <si>
    <t>Total général</t>
  </si>
  <si>
    <t>ARTICLES(1)</t>
  </si>
  <si>
    <t>DATE ACHAT</t>
  </si>
  <si>
    <t>ARTICLE(0)</t>
  </si>
  <si>
    <t xml:space="preserve">PRIX ACHAT </t>
  </si>
  <si>
    <t xml:space="preserve">DATE DE MISE EN LIGNE ESTIMÉE </t>
  </si>
  <si>
    <t>VENDU</t>
  </si>
  <si>
    <t xml:space="preserve">PRIX VENTE </t>
  </si>
  <si>
    <t>DÉLAI DE VENTE (EN JOURS)</t>
  </si>
  <si>
    <t>SNEAKERS NEW B 237</t>
  </si>
  <si>
    <t>VETEMENT 1</t>
  </si>
  <si>
    <t>VPB-1</t>
  </si>
  <si>
    <t>VETEMENT 2</t>
  </si>
  <si>
    <t>VPB-2</t>
  </si>
  <si>
    <t>VETEMENT 3</t>
  </si>
  <si>
    <t>VPB-3</t>
  </si>
  <si>
    <t>VETEMENT 4</t>
  </si>
  <si>
    <t>VPB-4</t>
  </si>
  <si>
    <t>VETEMENT 5</t>
  </si>
  <si>
    <t>VPB-5</t>
  </si>
  <si>
    <t>VETEMENT 6</t>
  </si>
  <si>
    <t>VPB-6</t>
  </si>
  <si>
    <t>VETEMENT 7</t>
  </si>
  <si>
    <t>VPB-7</t>
  </si>
  <si>
    <t>VETEMENT 8</t>
  </si>
  <si>
    <t>VPB-8</t>
  </si>
  <si>
    <t xml:space="preserve">JEANS LEVIS FEMME  </t>
  </si>
  <si>
    <t>JLFK-0825-21</t>
  </si>
  <si>
    <t>JLFK-0825-27</t>
  </si>
  <si>
    <t>JLFK-0825-31</t>
  </si>
  <si>
    <t>JLFK-0825-32</t>
  </si>
  <si>
    <t xml:space="preserve">JEANS LEVIS FEMME </t>
  </si>
  <si>
    <t>JLFK-0825-33</t>
  </si>
  <si>
    <t>JLFK-0825-37</t>
  </si>
  <si>
    <t>JLFK-0825-44</t>
  </si>
  <si>
    <t>JLFK-0825-46</t>
  </si>
  <si>
    <t>JLFK-0825-55</t>
  </si>
  <si>
    <t>JLFK-0825-60</t>
  </si>
  <si>
    <t>JLFK-0825-65</t>
  </si>
  <si>
    <t>JLFK-0825-69</t>
  </si>
  <si>
    <t>JLFK-0825-70</t>
  </si>
  <si>
    <t>JLFK-0825-72</t>
  </si>
  <si>
    <t>JLFK-0825-74</t>
  </si>
  <si>
    <t>VETEMENT DIVERS FEMME</t>
  </si>
  <si>
    <t>VDF-0825-8</t>
  </si>
  <si>
    <t>VDF-0825-9</t>
  </si>
  <si>
    <t>VDF-0825-10</t>
  </si>
  <si>
    <t>VDF-0825-11</t>
  </si>
  <si>
    <t>VDF-0825-12</t>
  </si>
  <si>
    <t>VDF-0825-13</t>
  </si>
  <si>
    <t>VDF-0825-14</t>
  </si>
  <si>
    <t>VDF-0825-15</t>
  </si>
  <si>
    <t>VDF-0825-16</t>
  </si>
  <si>
    <t>VDF-0825-17</t>
  </si>
  <si>
    <t>VDF-0825-18</t>
  </si>
  <si>
    <t>VDF-0825-19</t>
  </si>
  <si>
    <t>VDF-0825-20</t>
  </si>
  <si>
    <t>VDF-0825-21</t>
  </si>
  <si>
    <t>VDF-0825-22</t>
  </si>
  <si>
    <t>VDF-0825-23</t>
  </si>
  <si>
    <t>VDF-0825-24</t>
  </si>
  <si>
    <t>VDF-0825-25</t>
  </si>
  <si>
    <t>VDF-0825-26</t>
  </si>
  <si>
    <t>VDF-0825-27</t>
  </si>
  <si>
    <t>VDF-0825-28</t>
  </si>
  <si>
    <t>VDF-0825-29</t>
  </si>
  <si>
    <t>VDF-0825-30</t>
  </si>
  <si>
    <t>VDF-0825-31</t>
  </si>
  <si>
    <t>VDF-0825-32</t>
  </si>
  <si>
    <t>VDF-0825-33</t>
  </si>
  <si>
    <t>VDF-0825-34</t>
  </si>
  <si>
    <t>T-SHIRT SUPREME 1</t>
  </si>
  <si>
    <t>VPB-9</t>
  </si>
  <si>
    <t>VETEMENT DIVERS HOMME</t>
  </si>
  <si>
    <t>VDH-0825-10</t>
  </si>
  <si>
    <t>VDH-0825-11</t>
  </si>
  <si>
    <t>VDH-0825-12</t>
  </si>
  <si>
    <t>VDH-0825-13</t>
  </si>
  <si>
    <t>VDH-0825-14</t>
  </si>
  <si>
    <t>VDH-0825-15</t>
  </si>
  <si>
    <t>VDH-0825-16</t>
  </si>
  <si>
    <t>VDH-0825-17</t>
  </si>
  <si>
    <t>VDH-0825-18</t>
  </si>
  <si>
    <t>VDH-0825-19</t>
  </si>
  <si>
    <t>VDH-0825-20</t>
  </si>
  <si>
    <t>VDH-0825-21</t>
  </si>
  <si>
    <t>VDH-0825-22</t>
  </si>
  <si>
    <t>VDH-0825-23</t>
  </si>
  <si>
    <t>VDH-0825-24</t>
  </si>
  <si>
    <t>VDH-0825-25</t>
  </si>
  <si>
    <t>VDH-0825-26</t>
  </si>
  <si>
    <t>VDH-0825-27</t>
  </si>
  <si>
    <t>VDH-0825-28</t>
  </si>
  <si>
    <t>VDH-0825-29</t>
  </si>
  <si>
    <t xml:space="preserve">JACKET MIX MARQUES GRADE B </t>
  </si>
  <si>
    <t>JMHF-0925-081</t>
  </si>
  <si>
    <t>JMHF-0925-084</t>
  </si>
  <si>
    <t>JMHF-0925-086</t>
  </si>
  <si>
    <t>JMHF-0925-090</t>
  </si>
  <si>
    <t>JMHF-0925-092</t>
  </si>
  <si>
    <t>JMHF-0925-094</t>
  </si>
  <si>
    <t>JMHF-0925-098</t>
  </si>
  <si>
    <t>JMHF-0925-101</t>
  </si>
  <si>
    <t>JMHF-0925-105</t>
  </si>
  <si>
    <t>JACKET MIX MARQUES GRADE B JMB-106</t>
  </si>
  <si>
    <t>JMHF-0925-106</t>
  </si>
  <si>
    <t>JACKET MIX MARQUES GRADE B JMB-107</t>
  </si>
  <si>
    <t>JMHF-0925-107</t>
  </si>
  <si>
    <t>JACKET MIX MARQUES GRADE B JMB-110</t>
  </si>
  <si>
    <t>JMHF-0925-110</t>
  </si>
  <si>
    <t>JACKET MIX MARQUES GRADE B JMB-112</t>
  </si>
  <si>
    <t>JMHF-0925-112</t>
  </si>
  <si>
    <t>JACKET MIX MARQUES GRADE B JMB-113</t>
  </si>
  <si>
    <t>JMHF-0925-113</t>
  </si>
  <si>
    <t>JACKET MIX MARQUES GRADE B JMB-114</t>
  </si>
  <si>
    <t>JMHF-0925-114</t>
  </si>
  <si>
    <t>JACKET MIX MARQUES GRADE B JMB-117</t>
  </si>
  <si>
    <t>JMHF-0925-117</t>
  </si>
  <si>
    <t>JACKET MIX MARQUES GRADE B JMB-118</t>
  </si>
  <si>
    <t>JMHF-0925-118</t>
  </si>
  <si>
    <t>JACKET MIX MARQUES GRADE B JMB-120</t>
  </si>
  <si>
    <t>JMHF-0925-120</t>
  </si>
  <si>
    <t>JACKET MIX MARQUES GRADE B JMB-122</t>
  </si>
  <si>
    <t>JMHF-0925-122</t>
  </si>
  <si>
    <t>JACKET MIX MARQUES GRADE B JMB-123</t>
  </si>
  <si>
    <t>JMHF-0925-123</t>
  </si>
  <si>
    <t>JACKET MIX MARQUES GRADE B JMB-125</t>
  </si>
  <si>
    <t>JMHF-0925-125</t>
  </si>
  <si>
    <t>JACKET MIX MARQUES GRADE B JMB-128</t>
  </si>
  <si>
    <t>JMHF-0925-128</t>
  </si>
  <si>
    <t>JACKET MIX MARQUES GRADE B JMB-130</t>
  </si>
  <si>
    <t>JMHF-0925-130</t>
  </si>
  <si>
    <t>JACKET MIX MARQUES GRADE B JMB-132</t>
  </si>
  <si>
    <t>JMHF-0925-132</t>
  </si>
  <si>
    <t>JACKET MIX MARQUES GRADE B JMB-134</t>
  </si>
  <si>
    <t>JMHF-0925-134</t>
  </si>
  <si>
    <t>JACKET MIX MARQUES GRADE B JMB-138</t>
  </si>
  <si>
    <t>JMHF-0925-138</t>
  </si>
  <si>
    <t>JACKET MIX MARQUES GRADE B JMB-139</t>
  </si>
  <si>
    <t>JMHF-0925-139</t>
  </si>
  <si>
    <t>JACKET MIX MARQUES GRADE B JMB-140</t>
  </si>
  <si>
    <t>JMHF-0925-140</t>
  </si>
  <si>
    <t>JEAN LEVIS FEMME JLF9</t>
  </si>
  <si>
    <t>JLF-0925-9</t>
  </si>
  <si>
    <t>JEAN LEVIS FEMME JLF10</t>
  </si>
  <si>
    <t>JLF-0925-10</t>
  </si>
  <si>
    <t>JEAN LEVIS FEMME JLF14</t>
  </si>
  <si>
    <t>JLF-0925-14</t>
  </si>
  <si>
    <t>JEAN LEVIS FEMME JLF16</t>
  </si>
  <si>
    <t>JLF-0925-16</t>
  </si>
  <si>
    <t>JEAN LEVIS FEMME JLF24</t>
  </si>
  <si>
    <t>JLF-0925-24</t>
  </si>
  <si>
    <t>JEAN LEVIS FEMME JLF25</t>
  </si>
  <si>
    <t>JLF-0925-25</t>
  </si>
  <si>
    <t>JEAN LEVIS FEMME JLF30</t>
  </si>
  <si>
    <t>JLF-0925-30</t>
  </si>
  <si>
    <t>JEAN LEVIS FEMME JLF32</t>
  </si>
  <si>
    <t>JLF-0925-32</t>
  </si>
  <si>
    <t>JEAN LEVIS FEMME JLF33</t>
  </si>
  <si>
    <t>JLF-0925-33</t>
  </si>
  <si>
    <t>JEAN LEVIS FEMME JLF37</t>
  </si>
  <si>
    <t>JLF-0925-37</t>
  </si>
  <si>
    <t>JEAN LEVIS FEMME JLF44</t>
  </si>
  <si>
    <t>JLF-0925-44</t>
  </si>
  <si>
    <t>JEAN LEVIS FEMME JLF45</t>
  </si>
  <si>
    <t>JLF-0925-45</t>
  </si>
  <si>
    <t>JEAN LEVIS FEMME JLF50</t>
  </si>
  <si>
    <t>JLF-0925-50</t>
  </si>
  <si>
    <t>JEAN LEVIS FEMME JLF53</t>
  </si>
  <si>
    <t>JLF-0925-53</t>
  </si>
  <si>
    <t>JEAN LEVIS FEMME JLF56</t>
  </si>
  <si>
    <t>JLF-0925-56</t>
  </si>
  <si>
    <t>JEAN LEVIS FEMME JLF57</t>
  </si>
  <si>
    <t>JLF-0925-57</t>
  </si>
  <si>
    <t>JEAN LEVIS FEMME JLF60</t>
  </si>
  <si>
    <t>JLF-0925-60</t>
  </si>
  <si>
    <t>JEAN LEVIS FEMME JLF63</t>
  </si>
  <si>
    <t>JLF-0925-63</t>
  </si>
  <si>
    <t>JEAN LEVIS FEMME JLF65</t>
  </si>
  <si>
    <t>JLF-0925-65</t>
  </si>
  <si>
    <t>JEAN LEVIS FEMME JLF68</t>
  </si>
  <si>
    <t>JLF-0925-68</t>
  </si>
  <si>
    <t>JEAN LEVIS FEMME JLF71</t>
  </si>
  <si>
    <t>JLF-0925-71</t>
  </si>
  <si>
    <t>JEAN LEVIS FEMME JLF72</t>
  </si>
  <si>
    <t>JLF-0925-72</t>
  </si>
  <si>
    <t>JEAN LEVIS FEMME JLF74</t>
  </si>
  <si>
    <t>JLF-0925-74</t>
  </si>
  <si>
    <t>JEAN LEVIS FEMME JLF82</t>
  </si>
  <si>
    <t>JLF-0925-82</t>
  </si>
  <si>
    <t>JEAN LEVIS FEMME JLF83</t>
  </si>
  <si>
    <t>JLF-0925-83</t>
  </si>
  <si>
    <t>JEAN LEVIS FEMME JLF85</t>
  </si>
  <si>
    <t>JLF-0925-85</t>
  </si>
  <si>
    <t>JEAN LEVIS FEMME JLF87</t>
  </si>
  <si>
    <t>JLF-0925-87</t>
  </si>
  <si>
    <t>JEAN LEVIS FEMME JLF89</t>
  </si>
  <si>
    <t>JLF-0925-89</t>
  </si>
  <si>
    <t>JEAN LEVIS FEMME JLF93</t>
  </si>
  <si>
    <t>JLF-0925-93</t>
  </si>
  <si>
    <t>JEAN LEVIS FEMME JLF94</t>
  </si>
  <si>
    <t>JLF-0925-94</t>
  </si>
  <si>
    <t>JEAN LEVIS FEMME JLF95</t>
  </si>
  <si>
    <t>JLF-0925-95</t>
  </si>
  <si>
    <t>JEAN LEVIS FEMME JLF101</t>
  </si>
  <si>
    <t>JLF-0925-101</t>
  </si>
  <si>
    <t>JEAN LEVIS FEMME JLF104</t>
  </si>
  <si>
    <t>JLF-0925-104</t>
  </si>
  <si>
    <t>JEAN LEVIS FEMME JLF106</t>
  </si>
  <si>
    <t>JLF-0925-106</t>
  </si>
  <si>
    <t>JEAN LEVIS FEMME JLF107</t>
  </si>
  <si>
    <t>JLF-0925-107</t>
  </si>
  <si>
    <t>JEAN LEVIS FEMME JLF109</t>
  </si>
  <si>
    <t>JLF-0925-109</t>
  </si>
  <si>
    <t>JEAN LEVIS FEMME JLF111</t>
  </si>
  <si>
    <t>JLF-0925-111</t>
  </si>
  <si>
    <t>JEAN LEVIS FEMME JLF112</t>
  </si>
  <si>
    <t>JLF-0925-112</t>
  </si>
  <si>
    <t>JEAN LEVIS FEMME JLF114</t>
  </si>
  <si>
    <t>JLF-0925-114</t>
  </si>
  <si>
    <t>JEAN LEVIS FEMME JLF118</t>
  </si>
  <si>
    <t>JLF-0925-118</t>
  </si>
  <si>
    <t>JEAN LEVIS FEMME JLF119</t>
  </si>
  <si>
    <t>JLF-0925-119</t>
  </si>
  <si>
    <t>JEAN LEVIS FEMME JLF120</t>
  </si>
  <si>
    <t>JLF-0925-120</t>
  </si>
  <si>
    <t>JEAN LEVIS FEMME JLF125</t>
  </si>
  <si>
    <t>JLF-0925-125</t>
  </si>
  <si>
    <t>JEAN LEVIS FEMME JLF129</t>
  </si>
  <si>
    <t>JLF-0925-129</t>
  </si>
  <si>
    <t>JEAN LEVIS FEMME JLF130</t>
  </si>
  <si>
    <t>JLF-0925-130</t>
  </si>
  <si>
    <t>JEAN LEVIS FEMME JLF131</t>
  </si>
  <si>
    <t>JLF-0925-131</t>
  </si>
  <si>
    <t>JEAN LEVIS FEMME JLF132</t>
  </si>
  <si>
    <t>JLF-0925-132</t>
  </si>
  <si>
    <t>JEAN LEVIS FEMME JLF134</t>
  </si>
  <si>
    <t>JLF-0925-134</t>
  </si>
  <si>
    <t>JEAN LEVIS FEMME JLF136</t>
  </si>
  <si>
    <t>JLF-0925-136</t>
  </si>
  <si>
    <t>JEAN LEVIS FEMME JLF137</t>
  </si>
  <si>
    <t>JLF-0925-137</t>
  </si>
  <si>
    <t xml:space="preserve">PULL TOMMY FEMME 1 </t>
  </si>
  <si>
    <t>PTHF-1025-1</t>
  </si>
  <si>
    <t>PULL TOMMY FEMME 2</t>
  </si>
  <si>
    <t>PTHF-1025-2</t>
  </si>
  <si>
    <t>PULL TOMMY FEMME 3</t>
  </si>
  <si>
    <t>PTHF-1025-3</t>
  </si>
  <si>
    <t>PULL TOMMY FEMME 4</t>
  </si>
  <si>
    <t>PTHF-1025-4</t>
  </si>
  <si>
    <t>PULL TOMMY FEMME 5</t>
  </si>
  <si>
    <t>PTHF-1025-5</t>
  </si>
  <si>
    <t>PULL TOMMY FEMME 6</t>
  </si>
  <si>
    <t>PTHF-1025-6</t>
  </si>
  <si>
    <t>PULL TOMMY FEMME 7</t>
  </si>
  <si>
    <t>PTHF-1025-7</t>
  </si>
  <si>
    <t>PULL TOMMY FEMME 10</t>
  </si>
  <si>
    <t>PTHF-1025-10</t>
  </si>
  <si>
    <t>PULL TOMMY FEMME 11</t>
  </si>
  <si>
    <t>PTHF-1025-11</t>
  </si>
  <si>
    <t>PULL TOMMY FEMME 12</t>
  </si>
  <si>
    <t>PTHF-1025-12</t>
  </si>
  <si>
    <t>PULL TOMMY FEMME 13</t>
  </si>
  <si>
    <t>PTHF-1025-13</t>
  </si>
  <si>
    <t>PULL TOMMY FEMME 15</t>
  </si>
  <si>
    <t>PTHF-1025-15</t>
  </si>
  <si>
    <t>PULL TOMMY FEMME 17</t>
  </si>
  <si>
    <t>PTHF-1025-17</t>
  </si>
  <si>
    <t>PULL TOMMY FEMME 18</t>
  </si>
  <si>
    <t>PTHF-1025-18</t>
  </si>
  <si>
    <t>PULL TOMMY FEMME 19</t>
  </si>
  <si>
    <t>PTHF-1025-19</t>
  </si>
  <si>
    <t>PULL TOMMY FEMME 21</t>
  </si>
  <si>
    <t>PTHF-1025-21</t>
  </si>
  <si>
    <t>PULL TOMMY FEMME 24</t>
  </si>
  <si>
    <t>PTHF-1025-24</t>
  </si>
  <si>
    <t>PULL TOMMY FEMME 25</t>
  </si>
  <si>
    <t>PTHF-1025-25</t>
  </si>
  <si>
    <t>PULL TOMMY FEMME 26</t>
  </si>
  <si>
    <t>PTHF-1025-26</t>
  </si>
  <si>
    <t>PULL TOMMY FEMME 29</t>
  </si>
  <si>
    <t>PTHF-1025-27</t>
  </si>
  <si>
    <t>PULL TOMMY FEMME 31</t>
  </si>
  <si>
    <t>PTHF-1025-31</t>
  </si>
  <si>
    <t>PULL TOMMY FEMME 36</t>
  </si>
  <si>
    <t>PTHF-1025-36</t>
  </si>
  <si>
    <t>PULL TOMMY FEMME 37</t>
  </si>
  <si>
    <t>PTHF-1025-37</t>
  </si>
  <si>
    <t>PULL TOMMY FEMME 39</t>
  </si>
  <si>
    <t>PTHF-1025-39</t>
  </si>
  <si>
    <t>PULL TOMMY FEMME 42</t>
  </si>
  <si>
    <t>PTHF-1025-42</t>
  </si>
  <si>
    <t>PULL TOMMY FEMME 45</t>
  </si>
  <si>
    <t>PTHF-1025-45</t>
  </si>
  <si>
    <t>PULL TOMMY FEMME 46</t>
  </si>
  <si>
    <t>PTHF-1025-46</t>
  </si>
  <si>
    <t>PULL TOMMY FEMME 47</t>
  </si>
  <si>
    <t>PTHF-1025-47</t>
  </si>
  <si>
    <t>PULL TOMMY FEMME 48</t>
  </si>
  <si>
    <t>PTHF-1025-48</t>
  </si>
  <si>
    <t>PULL TOMMY FEMME 50</t>
  </si>
  <si>
    <t>PTHF-1025-50</t>
  </si>
  <si>
    <t>PULL TOMMY FEMME 53</t>
  </si>
  <si>
    <t>PTHF-1025-53</t>
  </si>
  <si>
    <t>PULL TOMMY FEMME 54</t>
  </si>
  <si>
    <t>PTHF-1025-54</t>
  </si>
  <si>
    <t>PULL TOMMY FEMME 55</t>
  </si>
  <si>
    <t>PTHF-1025-55</t>
  </si>
  <si>
    <t>PULL TOMMY FEMME 56</t>
  </si>
  <si>
    <t>PTHF-1025-56</t>
  </si>
  <si>
    <t>JEAN LEVIS FEMME JLF138</t>
  </si>
  <si>
    <t>JLF-1025-138</t>
  </si>
  <si>
    <t>JEAN LEVIS FEMME JLF140</t>
  </si>
  <si>
    <t>JLF-1025-140</t>
  </si>
  <si>
    <t>JEAN LEVIS FEMME JLF141</t>
  </si>
  <si>
    <t>JLF-1025-141</t>
  </si>
  <si>
    <t>JEAN LEVIS FEMME JLF142</t>
  </si>
  <si>
    <t>JLF-1025-142</t>
  </si>
  <si>
    <t>JEAN LEVIS FEMME JLF143</t>
  </si>
  <si>
    <t>JLF-1025-143</t>
  </si>
  <si>
    <t>JEAN LEVIS FEMME JLF144</t>
  </si>
  <si>
    <t>JLF-1025-144</t>
  </si>
  <si>
    <t>JEAN LEVIS FEMME JLF145</t>
  </si>
  <si>
    <t>JLF-1025-145</t>
  </si>
  <si>
    <t>JEAN LEVIS FEMME JLF146</t>
  </si>
  <si>
    <t>JLF-1025-146</t>
  </si>
  <si>
    <t>JEAN LEVIS FEMME JLF147</t>
  </si>
  <si>
    <t>JLF-1025-147</t>
  </si>
  <si>
    <t>JEAN LEVIS FEMME JLF148</t>
  </si>
  <si>
    <t>JLF-1025-148</t>
  </si>
  <si>
    <t>JEAN LEVIS FEMME JLF149</t>
  </si>
  <si>
    <t>JLF-1025-149</t>
  </si>
  <si>
    <t>JEAN LEVIS FEMME JLF150</t>
  </si>
  <si>
    <t>JLF-1025-150</t>
  </si>
  <si>
    <t>JEAN LEVIS FEMME JLF151</t>
  </si>
  <si>
    <t>JLF-1025-151</t>
  </si>
  <si>
    <t>JEAN LEVIS FEMME JLF152</t>
  </si>
  <si>
    <t>JLF-1025-152</t>
  </si>
  <si>
    <t>JEAN LEVIS FEMME JLF153</t>
  </si>
  <si>
    <t>JLF-1025-153</t>
  </si>
  <si>
    <t>JEAN LEVIS FEMME JLF154</t>
  </si>
  <si>
    <t>JLF-1025-154</t>
  </si>
  <si>
    <t>JEAN LEVIS FEMME JLF155</t>
  </si>
  <si>
    <t>JLF-1025-155</t>
  </si>
  <si>
    <t>JEAN LEVIS FEMME JLF156</t>
  </si>
  <si>
    <t>JLF-1025-156</t>
  </si>
  <si>
    <t>JEAN LEVIS FEMME JLF157</t>
  </si>
  <si>
    <t>JLF-1025-157</t>
  </si>
  <si>
    <t>JEAN LEVIS FEMME JLF158</t>
  </si>
  <si>
    <t>JLF-1025-158</t>
  </si>
  <si>
    <t>JEAN LEVIS FEMME JLF159</t>
  </si>
  <si>
    <t>JLF-1025-159</t>
  </si>
  <si>
    <t>JEAN LEVIS FEMME JLF160</t>
  </si>
  <si>
    <t>JLF-1025-160</t>
  </si>
  <si>
    <t>JEAN LEVIS FEMME JLF161</t>
  </si>
  <si>
    <t>JLF-1025-161</t>
  </si>
  <si>
    <t>JEAN LEVIS FEMME JLF162</t>
  </si>
  <si>
    <t>JLF-1025-162</t>
  </si>
  <si>
    <t>JEAN LEVIS FEMME JLF163</t>
  </si>
  <si>
    <t>JLF-1025-163</t>
  </si>
  <si>
    <t>JEAN LEVIS FEMME JLF164</t>
  </si>
  <si>
    <t>JLF-1025-164</t>
  </si>
  <si>
    <t>JEAN LEVIS FEMME JLF165</t>
  </si>
  <si>
    <t>JLF-1025-165</t>
  </si>
  <si>
    <t>JEAN LEVIS FEMME JLF166</t>
  </si>
  <si>
    <t>JLF-1025-166</t>
  </si>
  <si>
    <t>JEAN LEVIS FEMME JLF167</t>
  </si>
  <si>
    <t>JLF-1025-167</t>
  </si>
  <si>
    <t>JEAN LEVIS FEMME JLF168</t>
  </si>
  <si>
    <t>JLF-1025-168</t>
  </si>
  <si>
    <t>JEAN LEVIS FEMME JLF169</t>
  </si>
  <si>
    <t>JLF-1025-169</t>
  </si>
  <si>
    <t>JEAN LEVIS FEMME JLF170</t>
  </si>
  <si>
    <t>JLF-1025-170</t>
  </si>
  <si>
    <t>JEAN LEVIS FEMME JLF171</t>
  </si>
  <si>
    <t>JLF-1025-171</t>
  </si>
  <si>
    <t>JEAN LEVIS FEMME JLF172</t>
  </si>
  <si>
    <t>JLF-1025-172</t>
  </si>
  <si>
    <t>JEAN LEVIS FEMME JLF173</t>
  </si>
  <si>
    <t>JLF-1025-173</t>
  </si>
  <si>
    <t>JEAN LEVIS FEMME JLF174</t>
  </si>
  <si>
    <t>JLF-1025-174</t>
  </si>
  <si>
    <t>JEAN LEVIS FEMME JLF175</t>
  </si>
  <si>
    <t>JLF-1025-175</t>
  </si>
  <si>
    <t>JEAN LEVIS FEMME JLF176</t>
  </si>
  <si>
    <t>JLF-1025-176</t>
  </si>
  <si>
    <t>JEAN LEVIS FEMME JLF177</t>
  </si>
  <si>
    <t>JLF-1025-177</t>
  </si>
  <si>
    <t>JEAN LEVIS FEMME JLF178</t>
  </si>
  <si>
    <t>JLF-1025-178</t>
  </si>
  <si>
    <t>JEAN LEVIS FEMME JLF179</t>
  </si>
  <si>
    <t>JLF-1025-179</t>
  </si>
  <si>
    <t>JEAN LEVIS FEMME JLF180</t>
  </si>
  <si>
    <t>JLF-1025-180</t>
  </si>
  <si>
    <t>JEAN LEVIS FEMME JLF181</t>
  </si>
  <si>
    <t>JLF-1025-181</t>
  </si>
  <si>
    <t>JEAN LEVIS FEMME JLF182</t>
  </si>
  <si>
    <t>JLF-1025-182</t>
  </si>
  <si>
    <t>JEAN LEVIS FEMME JLF183</t>
  </si>
  <si>
    <t>JLF-1025-183</t>
  </si>
  <si>
    <t>JEAN LEVIS FEMME JLF184</t>
  </si>
  <si>
    <t>JLF-1025-184</t>
  </si>
  <si>
    <t>JEAN LEVIS FEMME JLF185</t>
  </si>
  <si>
    <t>JLF-1025-185</t>
  </si>
  <si>
    <t>JEAN LEVIS FEMME JLF186</t>
  </si>
  <si>
    <t>JLF-1025-186</t>
  </si>
  <si>
    <t>JEAN LEVIS FEMME JLF187</t>
  </si>
  <si>
    <t>JLF-1025-187</t>
  </si>
  <si>
    <t>JEAN LEVIS FEMME JLF188</t>
  </si>
  <si>
    <t>JLF-1025-188</t>
  </si>
  <si>
    <t>JEAN LEVIS FEMME JLF189</t>
  </si>
  <si>
    <t>JLF-1025-189</t>
  </si>
  <si>
    <t>JEAN LEVIS FEMME JLF190</t>
  </si>
  <si>
    <t>JLF-1025-190</t>
  </si>
  <si>
    <t>JEAN LEVIS FEMME JLF191</t>
  </si>
  <si>
    <t>JLF-1025-191</t>
  </si>
  <si>
    <t>JEAN LEVIS FEMME JLF192</t>
  </si>
  <si>
    <t>JLF-1025-192</t>
  </si>
  <si>
    <t>JEAN LEVIS FEMME JLF193</t>
  </si>
  <si>
    <t>JLF-1025-193</t>
  </si>
  <si>
    <t>JEAN LEVIS FEMME JLF194</t>
  </si>
  <si>
    <t>JLF-1025-194</t>
  </si>
  <si>
    <t>JEAN LEVIS FEMME JLF195</t>
  </si>
  <si>
    <t>JLF-1025-195</t>
  </si>
  <si>
    <t>JEAN LEVIS FEMME JLF196</t>
  </si>
  <si>
    <t>JLF-1025-196</t>
  </si>
  <si>
    <t>JEAN LEVIS FEMME JLF197</t>
  </si>
  <si>
    <t>JLF-1025-197</t>
  </si>
  <si>
    <t>JEAN LEVIS FEMME JLF198</t>
  </si>
  <si>
    <t>JLF-1025-198</t>
  </si>
  <si>
    <t>JEAN LEVIS FEMME JLF199</t>
  </si>
  <si>
    <t>JLF-1025-199</t>
  </si>
  <si>
    <t>JEAN LEVIS FEMME JLF200</t>
  </si>
  <si>
    <t>JLF-1025-200</t>
  </si>
  <si>
    <t>JEAN LEVIS FEMME JLF201</t>
  </si>
  <si>
    <t>JLF-1025-201</t>
  </si>
  <si>
    <t>JEAN LEVIS FEMME JLF202</t>
  </si>
  <si>
    <t>JLF-1025-202</t>
  </si>
  <si>
    <t>JEAN LEVIS FEMME JLF203</t>
  </si>
  <si>
    <t>JLF-1025-203</t>
  </si>
  <si>
    <t>JEAN LEVIS FEMME JLF204</t>
  </si>
  <si>
    <t>JLF-1025-204</t>
  </si>
  <si>
    <t>JEAN LEVIS FEMME JLF205</t>
  </si>
  <si>
    <t>JLF-1025-205</t>
  </si>
  <si>
    <t>JEAN LEVIS FEMME JLF206</t>
  </si>
  <si>
    <t>JLF-1025-206</t>
  </si>
  <si>
    <t>JEAN LEVIS FEMME JLF207</t>
  </si>
  <si>
    <t>JLF-1025-207</t>
  </si>
  <si>
    <t>JEAN LEVIS FEMME JLF208</t>
  </si>
  <si>
    <t>JLF-1025-208</t>
  </si>
  <si>
    <t>JEAN LEVIS FEMME JLF209</t>
  </si>
  <si>
    <t>JLF-1025-209</t>
  </si>
  <si>
    <t>JEAN LEVIS FEMME JLF210</t>
  </si>
  <si>
    <t>JLF-1025-210</t>
  </si>
  <si>
    <t>JEAN LEVIS FEMME JLF211</t>
  </si>
  <si>
    <t>JLF-1025-211</t>
  </si>
  <si>
    <t>JEAN LEVIS FEMME JLF212</t>
  </si>
  <si>
    <t>JLF-1025-212</t>
  </si>
  <si>
    <t>JEAN LEVIS FEMME JLF213</t>
  </si>
  <si>
    <t>JLF-1025-213</t>
  </si>
  <si>
    <t>JEAN LEVIS FEMME JLF214</t>
  </si>
  <si>
    <t>JLF-1025-214</t>
  </si>
  <si>
    <t>JEAN LEVIS FEMME JLF215</t>
  </si>
  <si>
    <t>JLF-1025-215</t>
  </si>
  <si>
    <t>JEAN LEVIS FEMME JLF216</t>
  </si>
  <si>
    <t>JLF-1025-216</t>
  </si>
  <si>
    <t>JEAN LEVIS FEMME JLF217</t>
  </si>
  <si>
    <t>JLF-1025-217</t>
  </si>
  <si>
    <t>JEAN LEVIS FEMME JLF218</t>
  </si>
  <si>
    <t>JLF-1025-218</t>
  </si>
  <si>
    <t>JEAN LEVIS FEMME JLF219</t>
  </si>
  <si>
    <t>JLF-1025-219</t>
  </si>
  <si>
    <t>JEAN LEVIS FEMME JLF220</t>
  </si>
  <si>
    <t>JLF-1025-220</t>
  </si>
  <si>
    <t>JEAN LEVIS FEMME JLF221</t>
  </si>
  <si>
    <t>JLF-1025-221</t>
  </si>
  <si>
    <t>JEAN LEVIS FEMME JLF222</t>
  </si>
  <si>
    <t>JLF-1025-222</t>
  </si>
  <si>
    <t>JEAN LEVIS FEMME JLF223</t>
  </si>
  <si>
    <t>JLF-1025-223</t>
  </si>
  <si>
    <t>JEAN LEVIS FEMME JLF224</t>
  </si>
  <si>
    <t>JLF-1025-224</t>
  </si>
  <si>
    <t>JEAN LEVIS FEMME JLF225</t>
  </si>
  <si>
    <t>JLF-1025-225</t>
  </si>
  <si>
    <t>JEAN LEVIS FEMME JLF226</t>
  </si>
  <si>
    <t>JLF-1025-226</t>
  </si>
  <si>
    <t>JEAN LEVIS FEMME JLF227</t>
  </si>
  <si>
    <t>JLF-1025-227</t>
  </si>
  <si>
    <t>JEAN LEVIS FEMME JLF228</t>
  </si>
  <si>
    <t>JLF-1025-228</t>
  </si>
  <si>
    <t>JEAN LEVIS FEMME JLF229</t>
  </si>
  <si>
    <t>JLF-1025-229</t>
  </si>
  <si>
    <t>JEAN LEVIS FEMME JLF230</t>
  </si>
  <si>
    <t>JLF-1025-230</t>
  </si>
  <si>
    <t>JEAN LEVIS FEMME JLF231</t>
  </si>
  <si>
    <t>JLF-1025-231</t>
  </si>
  <si>
    <t>JEAN LEVIS FEMME JLF232</t>
  </si>
  <si>
    <t>JLF-1025-232</t>
  </si>
  <si>
    <t>JEAN LEVIS FEMME JLF233</t>
  </si>
  <si>
    <t>JLF-1025-233</t>
  </si>
  <si>
    <t>JEAN LEVIS FEMME JLF234</t>
  </si>
  <si>
    <t>JLF-1025-234</t>
  </si>
  <si>
    <t>JEAN LEVIS FEMME JLF235</t>
  </si>
  <si>
    <t>JLF-1025-235</t>
  </si>
  <si>
    <t>JEAN LEVIS FEMME JLF236</t>
  </si>
  <si>
    <t>JLF-1025-236</t>
  </si>
  <si>
    <t>JEAN LEVIS FEMME JLF237</t>
  </si>
  <si>
    <t>JLF-1025-237</t>
  </si>
  <si>
    <t>FLEECE TNF 42</t>
  </si>
  <si>
    <t>PTNFF-0925-42</t>
  </si>
  <si>
    <t>FLEECE TNF 43</t>
  </si>
  <si>
    <t>PTNFF-0925-43</t>
  </si>
  <si>
    <t>FLEECE TNF 44</t>
  </si>
  <si>
    <t>PTNFF-0925-44</t>
  </si>
  <si>
    <t>FLEECE TNF 45</t>
  </si>
  <si>
    <t>PTNFF-0925-45</t>
  </si>
  <si>
    <t>FLEECE TNF 46</t>
  </si>
  <si>
    <t>PTNFF-0925-46</t>
  </si>
  <si>
    <t>FLEECE TNF 47</t>
  </si>
  <si>
    <t>PTNFF-0925-47</t>
  </si>
  <si>
    <t>FLEECE TNF 48</t>
  </si>
  <si>
    <t>PTNFF-0925-48</t>
  </si>
  <si>
    <t>FLEECE TNF 49</t>
  </si>
  <si>
    <t>PTNFF-0925-49</t>
  </si>
  <si>
    <t>FLEECE TNF 50</t>
  </si>
  <si>
    <t>PTNFF-0925-50</t>
  </si>
  <si>
    <t>FLEECE TNF 51</t>
  </si>
  <si>
    <t>PTNFF-0925-51</t>
  </si>
  <si>
    <t>FLEECE TNF 52</t>
  </si>
  <si>
    <t>PTNFF-0925-52</t>
  </si>
  <si>
    <t>FLEECE TNF 53</t>
  </si>
  <si>
    <t>PTNFF-0925-53</t>
  </si>
  <si>
    <t>FLEECE TNF 54</t>
  </si>
  <si>
    <t>PTNFF-0925-54</t>
  </si>
  <si>
    <t>FLEECE TNF 55</t>
  </si>
  <si>
    <t>PTNFF-0925-55</t>
  </si>
  <si>
    <t>FLEECE TNF 56</t>
  </si>
  <si>
    <t>PTNFF-0925-56</t>
  </si>
  <si>
    <t>FLEECE TNF 57</t>
  </si>
  <si>
    <t>PTNFF-0925-57</t>
  </si>
  <si>
    <t>FLEECE TNF 58</t>
  </si>
  <si>
    <t>PTNFF-0925-58</t>
  </si>
  <si>
    <t>FLEECE TNF 59</t>
  </si>
  <si>
    <t>PTNFF-0925-59</t>
  </si>
  <si>
    <t>FLEECE TNF 60</t>
  </si>
  <si>
    <t>PTNFF-0925-60</t>
  </si>
  <si>
    <t>FLEECE TNF 61</t>
  </si>
  <si>
    <t>PTNFF-0925-61</t>
  </si>
  <si>
    <t>FLEECE COLUMBIA 1</t>
  </si>
  <si>
    <t>PCF-0925-1</t>
  </si>
  <si>
    <t>FLEECE COLUMBIA 2</t>
  </si>
  <si>
    <t>PCF-0925-2</t>
  </si>
  <si>
    <t>FLEECE COLUMBIA 3</t>
  </si>
  <si>
    <t>PCF-0925-3</t>
  </si>
  <si>
    <t>FLEECE COLUMBIA 4</t>
  </si>
  <si>
    <t>PCF-0925-4</t>
  </si>
  <si>
    <t>FLEECE COLUMBIA 5</t>
  </si>
  <si>
    <t>PCF-0925-5</t>
  </si>
  <si>
    <t>FLEECE COLUMBIA 6</t>
  </si>
  <si>
    <t>PCF-0925-6</t>
  </si>
  <si>
    <t>FLEECE COLUMBIA 7</t>
  </si>
  <si>
    <t>PCF-0925-7</t>
  </si>
  <si>
    <t>FLEECE COLUMBIA 8</t>
  </si>
  <si>
    <t>PCF-0925-8</t>
  </si>
  <si>
    <t>FLEECE COLUMBIA 9</t>
  </si>
  <si>
    <t>PCF-0925-9</t>
  </si>
  <si>
    <t>FLEECE COLUMBIA 10</t>
  </si>
  <si>
    <t>PCF-0925-10</t>
  </si>
  <si>
    <t>FLEECE TNF 1</t>
  </si>
  <si>
    <t>PTNFF-0925-1</t>
  </si>
  <si>
    <t>FLEECE TNF 2</t>
  </si>
  <si>
    <t>PTNFF-0925-2</t>
  </si>
  <si>
    <t>FLEECE TNF 3</t>
  </si>
  <si>
    <t>PTNFF-0925-3</t>
  </si>
  <si>
    <t>FLEECE TNF 4</t>
  </si>
  <si>
    <t>PTNFF-0925-4</t>
  </si>
  <si>
    <t>FLEECE TNF 5</t>
  </si>
  <si>
    <t>PTNFF-0925-5</t>
  </si>
  <si>
    <t>FLEECE TNF 6</t>
  </si>
  <si>
    <t>PTNFF-0925-6</t>
  </si>
  <si>
    <t>FLEECE TNF 7</t>
  </si>
  <si>
    <t>PTNFF-0925-7</t>
  </si>
  <si>
    <t>FLEECE TNF 8</t>
  </si>
  <si>
    <t>PTNFF-0925-8</t>
  </si>
  <si>
    <t>FLEECE TNF 9</t>
  </si>
  <si>
    <t>PTNFF-0925-9</t>
  </si>
  <si>
    <t>FLEECE TNF 10</t>
  </si>
  <si>
    <t>PTNFF-0925-10</t>
  </si>
  <si>
    <t>FLEECE TNF 11</t>
  </si>
  <si>
    <t>PTNFF-0925-11</t>
  </si>
  <si>
    <t>FLEECE TNF 12</t>
  </si>
  <si>
    <t>PTNFF-0925-12</t>
  </si>
  <si>
    <t>FLEECE TNF 13</t>
  </si>
  <si>
    <t>PTNFF-0925-13</t>
  </si>
  <si>
    <t>FLEECE TNF 14</t>
  </si>
  <si>
    <t>PTNFF-0925-14</t>
  </si>
  <si>
    <t>FLEECE TNF 15</t>
  </si>
  <si>
    <t>PTNFF-0925-15</t>
  </si>
  <si>
    <t>FLEECE TNF 16</t>
  </si>
  <si>
    <t>PTNFF-0925-16</t>
  </si>
  <si>
    <t>FLEECE TNF 17</t>
  </si>
  <si>
    <t>PTNFF-0925-17</t>
  </si>
  <si>
    <t>FLEECE TNF 18</t>
  </si>
  <si>
    <t>PTNFF-0925-18</t>
  </si>
  <si>
    <t>FLEECE TNF 19</t>
  </si>
  <si>
    <t>PTNFF-0925-19</t>
  </si>
  <si>
    <t>FLEECE TNF 20</t>
  </si>
  <si>
    <t>PTNFF-0925-20</t>
  </si>
  <si>
    <t>FLEECE TNF 21</t>
  </si>
  <si>
    <t>PTNFF-0925-21</t>
  </si>
  <si>
    <t>FLEECE TNF 22</t>
  </si>
  <si>
    <t>PTNFF-0925-22</t>
  </si>
  <si>
    <t>FLEECE TNF 23</t>
  </si>
  <si>
    <t>PTNFF-0925-23</t>
  </si>
  <si>
    <t>FLEECE TNF 24</t>
  </si>
  <si>
    <t>PTNFF-0925-24</t>
  </si>
  <si>
    <t>FLEECE TNF 25</t>
  </si>
  <si>
    <t>PTNFF-0925-25</t>
  </si>
  <si>
    <t>FLEECE TNF 26</t>
  </si>
  <si>
    <t>PTNFF-0925-26</t>
  </si>
  <si>
    <t>FLEECE TNF 27</t>
  </si>
  <si>
    <t>PTNFF-0925-27</t>
  </si>
  <si>
    <t>FLEECE TNF 28</t>
  </si>
  <si>
    <t>PTNFF-0925-28</t>
  </si>
  <si>
    <t>FLEECE TNF 29</t>
  </si>
  <si>
    <t>PTNFF-0925-29</t>
  </si>
  <si>
    <t>FLEECE TNF 30</t>
  </si>
  <si>
    <t>PTNFF-0925-30</t>
  </si>
  <si>
    <t>FLEECE TNF 31</t>
  </si>
  <si>
    <t>PTNFF-0925-31</t>
  </si>
  <si>
    <t>FLEECE TNF 32</t>
  </si>
  <si>
    <t>PTNFF-0925-32</t>
  </si>
  <si>
    <t>FLEECE TNF 33</t>
  </si>
  <si>
    <t>PTNFF-0925-33</t>
  </si>
  <si>
    <t>FLEECE TNF 34</t>
  </si>
  <si>
    <t>PTNFF-0925-34</t>
  </si>
  <si>
    <t>FLEECE TNF 35</t>
  </si>
  <si>
    <t>PTNFF-0925-35</t>
  </si>
  <si>
    <t>FLEECE TNF 36</t>
  </si>
  <si>
    <t>PTNFF-0925-36</t>
  </si>
  <si>
    <t>FLEECE TNF 37</t>
  </si>
  <si>
    <t>PTNFF-0925-37</t>
  </si>
  <si>
    <t>FLEECE TNF 38</t>
  </si>
  <si>
    <t>PTNFF-0925-38</t>
  </si>
  <si>
    <t>FLEECE TNF 39</t>
  </si>
  <si>
    <t>PTNFF-0925-39</t>
  </si>
  <si>
    <t>FLEECE TNF 40</t>
  </si>
  <si>
    <t>PTNFF-0925-40</t>
  </si>
  <si>
    <t>FLEECE TNF 41</t>
  </si>
  <si>
    <t>PTNFF-0925-41</t>
  </si>
  <si>
    <t xml:space="preserve">TOTAL </t>
  </si>
  <si>
    <t>JACKET MIX MARQUES GRADE B JMB-099</t>
  </si>
  <si>
    <t>JACKET MIX MARQUES GRADE B JMB-127</t>
  </si>
  <si>
    <t>JEANS LEVIS FEMME JLFK-35</t>
  </si>
  <si>
    <t>VETEMENT HOMME TYMAN 7</t>
  </si>
  <si>
    <t>JACKET MIX MARQUES GRADE B JMB-091</t>
  </si>
  <si>
    <t>JACKET MIX MARQUES GRADE B JMB-119</t>
  </si>
  <si>
    <t>JACKET MIX MARQUES GRADE B JMB-126</t>
  </si>
  <si>
    <t>JACKET MIX MARQUES GRADE B JMB-131</t>
  </si>
  <si>
    <t>JACKET MIX MARQUES GRADE B JMB-135</t>
  </si>
  <si>
    <t>JACKET MIX MARQUES GRADE B JMB-136</t>
  </si>
  <si>
    <t>JEANS LEVIS FEMME JLFK-43</t>
  </si>
  <si>
    <t>JEANS LEVIS FEMME JLFK-51</t>
  </si>
  <si>
    <t>JEANS LEVIS FEMME JLFK-79</t>
  </si>
  <si>
    <t>JACKET MIX MARQUES GRADE B JMB-111</t>
  </si>
  <si>
    <t>JACKET MIX MARQUES GRADE B JMB-116</t>
  </si>
  <si>
    <t>JACKET MIX MARQUES GRADE B JMB-124</t>
  </si>
  <si>
    <t>JEAN LEVIS FEMME JLF1</t>
  </si>
  <si>
    <t>JEAN LEVIS FEMME JLF3</t>
  </si>
  <si>
    <t>JEAN LEVIS FEMME JLF4</t>
  </si>
  <si>
    <t>JEAN LEVIS FEMME JLF5</t>
  </si>
  <si>
    <t>JEAN LEVIS FEMME JLF6</t>
  </si>
  <si>
    <t>JEAN LEVIS FEMME JLF8</t>
  </si>
  <si>
    <t>JEAN LEVIS FEMME JLF17</t>
  </si>
  <si>
    <t>SEMAINE 3 13/10/2025 au 19/10/2025</t>
  </si>
  <si>
    <t>JEAN LEVIS FEMME JLF2</t>
  </si>
  <si>
    <t>JEAN LEVIS FEMME JLF18</t>
  </si>
  <si>
    <t>JEAN LEVIS FEMME JLF22</t>
  </si>
  <si>
    <t>JEAN LEVIS FEMME JLF27</t>
  </si>
  <si>
    <t>JACKET MIX MARQUES GRADE B JMB-087</t>
  </si>
  <si>
    <t>JEANS LEVIS FEMME JLFK-56</t>
  </si>
  <si>
    <t>JEAN LEVIS FEMME JLF23</t>
  </si>
  <si>
    <t>JEAN LEVIS FEMME JLF26</t>
  </si>
  <si>
    <t>JACKET MIX MARQUES GRADE B JMB-137</t>
  </si>
  <si>
    <t>JEAN LEVIS FEMME JLF31</t>
  </si>
  <si>
    <t>JEAN LEVIS FEMME JLF42</t>
  </si>
  <si>
    <t>JEAN LEVIS FEMME JLF46</t>
  </si>
  <si>
    <t>JEAN LEVIS FEMME JLF47</t>
  </si>
  <si>
    <t>JEAN LEVIS FEMME JLF49</t>
  </si>
  <si>
    <t>JEAN LEVIS FEMME JLF55</t>
  </si>
  <si>
    <t>JEAN LEVIS FEMME JLF58</t>
  </si>
  <si>
    <t>JEANS LEVIS FEMME JLFK-30</t>
  </si>
  <si>
    <t>JEANS LEVIS FEMME JLFK-40</t>
  </si>
  <si>
    <t>VETEMENT FEMME TYMAN 6</t>
  </si>
  <si>
    <t>JACKET MIX MARQUES GRADE B JMB-121</t>
  </si>
  <si>
    <t>JEAN LEVIS FEMME JLF34</t>
  </si>
  <si>
    <t>JEAN LEVIS FEMME JLF43</t>
  </si>
  <si>
    <t>JEAN LEVIS FEMME JLF51</t>
  </si>
  <si>
    <t>JEAN LEVIS FEMME JLF52</t>
  </si>
  <si>
    <t>JEAN LEVIS FEMME JLF54</t>
  </si>
  <si>
    <t>JEAN LEVIS FEMME JLF59</t>
  </si>
  <si>
    <t>JEAN LEVIS FEMME JLF61</t>
  </si>
  <si>
    <t>JEAN LEVIS FEMME JLF62</t>
  </si>
  <si>
    <t>JEAN LEVIS FEMME JLF64</t>
  </si>
  <si>
    <t>JEAN LEVIS FEMME JLF66</t>
  </si>
  <si>
    <t>JEAN LEVIS FEMME JLF73</t>
  </si>
  <si>
    <t>JEAN LEVIS FEMME JLF75</t>
  </si>
  <si>
    <t>JEAN LEVIS FEMME JLF76</t>
  </si>
  <si>
    <t>JEANS LEVIS FEMME JLFK-49</t>
  </si>
  <si>
    <t>JEANS LEVIS FEMME JLFK-66</t>
  </si>
  <si>
    <t>JEAN LEVIS FEMME JLF7</t>
  </si>
  <si>
    <t>JEAN LEVIS FEMME JLF11</t>
  </si>
  <si>
    <t>JEAN LEVIS FEMME JLF35</t>
  </si>
  <si>
    <t>JEAN LEVIS FEMME JLF36</t>
  </si>
  <si>
    <t>JEAN LEVIS FEMME JLF40</t>
  </si>
  <si>
    <t>JEAN LEVIS FEMME JLF69</t>
  </si>
  <si>
    <t>JEAN LEVIS FEMME JLF77</t>
  </si>
  <si>
    <t>JEAN LEVIS FEMME JLF80</t>
  </si>
  <si>
    <t>JEAN LEVIS FEMME JLF81</t>
  </si>
  <si>
    <t>JEAN LEVIS FEMME JLF86</t>
  </si>
  <si>
    <t>JEAN LEVIS FEMME JLF90</t>
  </si>
  <si>
    <t>SEMAINE 4 20/102025 au 26/10/205</t>
  </si>
  <si>
    <t>VETEMENT FEMME TYMAN 7</t>
  </si>
  <si>
    <t>JEAN LEVIS FEMME JLF13</t>
  </si>
  <si>
    <t>JEAN LEVIS FEMME JLF20</t>
  </si>
  <si>
    <t>JEAN LEVIS FEMME JLF41</t>
  </si>
  <si>
    <t>JEAN LEVIS FEMME JLF79</t>
  </si>
  <si>
    <t>JEAN LEVIS FEMME JLF91</t>
  </si>
  <si>
    <t>JEAN LEVIS FEMME JLF96</t>
  </si>
  <si>
    <t>JEAN LEVIS FEMME JLF97</t>
  </si>
  <si>
    <t>JEAN LEVIS FEMME JLF98</t>
  </si>
  <si>
    <t>JEAN LEVIS FEMME JLF99</t>
  </si>
  <si>
    <t>JEAN LEVIS FEMME JLF100</t>
  </si>
  <si>
    <t>JEAN LEVIS FEMME JLF102</t>
  </si>
  <si>
    <t>JEAN LEVIS FEMME JLF110</t>
  </si>
  <si>
    <t>JEAN LEVIS FEMME JLF116</t>
  </si>
  <si>
    <t>JACKET MIX MARQUES GRADE B JMB-129</t>
  </si>
  <si>
    <t>JEAN LEVIS FEMME JLF67</t>
  </si>
  <si>
    <t>JEAN LEVIS FEMME JLF78</t>
  </si>
  <si>
    <t>JEAN LEVIS FEMME JLF88</t>
  </si>
  <si>
    <t>JEAN LEVIS FEMME JLF115</t>
  </si>
  <si>
    <t>JEAN LEVIS FEMME JLF122</t>
  </si>
  <si>
    <t>JEAN LEVIS FEMME JLF127</t>
  </si>
  <si>
    <t>JEAN LEVIS FEMME JLF70</t>
  </si>
  <si>
    <t>JEAN LEVIS FEMME JLF117</t>
  </si>
  <si>
    <t>JEAN LEVIS FEMME JLF133</t>
  </si>
  <si>
    <t>JEANS LEVIS FEMME JLFK-77</t>
  </si>
  <si>
    <t>JACKET MIX MARQUES GRADE B JMB-133</t>
  </si>
  <si>
    <t>JEAN LEVIS FEMME JLF12</t>
  </si>
  <si>
    <t>JEAN LEVIS FEMME JLF15</t>
  </si>
  <si>
    <t>JEAN LEVIS FEMME JLF21</t>
  </si>
  <si>
    <t>JEAN LEVIS FEMME JLF29</t>
  </si>
  <si>
    <t>JEAN LEVIS FEMME JLF39</t>
  </si>
  <si>
    <t>JEAN LEVIS FEMME JLF105</t>
  </si>
  <si>
    <t>JEAN LEVIS FEMME JLF108</t>
  </si>
  <si>
    <t>JEAN LEVIS FEMME JLF135</t>
  </si>
  <si>
    <t>PULL TOMMY FEMME 8</t>
  </si>
  <si>
    <t>PULL TOMMY FEMME 9</t>
  </si>
  <si>
    <t>JEAN LEVIS FEMME JLF84</t>
  </si>
  <si>
    <t>VETEMENT HOMME TYMAN 8</t>
  </si>
  <si>
    <t>JEAN LEVIS FEMME JLF48</t>
  </si>
  <si>
    <t>JEAN LEVIS FEMME JLF92</t>
  </si>
  <si>
    <t>JEAN LEVIS FEMME JLF103</t>
  </si>
  <si>
    <t>JEAN LEVIS FEMME JLF113</t>
  </si>
  <si>
    <t>JEAN LEVIS FEMME JLF121</t>
  </si>
  <si>
    <t>JEAN LEVIS FEMME JLF123</t>
  </si>
  <si>
    <t>JEAN LEVIS FEMME JLF126</t>
  </si>
  <si>
    <t>PULL TOMMY FEMME 14</t>
  </si>
  <si>
    <t>PULL TOMMY FEMME 16</t>
  </si>
  <si>
    <t>SEMAINE 5 27/10/2025 au 31/10/2025</t>
  </si>
  <si>
    <t>PULL TOMMY FEMME 20</t>
  </si>
  <si>
    <t>PULL TOMMY FEMME 22</t>
  </si>
  <si>
    <t>PULL TOMMY FEMME 23</t>
  </si>
  <si>
    <t>PULL TOMMY FEMME 27</t>
  </si>
  <si>
    <t>PULL TOMMY FEMME 28</t>
  </si>
  <si>
    <t>PULL TOMMY FEMME 30</t>
  </si>
  <si>
    <t>PULL TOMMY FEMME 32</t>
  </si>
  <si>
    <t>PULL TOMMY FEMME 33</t>
  </si>
  <si>
    <t>PULL TOMMY FEMME 34</t>
  </si>
  <si>
    <t>PULL TOMMY FEMME 35</t>
  </si>
  <si>
    <t>PULL TOMMY FEMME 38</t>
  </si>
  <si>
    <t>PULL TOMMY FEMME 41</t>
  </si>
  <si>
    <t>PULL TOMMY FEMME 43</t>
  </si>
  <si>
    <t>PULL TOMMY FEMME 44</t>
  </si>
  <si>
    <t>VETEMENT HOMME TYMAN 9</t>
  </si>
  <si>
    <t>JEAN LEVIS FEMME JLF19</t>
  </si>
  <si>
    <t>JEAN LEVIS FEMME JLF28</t>
  </si>
  <si>
    <t>JEAN LEVIS FEMME JLF38</t>
  </si>
  <si>
    <t>JEAN LEVIS FEMME JLF124</t>
  </si>
  <si>
    <t>JEAN LEVIS FEMME JLF128</t>
  </si>
  <si>
    <t>PULL TOMMY FEMME 40</t>
  </si>
  <si>
    <t>PULL TOMMY FEMME 49</t>
  </si>
  <si>
    <t>PULL TOMMY FEMME 51</t>
  </si>
  <si>
    <t>PULL TOMMY FEMME 52</t>
  </si>
  <si>
    <t>JEAN LEVIS FEMME JLF139</t>
  </si>
  <si>
    <t xml:space="preserve">COMPTABILITÉ </t>
  </si>
  <si>
    <t>SORTIE</t>
  </si>
  <si>
    <t>ENTRÉE</t>
  </si>
  <si>
    <t>STOCK</t>
  </si>
  <si>
    <t>DÉPENSE</t>
  </si>
  <si>
    <t>MONTANT</t>
  </si>
  <si>
    <t>CA VENTE</t>
  </si>
  <si>
    <t>VALEUR DE STOCK</t>
  </si>
  <si>
    <t>CLEMZ</t>
  </si>
  <si>
    <t xml:space="preserve">CHATGPT </t>
  </si>
  <si>
    <t xml:space="preserve">MARGE BRUT </t>
  </si>
  <si>
    <t>REVOLUT</t>
  </si>
  <si>
    <t xml:space="preserve">COEFF MARGE </t>
  </si>
  <si>
    <t xml:space="preserve">CONEVERT LABEL </t>
  </si>
  <si>
    <t xml:space="preserve">WHATNOT </t>
  </si>
  <si>
    <t xml:space="preserve">DRESSING  VINTED </t>
  </si>
  <si>
    <t>BOOST</t>
  </si>
  <si>
    <t>CA TOTAL</t>
  </si>
  <si>
    <t xml:space="preserve">ESSENCE livraison, lavomatique, etc </t>
  </si>
  <si>
    <t>LAVERIE (machine+séche linge)</t>
  </si>
  <si>
    <t>MARGE BRUT TOTAL</t>
  </si>
  <si>
    <t>NETTOYANT lessive, adoucissant, decolor stop,détachant</t>
  </si>
  <si>
    <t>FOURNITURE DE BUREAU pochettes d'envoie, bordereau</t>
  </si>
  <si>
    <t>TEMU x2 double portant,</t>
  </si>
  <si>
    <t>AMAZON eau, cintres, rouleau a poile</t>
  </si>
  <si>
    <t>BRICOLAGE planche armoire</t>
  </si>
  <si>
    <t>TOTAL DÉPENSE</t>
  </si>
  <si>
    <t>BÉNÉFICE MOIS</t>
  </si>
  <si>
    <t>BENEFICE MOIS - TOTAL DEPENSE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</si>
</sst>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\ [$€-1]"/>
    <numFmt numFmtId="165" formatCode="dd/MM/yyyy"/>
    <numFmt numFmtId="166" formatCode="dd/mm/yyyy"/>
    <numFmt numFmtId="167" formatCode="&quot;En stock : &quot;0&quot; pièces&quot;"/>
    <numFmt numFmtId="168" formatCode="&quot;Vendue : &quot;0&quot; pièces&quot;"/>
    <numFmt numFmtId="169" formatCode="#,##0.00;(#,##0.00)"/>
    <numFmt numFmtId="170" formatCode="d/m/yyyy"/>
    <numFmt numFmtId="171" formatCode="d/m"/>
    <numFmt numFmtId="172" formatCode="#,##0&quot;€&quot;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</font>
    <font>
      <sz val="9.0"/>
      <color theme="1"/>
      <name val="Arial"/>
    </font>
    <font>
      <color theme="1"/>
      <name val="Roboto"/>
    </font>
    <font>
      <sz val="11.0"/>
      <color theme="1"/>
      <name val="Calibri"/>
    </font>
    <font>
      <b/>
      <color theme="1"/>
      <name val="Arial"/>
      <scheme val="minor"/>
    </font>
    <font>
      <b/>
      <sz val="14.0"/>
      <color theme="1"/>
      <name val="Arial"/>
    </font>
    <font>
      <b/>
      <i/>
      <sz val="14.0"/>
      <color theme="1"/>
      <name val="Arial"/>
    </font>
    <font>
      <sz val="14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285F4"/>
        <bgColor rgb="FF4285F4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5" xfId="0" applyAlignment="1" applyFont="1" applyNumberForma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 vertical="bottom"/>
    </xf>
    <xf borderId="0" fillId="0" fontId="1" numFmtId="164" xfId="0" applyAlignment="1" applyFont="1" applyNumberFormat="1">
      <alignment shrinkToFit="0" wrapText="0"/>
    </xf>
    <xf borderId="0" fillId="0" fontId="1" numFmtId="165" xfId="0" applyAlignment="1" applyFont="1" applyNumberFormat="1">
      <alignment readingOrder="0" shrinkToFit="0" wrapText="0"/>
    </xf>
    <xf borderId="0" fillId="0" fontId="1" numFmtId="166" xfId="0" applyAlignment="1" applyFont="1" applyNumberFormat="1">
      <alignment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1" numFmtId="165" xfId="0" applyAlignment="1" applyFont="1" applyNumberFormat="1">
      <alignment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3" numFmtId="165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shrinkToFit="0" vertical="bottom" wrapText="0"/>
    </xf>
    <xf borderId="0" fillId="0" fontId="1" numFmtId="0" xfId="0" applyFont="1"/>
    <xf borderId="0" fillId="0" fontId="1" numFmtId="165" xfId="0" applyFont="1" applyNumberFormat="1"/>
    <xf borderId="0" fillId="0" fontId="4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49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49" xfId="0" applyAlignment="1" applyBorder="1" applyFont="1" applyNumberForma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167" xfId="0" applyAlignment="1" applyFont="1" applyNumberFormat="1">
      <alignment readingOrder="0" vertical="bottom"/>
    </xf>
    <xf borderId="4" fillId="0" fontId="3" numFmtId="164" xfId="0" applyAlignment="1" applyBorder="1" applyFont="1" applyNumberForma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168" xfId="0" applyAlignment="1" applyFont="1" applyNumberFormat="1">
      <alignment readingOrder="0" vertical="bottom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66" xfId="0" applyAlignment="1" applyFont="1" applyNumberFormat="1">
      <alignment readingOrder="0" vertical="bottom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right" shrinkToFit="0" vertical="bottom" wrapText="0"/>
    </xf>
    <xf borderId="0" fillId="0" fontId="6" numFmtId="165" xfId="0" applyAlignment="1" applyFont="1" applyNumberFormat="1">
      <alignment horizontal="right" shrinkToFit="0" vertical="bottom" wrapText="0"/>
    </xf>
    <xf borderId="0" fillId="0" fontId="6" numFmtId="49" xfId="0" applyAlignment="1" applyFont="1" applyNumberFormat="1">
      <alignment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1" numFmtId="165" xfId="0" applyFont="1" applyNumberFormat="1"/>
    <xf borderId="0" fillId="0" fontId="1" numFmtId="4" xfId="0" applyFont="1" applyNumberFormat="1"/>
    <xf borderId="0" fillId="0" fontId="1" numFmtId="2" xfId="0" applyFont="1" applyNumberFormat="1"/>
    <xf borderId="0" fillId="0" fontId="1" numFmtId="1" xfId="0" applyFont="1" applyNumberForma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69" xfId="0" applyAlignment="1" applyFont="1" applyNumberFormat="1">
      <alignment horizontal="left" readingOrder="0"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165" xfId="0" applyAlignment="1" applyFont="1" applyNumberFormat="1">
      <alignment shrinkToFit="0" vertical="center" wrapText="0"/>
    </xf>
    <xf borderId="0" fillId="0" fontId="7" numFmtId="3" xfId="0" applyAlignment="1" applyFont="1" applyNumberFormat="1">
      <alignment shrinkToFit="0" vertical="center" wrapText="0"/>
    </xf>
    <xf borderId="0" fillId="0" fontId="7" numFmtId="2" xfId="0" applyAlignment="1" applyFont="1" applyNumberFormat="1">
      <alignment shrinkToFit="0" vertical="center" wrapText="0"/>
    </xf>
    <xf borderId="0" fillId="0" fontId="7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9" xfId="0" applyAlignment="1" applyFont="1" applyNumberFormat="1">
      <alignment shrinkToFit="0" vertical="center" wrapText="0"/>
    </xf>
    <xf borderId="0" fillId="0" fontId="7" numFmtId="4" xfId="0" applyAlignment="1" applyFont="1" applyNumberFormat="1">
      <alignment shrinkToFit="0" vertical="center" wrapText="0"/>
    </xf>
    <xf borderId="0" fillId="0" fontId="7" numFmtId="16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wrapText="0"/>
    </xf>
    <xf borderId="1" fillId="0" fontId="7" numFmtId="0" xfId="0" applyAlignment="1" applyBorder="1" applyFont="1">
      <alignment shrinkToFit="0" wrapText="0"/>
    </xf>
    <xf borderId="2" fillId="0" fontId="1" numFmtId="170" xfId="0" applyBorder="1" applyFont="1" applyNumberFormat="1"/>
    <xf borderId="2" fillId="0" fontId="1" numFmtId="0" xfId="0" applyBorder="1" applyFont="1"/>
    <xf borderId="2" fillId="0" fontId="1" numFmtId="4" xfId="0" applyBorder="1" applyFont="1" applyNumberFormat="1"/>
    <xf borderId="3" fillId="0" fontId="7" numFmtId="0" xfId="0" applyBorder="1" applyFont="1"/>
    <xf borderId="5" fillId="0" fontId="1" numFmtId="0" xfId="0" applyAlignment="1" applyBorder="1" applyFont="1">
      <alignment shrinkToFit="0" wrapText="0"/>
    </xf>
    <xf borderId="0" fillId="0" fontId="1" numFmtId="164" xfId="0" applyAlignment="1" applyFont="1" applyNumberFormat="1">
      <alignment shrinkToFit="0" wrapText="0"/>
    </xf>
    <xf borderId="0" fillId="0" fontId="1" numFmtId="4" xfId="0" applyAlignment="1" applyFont="1" applyNumberFormat="1">
      <alignment shrinkToFit="0" wrapText="0"/>
    </xf>
    <xf borderId="4" fillId="0" fontId="1" numFmtId="0" xfId="0" applyBorder="1" applyFont="1"/>
    <xf borderId="0" fillId="0" fontId="1" numFmtId="169" xfId="0" applyAlignment="1" applyFont="1" applyNumberFormat="1">
      <alignment shrinkToFit="0" wrapText="0"/>
    </xf>
    <xf borderId="0" fillId="0" fontId="7" numFmtId="0" xfId="0" applyAlignment="1" applyFont="1">
      <alignment readingOrder="0" shrinkToFit="0" wrapText="0"/>
    </xf>
    <xf borderId="6" fillId="0" fontId="7" numFmtId="0" xfId="0" applyAlignment="1" applyBorder="1" applyFont="1">
      <alignment readingOrder="0" shrinkToFit="0" wrapText="0"/>
    </xf>
    <xf borderId="7" fillId="0" fontId="7" numFmtId="170" xfId="0" applyBorder="1" applyFont="1" applyNumberFormat="1"/>
    <xf borderId="7" fillId="0" fontId="7" numFmtId="164" xfId="0" applyAlignment="1" applyBorder="1" applyFont="1" applyNumberFormat="1">
      <alignment shrinkToFit="0" wrapText="0"/>
    </xf>
    <xf borderId="7" fillId="0" fontId="7" numFmtId="4" xfId="0" applyAlignment="1" applyBorder="1" applyFont="1" applyNumberFormat="1">
      <alignment shrinkToFit="0" wrapText="0"/>
    </xf>
    <xf borderId="8" fillId="0" fontId="7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0" fillId="0" fontId="7" numFmtId="165" xfId="0" applyFont="1" applyNumberFormat="1"/>
    <xf borderId="2" fillId="0" fontId="7" numFmtId="165" xfId="0" applyBorder="1" applyFont="1" applyNumberFormat="1"/>
    <xf borderId="2" fillId="0" fontId="7" numFmtId="0" xfId="0" applyBorder="1" applyFont="1"/>
    <xf borderId="0" fillId="0" fontId="1" numFmtId="4" xfId="0" applyFont="1" applyNumberFormat="1"/>
    <xf borderId="7" fillId="0" fontId="7" numFmtId="0" xfId="0" applyAlignment="1" applyBorder="1" applyFont="1">
      <alignment shrinkToFit="0" wrapText="0"/>
    </xf>
    <xf borderId="0" fillId="0" fontId="1" numFmtId="0" xfId="0" applyAlignment="1" applyFont="1">
      <alignment shrinkToFit="0" wrapText="0"/>
    </xf>
    <xf borderId="5" fillId="0" fontId="1" numFmtId="165" xfId="0" applyAlignment="1" applyBorder="1" applyFont="1" applyNumberFormat="1">
      <alignment shrinkToFit="0" wrapText="0"/>
    </xf>
    <xf borderId="7" fillId="0" fontId="7" numFmtId="169" xfId="0" applyAlignment="1" applyBorder="1" applyFont="1" applyNumberFormat="1">
      <alignment shrinkToFit="0" wrapText="0"/>
    </xf>
    <xf borderId="0" fillId="0" fontId="1" numFmtId="0" xfId="0" applyAlignment="1" applyFont="1">
      <alignment shrinkToFit="0" wrapText="0"/>
    </xf>
    <xf borderId="0" fillId="0" fontId="1" numFmtId="2" xfId="0" applyAlignment="1" applyFont="1" applyNumberFormat="1">
      <alignment shrinkToFit="0" wrapText="0"/>
    </xf>
    <xf borderId="7" fillId="0" fontId="7" numFmtId="0" xfId="0" applyAlignment="1" applyBorder="1" applyFont="1">
      <alignment shrinkToFit="0" wrapText="0"/>
    </xf>
    <xf borderId="0" fillId="0" fontId="1" numFmtId="0" xfId="0" applyAlignment="1" applyFont="1">
      <alignment shrinkToFit="0" wrapText="0"/>
    </xf>
    <xf borderId="0" fillId="0" fontId="1" numFmtId="4" xfId="0" applyAlignment="1" applyFont="1" applyNumberFormat="1">
      <alignment shrinkToFit="0" wrapText="0"/>
    </xf>
    <xf borderId="0" fillId="0" fontId="1" numFmtId="0" xfId="0" applyFont="1"/>
    <xf borderId="0" fillId="0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3" numFmtId="170" xfId="0" applyAlignment="1" applyFont="1" applyNumberFormat="1">
      <alignment vertical="bottom"/>
    </xf>
    <xf borderId="0" fillId="0" fontId="3" numFmtId="171" xfId="0" applyAlignment="1" applyFont="1" applyNumberFormat="1">
      <alignment vertical="bottom"/>
    </xf>
    <xf borderId="0" fillId="2" fontId="9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4" fontId="9" numFmtId="0" xfId="0" applyAlignment="1" applyFill="1" applyFont="1">
      <alignment vertical="bottom"/>
    </xf>
    <xf borderId="0" fillId="4" fontId="3" numFmtId="170" xfId="0" applyAlignment="1" applyFont="1" applyNumberFormat="1">
      <alignment vertical="bottom"/>
    </xf>
    <xf borderId="0" fillId="5" fontId="9" numFmtId="0" xfId="0" applyAlignment="1" applyFill="1" applyFont="1">
      <alignment vertical="bottom"/>
    </xf>
    <xf borderId="0" fillId="5" fontId="3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4" fontId="8" numFmtId="0" xfId="0" applyAlignment="1" applyFont="1">
      <alignment vertical="bottom"/>
    </xf>
    <xf borderId="0" fillId="4" fontId="10" numFmtId="164" xfId="0" applyAlignment="1" applyFont="1" applyNumberFormat="1">
      <alignment horizontal="right" vertical="bottom"/>
    </xf>
    <xf borderId="0" fillId="5" fontId="8" numFmtId="0" xfId="0" applyAlignment="1" applyFont="1">
      <alignment vertical="bottom"/>
    </xf>
    <xf borderId="0" fillId="5" fontId="10" numFmtId="164" xfId="0" applyAlignment="1" applyFont="1" applyNumberFormat="1">
      <alignment horizontal="right" vertical="bottom"/>
    </xf>
    <xf borderId="0" fillId="2" fontId="10" numFmtId="0" xfId="0" applyAlignment="1" applyFont="1">
      <alignment vertical="bottom"/>
    </xf>
    <xf borderId="0" fillId="2" fontId="10" numFmtId="164" xfId="0" applyAlignment="1" applyFont="1" applyNumberFormat="1">
      <alignment horizontal="right" vertical="bottom"/>
    </xf>
    <xf borderId="0" fillId="4" fontId="3" numFmtId="0" xfId="0" applyAlignment="1" applyFont="1">
      <alignment vertical="bottom"/>
    </xf>
    <xf borderId="0" fillId="4" fontId="3" numFmtId="164" xfId="0" applyAlignment="1" applyFont="1" applyNumberFormat="1">
      <alignment vertical="bottom"/>
    </xf>
    <xf borderId="0" fillId="4" fontId="10" numFmtId="2" xfId="0" applyAlignment="1" applyFont="1" applyNumberFormat="1">
      <alignment horizontal="right" vertical="bottom"/>
    </xf>
    <xf borderId="0" fillId="4" fontId="3" numFmtId="171" xfId="0" applyAlignment="1" applyFont="1" applyNumberFormat="1">
      <alignment vertical="bottom"/>
    </xf>
    <xf borderId="0" fillId="2" fontId="8" numFmtId="164" xfId="0" applyAlignment="1" applyFont="1" applyNumberFormat="1">
      <alignment horizontal="right" vertical="bottom"/>
    </xf>
    <xf borderId="0" fillId="6" fontId="8" numFmtId="0" xfId="0" applyAlignment="1" applyFill="1" applyFont="1">
      <alignment vertical="bottom"/>
    </xf>
    <xf borderId="0" fillId="6" fontId="10" numFmtId="164" xfId="0" applyAlignment="1" applyFont="1" applyNumberFormat="1">
      <alignment horizontal="right" vertical="bottom"/>
    </xf>
    <xf borderId="0" fillId="6" fontId="8" numFmtId="164" xfId="0" applyAlignment="1" applyFont="1" applyNumberFormat="1">
      <alignment horizontal="right" vertical="bottom"/>
    </xf>
    <xf borderId="0" fillId="0" fontId="3" numFmtId="14" xfId="0" applyAlignment="1" applyFont="1" applyNumberFormat="1">
      <alignment readingOrder="0" vertical="bottom"/>
    </xf>
    <xf borderId="0" fillId="0" fontId="1" numFmtId="166" xfId="0" applyAlignment="1" applyFont="1" applyNumberFormat="1">
      <alignment readingOrder="0"/>
    </xf>
    <xf borderId="0" fillId="3" fontId="3" numFmtId="164" xfId="0" applyAlignment="1" applyFont="1" applyNumberFormat="1">
      <alignment vertical="bottom"/>
    </xf>
    <xf borderId="0" fillId="3" fontId="3" numFmtId="172" xfId="0" applyAlignment="1" applyFont="1" applyNumberFormat="1">
      <alignment vertical="bottom"/>
    </xf>
  </cellXfs>
  <cellStyles count="1">
    <cellStyle xfId="0" name="Normal" builtinId="0"/>
  </cellStyles>
  <dxfs count="21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>
        <color rgb="FF0B5394"/>
      </font>
      <fill>
        <patternFill patternType="none"/>
      </fill>
      <border/>
    </dxf>
    <dxf>
      <font>
        <color rgb="FF38761D"/>
      </font>
      <fill>
        <patternFill patternType="none"/>
      </fill>
      <border/>
    </dxf>
    <dxf>
      <font>
        <color rgb="FFBF9000"/>
      </font>
      <fill>
        <patternFill patternType="none"/>
      </fill>
      <border/>
    </dxf>
    <dxf>
      <font>
        <color rgb="FFFF00FF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>
        <color rgb="FF999999"/>
      </font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4A86E8"/>
      </font>
      <fill>
        <patternFill patternType="none"/>
      </fill>
      <border/>
    </dxf>
    <dxf>
      <font>
        <color rgb="FF6AA84F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  <dxf>
      <font>
        <color rgb="FFB45F06"/>
      </font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C4E2A0"/>
          <bgColor rgb="FFC4E2A0"/>
        </patternFill>
      </fill>
      <border/>
    </dxf>
  </dxfs>
  <tableStyles count="11">
    <tableStyle count="3" pivot="0" name="Achats-style">
      <tableStyleElement dxfId="1" type="headerRow"/>
      <tableStyleElement dxfId="2" type="firstRowStripe"/>
      <tableStyleElement dxfId="3" type="secondRowStripe"/>
    </tableStyle>
    <tableStyle count="4" pivot="0" name="Stock-style">
      <tableStyleElement dxfId="11" type="headerRow"/>
      <tableStyleElement dxfId="2" type="firstRowStripe"/>
      <tableStyleElement dxfId="12" type="secondRowStripe"/>
      <tableStyleElement dxfId="13" size="0" type="wholeTable"/>
    </tableStyle>
    <tableStyle count="4" pivot="0" name="Suivi stockvaleurs-style">
      <tableStyleElement dxfId="11" type="headerRow"/>
      <tableStyleElement dxfId="2" type="firstRowStripe"/>
      <tableStyleElement dxfId="12" type="secondRowStripe"/>
      <tableStyleElement dxfId="13" size="0" type="wholeTable"/>
    </tableStyle>
    <tableStyle count="4" pivot="0" name="Ventes-style">
      <tableStyleElement dxfId="11" type="headerRow"/>
      <tableStyleElement dxfId="2" type="firstRowStripe"/>
      <tableStyleElement dxfId="12" type="secondRowStripe"/>
      <tableStyleElement dxfId="13" size="0" type="wholeTable"/>
    </tableStyle>
    <tableStyle count="4" pivot="0" name="StockOld-style">
      <tableStyleElement dxfId="11" type="headerRow"/>
      <tableStyleElement dxfId="18" type="firstRowStripe"/>
      <tableStyleElement dxfId="19" type="secondRowStripe"/>
      <tableStyleElement dxfId="13" size="0" type="wholeTable"/>
    </tableStyle>
    <tableStyle count="4" pivot="0" name="Ventes(old)-style">
      <tableStyleElement dxfId="1" type="headerRow"/>
      <tableStyleElement dxfId="2" type="firstRowStripe"/>
      <tableStyleElement dxfId="3" type="secondRowStripe"/>
      <tableStyleElement dxfId="20" type="totalRow"/>
    </tableStyle>
    <tableStyle count="4" pivot="0" name="Ventes(old)-style 2">
      <tableStyleElement dxfId="1" type="headerRow"/>
      <tableStyleElement dxfId="2" type="firstRowStripe"/>
      <tableStyleElement dxfId="3" type="secondRowStripe"/>
      <tableStyleElement dxfId="20" type="totalRow"/>
    </tableStyle>
    <tableStyle count="4" pivot="0" name="Ventes(old)-style 3">
      <tableStyleElement dxfId="1" type="headerRow"/>
      <tableStyleElement dxfId="2" type="firstRowStripe"/>
      <tableStyleElement dxfId="3" type="secondRowStripe"/>
      <tableStyleElement dxfId="20" type="totalRow"/>
    </tableStyle>
    <tableStyle count="4" pivot="0" name="Ventes(old)-style 4">
      <tableStyleElement dxfId="1" type="headerRow"/>
      <tableStyleElement dxfId="2" type="firstRowStripe"/>
      <tableStyleElement dxfId="3" type="secondRowStripe"/>
      <tableStyleElement dxfId="20" type="totalRow"/>
    </tableStyle>
    <tableStyle count="4" pivot="0" name="Ventes(old)-style 5">
      <tableStyleElement dxfId="1" type="headerRow"/>
      <tableStyleElement dxfId="2" type="firstRowStripe"/>
      <tableStyleElement dxfId="3" type="secondRowStripe"/>
      <tableStyleElement dxfId="20" type="totalRow"/>
    </tableStyle>
    <tableStyle count="2" pivot="0" name="Comptabilité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T27" sheet="Achats"/>
  </cacheSource>
  <cacheFields>
    <cacheField name="ARTICLES" numFmtId="0">
      <sharedItems>
        <s v="SNEAKERS"/>
        <s v="VÊTEMENTS"/>
        <s v="JEANS"/>
        <s v="JACKET"/>
        <s v="POLAIRE"/>
        <s v="PULL"/>
      </sharedItems>
    </cacheField>
    <cacheField name="MARQUE" numFmtId="0">
      <sharedItems>
        <s v="MIX"/>
        <s v="MIX WHAT NOT"/>
        <s v="PERSO"/>
        <s v="LEVIS"/>
        <s v="TYMAN"/>
        <s v="THE NORTH FACE"/>
        <s v="COLUMBIA"/>
        <s v="CARHARTT REWORK"/>
        <s v="TOMMY HILFIGER"/>
        <s v="LEVIS "/>
      </sharedItems>
    </cacheField>
    <cacheField name="GENRE" numFmtId="0">
      <sharedItems>
        <s v="♀️ / ♂️"/>
        <s v="♂️/ Benoît"/>
        <s v="♀️/ Kevin"/>
        <s v="♀️"/>
      </sharedItems>
    </cacheField>
    <cacheField name="GENRE(data)" numFmtId="0">
      <sharedItems>
        <s v="Homme/ Femme"/>
        <s v="Homme/ Benoît"/>
        <s v="Femme/ Kevin"/>
        <s v="Femme"/>
      </sharedItems>
    </cacheField>
    <cacheField name="DATE D'ACHAT" numFmtId="165">
      <sharedItems containsSemiMixedTypes="0" containsDate="1" containsString="0">
        <d v="2025-08-20T00:00:00Z"/>
        <d v="2025-08-08T00:00:00Z"/>
        <d v="2025-08-23T00:00:00Z"/>
        <d v="2025-08-18T00:00:00Z"/>
        <d v="2020-02-29T00:00:00Z"/>
        <d v="2025-08-29T00:00:00Z"/>
        <d v="2025-08-30T00:00:00Z"/>
        <d v="2025-09-10T00:00:00Z"/>
        <d v="2025-09-23T00:00:00Z"/>
        <d v="2025-09-25T00:00:00Z"/>
        <d v="2025-09-28T00:00:00Z"/>
        <d v="2025-10-04T00:00:00Z"/>
        <d v="2025-10-09T00:00:00Z"/>
        <d v="2025-10-11T00:00:00Z"/>
        <d v="2025-10-23T00:00:00Z"/>
      </sharedItems>
    </cacheField>
    <cacheField name="REFERENCE" numFmtId="0">
      <sharedItems>
        <s v="SMHF"/>
        <s v="VMWNHF"/>
        <s v="VPHB"/>
        <s v="JLFK"/>
        <s v="VTHF"/>
        <s v="JMHF"/>
        <s v="PTNFF"/>
        <s v="PCF"/>
        <s v="JLF"/>
        <s v="JCRF"/>
        <s v="PTHF"/>
      </sharedItems>
    </cacheField>
    <cacheField name="GRADE" numFmtId="0">
      <sharedItems>
        <s v="A"/>
        <s v="B"/>
      </sharedItems>
    </cacheField>
    <cacheField name="FOURNISSEUR/CODE" numFmtId="0">
      <sharedItems>
        <s v="WHAT NOT/VINTED"/>
        <s v="WHAT NOT"/>
        <s v="BENOIT STAMBACH"/>
        <s v="SUPPLY GDD EXPORT/ 1"/>
        <s v="TYMAN "/>
        <s v="SUPPLY / 105"/>
        <s v="GDD EXPORT / 1"/>
        <s v="SUPPLY GDD EXPORT / 1"/>
        <s v="SUPPLY CODE 103"/>
        <s v="SUPPLY CODE 3 "/>
        <s v="SUPPLY GDD 1 "/>
      </sharedItems>
    </cacheField>
    <cacheField name="MOIS" numFmtId="0">
      <sharedItems containsBlank="1">
        <s v="FÉVRIER"/>
        <s v="AOÛT"/>
        <s v="SEPTEMBRE"/>
        <s v="OCTOBRE"/>
        <s v=""/>
        <m/>
      </sharedItems>
    </cacheField>
    <cacheField name="MOIS NUM" numFmtId="0">
      <sharedItems containsBlank="1">
        <s v="02"/>
        <s v="08"/>
        <s v="09"/>
        <s v="10"/>
        <s v=""/>
        <m/>
      </sharedItems>
    </cacheField>
    <cacheField name="DATE DE LIVRAISON " numFmtId="165">
      <sharedItems containsDate="1" containsString="0" containsBlank="1">
        <d v="2025-08-29T00:00:00Z"/>
        <d v="2025-08-17T00:00:00Z"/>
        <d v="2025-09-01T00:00:00Z"/>
        <d v="2020-03-01T00:00:00Z"/>
        <d v="2025-09-04T00:00:00Z"/>
        <d v="2025-09-06T00:00:00Z"/>
        <d v="2025-09-22T00:00:00Z"/>
        <d v="2025-10-22T00:00:00Z"/>
        <d v="2025-10-07T00:00:00Z"/>
        <m/>
        <d v="2025-10-14T00:00:00Z"/>
        <d v="2025-10-17T00:00:00Z"/>
        <d v="2025-10-29T00:00:00Z"/>
      </sharedItems>
    </cacheField>
    <cacheField name="DELAI DE LIVRAISON">
      <sharedItems containsMixedTypes="1" containsNumber="1" containsInteger="1">
        <n v="9.0"/>
        <n v="11.0"/>
        <n v="1.0"/>
        <n v="6.0"/>
        <n v="7.0"/>
        <n v="12.0"/>
        <n v="29.0"/>
        <s v=""/>
        <n v="5.0"/>
      </sharedItems>
    </cacheField>
    <cacheField name="PRIX D'ACHAT SHIP INCLUS" numFmtId="164">
      <sharedItems containsSemiMixedTypes="0" containsString="0" containsNumber="1">
        <n v="35.0"/>
        <n v="75.0"/>
        <n v="41.24"/>
        <n v="28.61"/>
        <n v="9.39"/>
        <n v="60.61"/>
        <n v="78.75"/>
        <n v="83.54"/>
        <n v="190.0"/>
        <n v="43.54"/>
        <n v="11.19"/>
        <n v="38.18"/>
        <n v="38.83"/>
        <n v="0.0"/>
        <n v="408.0"/>
        <n v="120.04"/>
        <n v="238.0"/>
        <n v="184.0"/>
        <n v="65.0"/>
        <n v="436.0"/>
        <n v="464.0"/>
        <n v="525.0"/>
        <n v="200.0"/>
        <n v="654.0"/>
        <n v="634.0"/>
      </sharedItems>
    </cacheField>
    <cacheField name="QUANTITÉ COMMANDÉE" numFmtId="0">
      <sharedItems containsSemiMixedTypes="0" containsString="0" containsNumber="1" containsInteger="1">
        <n v="1.0"/>
        <n v="7.0"/>
        <n v="17.0"/>
        <n v="60.0"/>
        <n v="84.0"/>
        <n v="20.0"/>
        <n v="10.0"/>
        <n v="40.0"/>
        <n v="70.0"/>
        <n v="30.0"/>
        <n v="55.0"/>
        <n v="100.0"/>
      </sharedItems>
    </cacheField>
    <cacheField name="QUANTITÉ RECUE" numFmtId="0">
      <sharedItems containsString="0" containsBlank="1" containsNumber="1" containsInteger="1">
        <n v="1.0"/>
        <n v="7.0"/>
        <n v="17.0"/>
        <n v="62.0"/>
        <n v="84.0"/>
        <n v="60.0"/>
        <n v="20.0"/>
        <n v="10.0"/>
        <n v="64.0"/>
        <n v="41.0"/>
        <n v="73.0"/>
        <m/>
        <n v="56.0"/>
        <n v="100.0"/>
      </sharedItems>
    </cacheField>
    <cacheField name="PRIX UNITAIRE BRUTE">
      <sharedItems containsMixedTypes="1" containsNumber="1">
        <n v="35.0"/>
        <n v="75.0"/>
        <n v="41.24"/>
        <n v="28.61"/>
        <n v="9.39"/>
        <n v="60.61"/>
        <n v="78.75"/>
        <n v="83.54"/>
        <n v="190.0"/>
        <n v="43.54"/>
        <n v="11.19"/>
        <n v="38.18"/>
        <n v="5.547142857142857"/>
        <n v="0.0"/>
        <n v="6.580645161290323"/>
        <n v="1.4290476190476191"/>
        <n v="3.966666666666667"/>
        <n v="9.2"/>
        <n v="6.5"/>
        <n v="6.375"/>
        <n v="10.634146341463415"/>
        <n v="6.3561643835616435"/>
        <s v=""/>
        <n v="3.5714285714285716"/>
        <n v="6.54"/>
        <n v="6.34"/>
      </sharedItems>
    </cacheField>
    <cacheField name="FRAIS DE LAVAGE" numFmtId="164">
      <sharedItems containsString="0" containsBlank="1" containsNumber="1">
        <n v="0.0"/>
        <n v="30.5"/>
        <n v="47.0"/>
        <n v="15.33"/>
        <n v="7.66"/>
        <n v="45.45"/>
        <n v="30.05"/>
        <n v="52.78"/>
        <m/>
        <n v="26.0"/>
        <n v="55.0"/>
        <n v="80.5"/>
      </sharedItems>
    </cacheField>
    <cacheField name="TOTAL TTC" numFmtId="164">
      <sharedItems containsSemiMixedTypes="0" containsString="0" containsNumber="1">
        <n v="35.0"/>
        <n v="75.0"/>
        <n v="41.24"/>
        <n v="28.61"/>
        <n v="9.39"/>
        <n v="60.61"/>
        <n v="78.75"/>
        <n v="83.54"/>
        <n v="190.0"/>
        <n v="43.54"/>
        <n v="11.19"/>
        <n v="38.18"/>
        <n v="38.83"/>
        <n v="0.0"/>
        <n v="438.94000000000005"/>
        <n v="120.15"/>
        <n v="285.33000000000004"/>
        <n v="199.33"/>
        <n v="72.66"/>
        <n v="453.56"/>
        <n v="466.05"/>
        <n v="516.78"/>
        <n v="226.0"/>
        <n v="709.0"/>
        <n v="714.5"/>
      </sharedItems>
    </cacheField>
    <cacheField name="PRIX UNITAIRE TTC">
      <sharedItems containsMixedTypes="1" containsNumber="1">
        <n v="35.0"/>
        <n v="75.0"/>
        <n v="41.24"/>
        <n v="28.61"/>
        <n v="9.39"/>
        <n v="60.61"/>
        <n v="78.75"/>
        <n v="83.54"/>
        <n v="190.0"/>
        <n v="43.54"/>
        <n v="11.19"/>
        <n v="38.18"/>
        <n v="5.547142857142857"/>
        <n v="0.0"/>
        <n v="7.07967741935484"/>
        <n v="1.4303571428571429"/>
        <n v="4.7555000000000005"/>
        <n v="9.9665"/>
        <n v="7.266"/>
        <n v="7.086875"/>
        <n v="11.367073170731707"/>
        <n v="7.07917808219178"/>
        <s v=""/>
        <n v="4.035714285714286"/>
        <n v="7.09"/>
        <n v="7.14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chatsmoisarticles" cacheId="0" dataCaption="" compact="0" compactData="0">
  <location ref="A1:F14" firstHeaderRow="0" firstDataRow="4" firstDataCol="0"/>
  <pivotFields>
    <pivotField name="ARTICLES" axis="axisRow" compact="0" outline="0" multipleItemSelectionAllowed="1" showAll="0" sortType="ascending">
      <items>
        <item x="3"/>
        <item x="2"/>
        <item x="4"/>
        <item x="5"/>
        <item x="0"/>
        <item x="1"/>
        <item t="default"/>
      </items>
    </pivotField>
    <pivotField name="MARQ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ENRE" compact="0" outline="0" multipleItemSelectionAllowed="1" showAll="0">
      <items>
        <item x="0"/>
        <item x="1"/>
        <item x="2"/>
        <item x="3"/>
        <item t="default"/>
      </items>
    </pivotField>
    <pivotField name="GENRE(data)" compact="0" outline="0" multipleItemSelectionAllowed="1" showAll="0">
      <items>
        <item x="0"/>
        <item x="1"/>
        <item x="2"/>
        <item x="3"/>
        <item t="default"/>
      </items>
    </pivotField>
    <pivotField name="DATE D'ACH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GRADE" compact="0" outline="0" multipleItemSelectionAllowed="1" showAll="0">
      <items>
        <item x="0"/>
        <item x="1"/>
        <item t="default"/>
      </items>
    </pivotField>
    <pivotField name="FOURNISSEUR/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OIS" axis="axisRow" compact="0" outline="0" multipleItemSelectionAllowed="1" showAll="0" sortType="ascending" defaultSubtotal="0">
      <items>
        <item x="5"/>
        <item x="4"/>
        <item x="1"/>
        <item x="0"/>
        <item x="3"/>
        <item x="2"/>
      </items>
    </pivotField>
    <pivotField name="MOIS NUM" axis="axisRow" compact="0" outline="0" multipleItemSelectionAllowed="1" showAll="0" sortType="ascending" defaultSubtotal="0">
      <items>
        <item x="5"/>
        <item x="4"/>
        <item x="0"/>
        <item x="1"/>
        <item x="2"/>
        <item x="3"/>
      </items>
    </pivotField>
    <pivotField name="DATE DE LIVRAISON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ELAI DE LIVRAI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IX D'ACHAT SHIP INCLU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É COMMANDÉ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NTITÉ REC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IX UNITAIRE BR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FRAIS DE LAVAG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TTC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PRIX UNITAIRE T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>
    <field x="9"/>
    <field x="8"/>
    <field x="0"/>
  </rowFields>
  <colFields>
    <field x="-2"/>
  </colFields>
  <dataFields>
    <dataField name="SUM of PRIX D'ACHAT SHIP INCLUS" fld="12" baseField="0"/>
    <dataField name="SUM of FRAIS DE LAVAGE" fld="16" baseField="0"/>
    <dataField name="SUM of TOTAL TTC" fld="17" baseField="0"/>
  </dataFields>
</pivotTableDefinition>
</file>

<file path=xl/tables/table1.xml><?xml version="1.0" encoding="utf-8"?>
<table xmlns="http://schemas.openxmlformats.org/spreadsheetml/2006/main" ref="A1:V31" displayName="Table_1" name="Table_1" id="1">
  <tableColumns count="22">
    <tableColumn name="ID" id="1"/>
    <tableColumn name="ARTICLES" id="2"/>
    <tableColumn name="MARQUE" id="3"/>
    <tableColumn name="GENRE" id="4"/>
    <tableColumn name="GENRE(data)" id="5"/>
    <tableColumn name="DATE D'ACHAT" id="6"/>
    <tableColumn name="REFERENCE" id="7"/>
    <tableColumn name="GRADE" id="8"/>
    <tableColumn name="FOURNISSEUR/CODE" id="9"/>
    <tableColumn name="MOIS" id="10"/>
    <tableColumn name="MOIS NUM" id="11"/>
    <tableColumn name="DATE DE LIVRAISON " id="12"/>
    <tableColumn name="DELAI DE LIVRAISON" id="13"/>
    <tableColumn name="PRIX D'ACHAT SHIP INCLUS" id="14"/>
    <tableColumn name="QUANTITÉ COMMANDÉE" id="15"/>
    <tableColumn name="QUANTITÉ RECUE" id="16"/>
    <tableColumn name="PRIX UNITAIRE BRUTE" id="17"/>
    <tableColumn name="FRAIS DE LAVAGE" id="18"/>
    <tableColumn name="TOTAL TTC" id="19"/>
    <tableColumn name="PRIX UNITAIRE TTC" id="20"/>
    <tableColumn name="TRACKING" id="21"/>
    <tableColumn name="PRÊT POUR MISE EN STOCK | DATE" id="22"/>
  </tableColumns>
  <tableStyleInfo name="Achats-style" showColumnStripes="0" showFirstColumn="1" showLastColumn="1" showRowStripes="1"/>
</table>
</file>

<file path=xl/tables/table2.xml><?xml version="1.0" encoding="utf-8"?>
<table xmlns="http://schemas.openxmlformats.org/spreadsheetml/2006/main" ref="A1:M578" displayName="Stock" name="Stock" id="2">
  <tableColumns count="13">
    <tableColumn name="ID" id="1"/>
    <tableColumn name="ARTICLES" id="2"/>
    <tableColumn name="SKU(ancienne nomenclature)" id="3"/>
    <tableColumn name="SKU" id="4"/>
    <tableColumn name="DATE DE LIVRAISON" id="5"/>
    <tableColumn name="DATE DE MISE EN STOCK" id="6"/>
    <tableColumn name="MIS EN LIGNE | DATE DE MISE EN LIGNE" id="7"/>
    <tableColumn name="PUBLIÉ | DATE DE PUBLICATION" id="8"/>
    <tableColumn name="VENDU | DATE DE VENTE" id="9"/>
    <tableColumn name="PRIX DE VENTE" id="10"/>
    <tableColumn name="TAILLE" id="11"/>
    <tableColumn name="LOTS" id="12"/>
    <tableColumn name="VALIDER" id="13"/>
  </tableColumns>
  <tableStyleInfo name="Stock-style" showColumnStripes="0" showFirstColumn="1" showLastColumn="1" showRowStripes="1"/>
</table>
</file>

<file path=xl/tables/table3.xml><?xml version="1.0" encoding="utf-8"?>
<table xmlns="http://schemas.openxmlformats.org/spreadsheetml/2006/main" headerRowCount="0" ref="A1:E1" displayName="Etat_du_stock_à_date" name="Etat_du_stock_à_date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Suivi stockvaleu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L284" displayName="Ventes" name="Ventes" id="4">
  <tableColumns count="12">
    <tableColumn name="ID" id="1"/>
    <tableColumn name="DATE DE VENTE" id="2"/>
    <tableColumn name="ARTICLE" id="3"/>
    <tableColumn name="SKU" id="4"/>
    <tableColumn name="FRAIS DE COLISSAGE" id="5"/>
    <tableColumn name="PRIX VENTE" id="6"/>
    <tableColumn name="DÉLAI D'IMMOBILISATION" id="7"/>
    <tableColumn name="DELAI DE MISE EN LIGNE" id="8"/>
    <tableColumn name="DELAI DE PUBLICATION" id="9"/>
    <tableColumn name="DELAI DE VENTE " id="10"/>
    <tableColumn name="RETOUR" id="11"/>
    <tableColumn name="LOT" id="12"/>
  </tableColumns>
  <tableStyleInfo name="Ventes-style" showColumnStripes="0" showFirstColumn="1" showLastColumn="1" showRowStripes="1"/>
</table>
</file>

<file path=xl/tables/table5.xml><?xml version="1.0" encoding="utf-8"?>
<table xmlns="http://schemas.openxmlformats.org/spreadsheetml/2006/main" ref="A1:N370" displayName="Stock_disponible" name="Stock_disponible" id="5">
  <tableColumns count="14">
    <tableColumn name="ARTICLES(1)" id="1"/>
    <tableColumn name="MARQUE" id="2"/>
    <tableColumn name="GENRE" id="3"/>
    <tableColumn name="DATE ACHAT" id="4"/>
    <tableColumn name="ARTICLE(0)" id="5"/>
    <tableColumn name="SKU" id="6"/>
    <tableColumn name="PRIX ACHAT " id="7"/>
    <tableColumn name="DATE DE MISE EN LIGNE ESTIMÉE " id="8"/>
    <tableColumn name="VENDU" id="9"/>
    <tableColumn name="DATE DE VENTE" id="10"/>
    <tableColumn name="PRIX VENTE " id="11"/>
    <tableColumn name="DÉLAI DE VENTE (EN JOURS)" id="12"/>
    <tableColumn name="MARGE BRUTE" id="13"/>
    <tableColumn name="COEFF MARGE" id="14"/>
  </tableColumns>
  <tableStyleInfo name="StockOld-style" showColumnStripes="0" showFirstColumn="1" showLastColumn="1" showRowStripes="1"/>
</table>
</file>

<file path=xl/tables/table6.xml><?xml version="1.0" encoding="utf-8"?>
<table xmlns="http://schemas.openxmlformats.org/spreadsheetml/2006/main" totalsRowCount="1" headerRowCount="0" ref="A2:F13" displayName="Table_2" name="Table_2" id="6">
  <tableColumns count="6">
    <tableColumn name="Column1" id="1"/>
    <tableColumn totalsRowFunction="custom" name="Column2" id="2"/>
    <tableColumn name="Column3" id="3"/>
    <tableColumn totalsRowFunction="custom" name="Column4" id="4"/>
    <tableColumn totalsRowFunction="custom" name="Column5" id="5"/>
    <tableColumn totalsRowFunction="custom" name="Column6" id="6"/>
  </tableColumns>
  <tableStyleInfo name="Ventes(old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totalsRowCount="1" headerRowCount="0" ref="A15:F31" displayName="Table_3" name="Table_3" id="7">
  <tableColumns count="6">
    <tableColumn name="Column1" id="1"/>
    <tableColumn totalsRowFunction="custom" name="Column2" id="2"/>
    <tableColumn name="Column3" id="3"/>
    <tableColumn totalsRowFunction="custom" name="Column4" id="4"/>
    <tableColumn totalsRowFunction="custom" name="Column5" id="5"/>
    <tableColumn totalsRowFunction="custom" name="Column6" id="6"/>
  </tableColumns>
  <tableStyleInfo name="Ventes(old)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totalsRowCount="1" headerRowCount="0" ref="A33:F81" displayName="Table_4" name="Table_4" id="8">
  <tableColumns count="6">
    <tableColumn name="Column1" id="1"/>
    <tableColumn totalsRowFunction="custom" name="Column2" id="2"/>
    <tableColumn name="Column3" id="3"/>
    <tableColumn totalsRowFunction="custom" name="Column4" id="4"/>
    <tableColumn totalsRowFunction="custom" name="Column5" id="5"/>
    <tableColumn totalsRowFunction="custom" name="Column6" id="6"/>
  </tableColumns>
  <tableStyleInfo name="Ventes(old)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totalsRowCount="1" headerRowCount="0" ref="A83:F132" displayName="Table_5" name="Table_5" id="9">
  <tableColumns count="6">
    <tableColumn name="Column1" id="1"/>
    <tableColumn totalsRowFunction="custom" name="Column2" id="2"/>
    <tableColumn name="Column3" id="3"/>
    <tableColumn totalsRowFunction="custom" name="Column4" id="4"/>
    <tableColumn totalsRowFunction="custom" name="Column5" id="5"/>
    <tableColumn totalsRowFunction="custom" name="Column6" id="6"/>
  </tableColumns>
  <tableStyleInfo name="Ventes(old)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totalsRowCount="1" headerRowCount="0" ref="A134:F160" displayName="Table_6" name="Table_6" id="10">
  <tableColumns count="6">
    <tableColumn name="Column1" id="1"/>
    <tableColumn totalsRowFunction="custom" name="Column2" id="2"/>
    <tableColumn name="Column3" id="3"/>
    <tableColumn totalsRowFunction="custom" name="Column4" id="4"/>
    <tableColumn totalsRowFunction="custom" name="Column5" id="5"/>
    <tableColumn totalsRowFunction="custom" name="Column6" id="6"/>
  </tableColumns>
  <tableStyleInfo name="Ventes(old)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G24:G45" displayName="Table_7" name="Table_7" id="11">
  <tableColumns count="1">
    <tableColumn name="Column1" id="1"/>
  </tableColumns>
  <tableStyleInfo name="Comptabilité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9" Type="http://schemas.openxmlformats.org/officeDocument/2006/relationships/table" Target="../tables/table8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4.63"/>
    <col customWidth="1" min="2" max="2" width="11.13"/>
    <col customWidth="1" min="3" max="3" width="18.0"/>
    <col customWidth="1" min="4" max="4" width="8.25"/>
    <col customWidth="1" hidden="1" min="5" max="5" width="13.38"/>
    <col customWidth="1" min="6" max="6" width="10.25"/>
    <col customWidth="1" min="7" max="7" width="11.25"/>
    <col customWidth="1" min="8" max="8" width="6.88"/>
    <col customWidth="1" min="9" max="9" width="21.25"/>
    <col customWidth="1" hidden="1" min="10" max="11" width="11.25"/>
    <col customWidth="1" min="12" max="12" width="9.88"/>
    <col customWidth="1" min="13" max="13" width="11.13"/>
    <col customWidth="1" min="14" max="14" width="11.75"/>
    <col customWidth="1" min="15" max="15" width="12.0"/>
    <col customWidth="1" min="16" max="16" width="9.75"/>
    <col customWidth="1" min="17" max="18" width="8.63"/>
    <col customWidth="1" min="19" max="19" width="7.5"/>
    <col customWidth="1" min="20" max="20" width="8.63"/>
    <col customWidth="1" min="21" max="21" width="6.5"/>
    <col customWidth="1" min="22" max="22" width="14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tr">
        <f>IFERROR(__xludf.DUMMYFUNCTION("{""GENRE(data)"";
  MAP(D2:D31,
    LAMBDA(c,
      IF(c="""",
        """",
        IF(REGEXMATCH(c,""♀️ */ *♂️""),""Homme/ Femme"",
        IF(REGEXMATCH(c,""♀️ */ *Kevin""),""Femme/ Kevin"",
        IF(REGEXMATCH(c,""♂️ */ *Beno[îi]t""),""Homme/ Benoît"&amp;""",
        IF(REGEXMATCH(c,""♀️""),""Femme"",
        IF(REGEXMATCH(c,""♂️""),""Homme"","""")))))
      )
    )
  )
}
"),"GENRE(data)")</f>
        <v>GENRE(data)</v>
      </c>
      <c r="F1" s="4" t="s">
        <v>4</v>
      </c>
      <c r="G1" s="5" t="str">
        <f>IFERROR(__xludf.DUMMYFUNCTION("{""REFERENCE"";
 MAP(B2:B31,C2:C31,E2:E31,
  LAMBDA(a,b,c,
   IF(a="""","""", 
     TEXTJOIN("""",1,
       SUBSTITUTE(REGEXREPLACE("" ""&amp;UPPER(TRIM(a)),""(^| )([A-ZÀ-ÖØ-öø-ÿ])[^ ]*"",""$2""),"" "",""""),
       SUBSTITUTE(REGEXREPLACE("" ""&amp;UPPER(TRIM(b)"&amp;"),""(^| )([A-ZÀ-ÖØ-öø-ÿ])[^ ]*"",""$2""),"" "",""""),
       SUBSTITUTE(REGEXREPLACE("" ""&amp;UPPER(TRIM(c)),""(^| )([A-ZÀ-ÖØ-öø-ÿ])[^ ]*"",""$2""),"" "","""")
     ) &amp; IFERROR(TEXT(d,""MMYY""),"""")
   )
  )
)}
"),"REFERENCE")</f>
        <v>REFERENCE</v>
      </c>
      <c r="H1" s="5" t="s">
        <v>5</v>
      </c>
      <c r="I1" s="6" t="s">
        <v>6</v>
      </c>
      <c r="J1" s="5" t="str">
        <f t="array" ref="J1:J18">{"MOIS";
IF(F15:F31="","", 
  UPPER(TEXT(F15:F31,"mmmm"))
 )}
</f>
        <v>MOIS</v>
      </c>
      <c r="K1" s="5" t="str">
        <f t="array" ref="K1:K18">{"MOIS NUM";
IF(F15:F31="",
 "",
 TEXT(MONTH(F15:F31),"00"))}
</f>
        <v>MOIS NUM</v>
      </c>
      <c r="L1" s="4" t="s">
        <v>7</v>
      </c>
      <c r="M1" s="6" t="str">
        <f t="array" ref="M1:M31">{"DELAI DE LIVRAISON";IF(L2:L31="","",L2:L31-F2:F31)}</f>
        <v>DELAI DE LIVRAISON</v>
      </c>
      <c r="N1" s="1" t="s">
        <v>8</v>
      </c>
      <c r="O1" s="5" t="s">
        <v>9</v>
      </c>
      <c r="P1" s="5" t="s">
        <v>10</v>
      </c>
      <c r="Q1" s="1" t="str">
        <f t="array" ref="Q1:Q31">{"PRIX UNITAIRE BRUTE";IF(P2:P31="","",N2:N31/P2:P31)}</f>
        <v>PRIX UNITAIRE BRUTE</v>
      </c>
      <c r="R1" s="6" t="s">
        <v>11</v>
      </c>
      <c r="S1" s="6" t="s">
        <v>12</v>
      </c>
      <c r="T1" s="1" t="str">
        <f t="array" ref="T1:T31">{"PRIX UNITAIRE TTC";IF(P2:P31="","",S2:S31/P2:P31)}</f>
        <v>PRIX UNITAIRE TTC</v>
      </c>
      <c r="U1" s="6" t="s">
        <v>13</v>
      </c>
      <c r="V1" s="7" t="s">
        <v>14</v>
      </c>
    </row>
    <row r="2">
      <c r="A2" s="8">
        <v>99.0</v>
      </c>
      <c r="B2" s="9" t="s">
        <v>15</v>
      </c>
      <c r="C2" s="9" t="s">
        <v>16</v>
      </c>
      <c r="D2" s="10" t="s">
        <v>17</v>
      </c>
      <c r="E2" s="11" t="str">
        <f>IFERROR(__xludf.DUMMYFUNCTION("""COMPUTED_VALUE"""),"Homme/ Femme")</f>
        <v>Homme/ Femme</v>
      </c>
      <c r="F2" s="12">
        <v>45889.0</v>
      </c>
      <c r="G2" s="13" t="str">
        <f>IFERROR(__xludf.DUMMYFUNCTION("""COMPUTED_VALUE"""),"SMHF")</f>
        <v>SMHF</v>
      </c>
      <c r="H2" s="14" t="s">
        <v>18</v>
      </c>
      <c r="I2" s="9" t="s">
        <v>19</v>
      </c>
      <c r="J2" s="13" t="s">
        <v>20</v>
      </c>
      <c r="K2" s="13" t="s">
        <v>21</v>
      </c>
      <c r="L2" s="15">
        <v>45898.0</v>
      </c>
      <c r="M2" s="16">
        <v>9.0</v>
      </c>
      <c r="N2" s="17">
        <v>35.0</v>
      </c>
      <c r="O2" s="9">
        <v>1.0</v>
      </c>
      <c r="P2" s="18">
        <v>1.0</v>
      </c>
      <c r="Q2" s="19">
        <v>35.0</v>
      </c>
      <c r="R2" s="20">
        <v>0.0</v>
      </c>
      <c r="S2" s="21">
        <f t="shared" ref="S2:S15" si="1">SUM(Q2*P2+R2)</f>
        <v>35</v>
      </c>
      <c r="T2" s="19">
        <v>35.0</v>
      </c>
      <c r="U2" s="13"/>
      <c r="V2" s="15">
        <v>45899.0</v>
      </c>
    </row>
    <row r="3">
      <c r="A3" s="8">
        <v>98.0</v>
      </c>
      <c r="B3" s="9" t="s">
        <v>15</v>
      </c>
      <c r="C3" s="9" t="s">
        <v>16</v>
      </c>
      <c r="D3" s="10" t="s">
        <v>17</v>
      </c>
      <c r="E3" s="11" t="str">
        <f>IFERROR(__xludf.DUMMYFUNCTION("""COMPUTED_VALUE"""),"Homme/ Femme")</f>
        <v>Homme/ Femme</v>
      </c>
      <c r="F3" s="12">
        <v>45889.0</v>
      </c>
      <c r="G3" s="13" t="str">
        <f>IFERROR(__xludf.DUMMYFUNCTION("""COMPUTED_VALUE"""),"SMHF")</f>
        <v>SMHF</v>
      </c>
      <c r="H3" s="14" t="s">
        <v>18</v>
      </c>
      <c r="I3" s="9" t="s">
        <v>19</v>
      </c>
      <c r="J3" s="13" t="s">
        <v>22</v>
      </c>
      <c r="K3" s="13" t="s">
        <v>23</v>
      </c>
      <c r="L3" s="15">
        <v>45898.0</v>
      </c>
      <c r="M3" s="16">
        <v>9.0</v>
      </c>
      <c r="N3" s="17">
        <v>75.0</v>
      </c>
      <c r="O3" s="9">
        <v>1.0</v>
      </c>
      <c r="P3" s="18">
        <v>1.0</v>
      </c>
      <c r="Q3" s="19">
        <v>75.0</v>
      </c>
      <c r="R3" s="20">
        <v>0.0</v>
      </c>
      <c r="S3" s="21">
        <f t="shared" si="1"/>
        <v>75</v>
      </c>
      <c r="T3" s="19">
        <v>75.0</v>
      </c>
      <c r="U3" s="13"/>
      <c r="V3" s="15">
        <v>45899.0</v>
      </c>
    </row>
    <row r="4">
      <c r="A4" s="8">
        <v>97.0</v>
      </c>
      <c r="B4" s="9" t="s">
        <v>15</v>
      </c>
      <c r="C4" s="9" t="s">
        <v>16</v>
      </c>
      <c r="D4" s="10" t="s">
        <v>17</v>
      </c>
      <c r="E4" s="11" t="str">
        <f>IFERROR(__xludf.DUMMYFUNCTION("""COMPUTED_VALUE"""),"Homme/ Femme")</f>
        <v>Homme/ Femme</v>
      </c>
      <c r="F4" s="12">
        <v>45877.0</v>
      </c>
      <c r="G4" s="13" t="str">
        <f>IFERROR(__xludf.DUMMYFUNCTION("""COMPUTED_VALUE"""),"SMHF")</f>
        <v>SMHF</v>
      </c>
      <c r="H4" s="14" t="s">
        <v>18</v>
      </c>
      <c r="I4" s="9" t="s">
        <v>19</v>
      </c>
      <c r="J4" s="13" t="s">
        <v>22</v>
      </c>
      <c r="K4" s="13" t="s">
        <v>23</v>
      </c>
      <c r="L4" s="15">
        <v>45886.0</v>
      </c>
      <c r="M4" s="16">
        <v>9.0</v>
      </c>
      <c r="N4" s="17">
        <v>41.24</v>
      </c>
      <c r="O4" s="9">
        <v>1.0</v>
      </c>
      <c r="P4" s="18">
        <v>1.0</v>
      </c>
      <c r="Q4" s="19">
        <v>41.24</v>
      </c>
      <c r="R4" s="20">
        <v>0.0</v>
      </c>
      <c r="S4" s="21">
        <f t="shared" si="1"/>
        <v>41.24</v>
      </c>
      <c r="T4" s="19">
        <v>41.24</v>
      </c>
      <c r="U4" s="13"/>
      <c r="V4" s="15">
        <v>45887.0</v>
      </c>
    </row>
    <row r="5">
      <c r="A5" s="8">
        <v>96.0</v>
      </c>
      <c r="B5" s="9" t="s">
        <v>15</v>
      </c>
      <c r="C5" s="9" t="s">
        <v>16</v>
      </c>
      <c r="D5" s="10" t="s">
        <v>17</v>
      </c>
      <c r="E5" s="11" t="str">
        <f>IFERROR(__xludf.DUMMYFUNCTION("""COMPUTED_VALUE"""),"Homme/ Femme")</f>
        <v>Homme/ Femme</v>
      </c>
      <c r="F5" s="12">
        <v>45877.0</v>
      </c>
      <c r="G5" s="13" t="str">
        <f>IFERROR(__xludf.DUMMYFUNCTION("""COMPUTED_VALUE"""),"SMHF")</f>
        <v>SMHF</v>
      </c>
      <c r="H5" s="14" t="s">
        <v>18</v>
      </c>
      <c r="I5" s="9" t="s">
        <v>19</v>
      </c>
      <c r="J5" s="13" t="s">
        <v>24</v>
      </c>
      <c r="K5" s="13" t="s">
        <v>25</v>
      </c>
      <c r="L5" s="15">
        <v>45886.0</v>
      </c>
      <c r="M5" s="16">
        <v>9.0</v>
      </c>
      <c r="N5" s="17">
        <v>28.61</v>
      </c>
      <c r="O5" s="9">
        <v>1.0</v>
      </c>
      <c r="P5" s="18">
        <v>1.0</v>
      </c>
      <c r="Q5" s="19">
        <v>28.61</v>
      </c>
      <c r="R5" s="20">
        <v>0.0</v>
      </c>
      <c r="S5" s="21">
        <f t="shared" si="1"/>
        <v>28.61</v>
      </c>
      <c r="T5" s="19">
        <v>28.61</v>
      </c>
      <c r="U5" s="13"/>
      <c r="V5" s="15">
        <v>45887.0</v>
      </c>
    </row>
    <row r="6">
      <c r="A6" s="8">
        <v>95.0</v>
      </c>
      <c r="B6" s="9" t="s">
        <v>15</v>
      </c>
      <c r="C6" s="9" t="s">
        <v>16</v>
      </c>
      <c r="D6" s="10" t="s">
        <v>17</v>
      </c>
      <c r="E6" s="11" t="str">
        <f>IFERROR(__xludf.DUMMYFUNCTION("""COMPUTED_VALUE"""),"Homme/ Femme")</f>
        <v>Homme/ Femme</v>
      </c>
      <c r="F6" s="12">
        <v>45892.0</v>
      </c>
      <c r="G6" s="13" t="str">
        <f>IFERROR(__xludf.DUMMYFUNCTION("""COMPUTED_VALUE"""),"SMHF")</f>
        <v>SMHF</v>
      </c>
      <c r="H6" s="14" t="s">
        <v>18</v>
      </c>
      <c r="I6" s="9" t="s">
        <v>19</v>
      </c>
      <c r="J6" s="13" t="s">
        <v>24</v>
      </c>
      <c r="K6" s="13" t="s">
        <v>25</v>
      </c>
      <c r="L6" s="15">
        <v>45901.0</v>
      </c>
      <c r="M6" s="16">
        <v>9.0</v>
      </c>
      <c r="N6" s="17">
        <v>9.39</v>
      </c>
      <c r="O6" s="9">
        <v>1.0</v>
      </c>
      <c r="P6" s="18">
        <v>1.0</v>
      </c>
      <c r="Q6" s="19">
        <v>9.39</v>
      </c>
      <c r="R6" s="20">
        <v>0.0</v>
      </c>
      <c r="S6" s="21">
        <f t="shared" si="1"/>
        <v>9.39</v>
      </c>
      <c r="T6" s="19">
        <v>9.39</v>
      </c>
      <c r="U6" s="13"/>
      <c r="V6" s="15">
        <v>45902.0</v>
      </c>
    </row>
    <row r="7">
      <c r="A7" s="8">
        <v>94.0</v>
      </c>
      <c r="B7" s="9" t="s">
        <v>15</v>
      </c>
      <c r="C7" s="9" t="s">
        <v>16</v>
      </c>
      <c r="D7" s="10" t="s">
        <v>17</v>
      </c>
      <c r="E7" s="11" t="str">
        <f>IFERROR(__xludf.DUMMYFUNCTION("""COMPUTED_VALUE"""),"Homme/ Femme")</f>
        <v>Homme/ Femme</v>
      </c>
      <c r="F7" s="12">
        <v>45877.0</v>
      </c>
      <c r="G7" s="13" t="str">
        <f>IFERROR(__xludf.DUMMYFUNCTION("""COMPUTED_VALUE"""),"SMHF")</f>
        <v>SMHF</v>
      </c>
      <c r="H7" s="14" t="s">
        <v>18</v>
      </c>
      <c r="I7" s="9" t="s">
        <v>19</v>
      </c>
      <c r="J7" s="13" t="s">
        <v>24</v>
      </c>
      <c r="K7" s="13" t="s">
        <v>25</v>
      </c>
      <c r="L7" s="15">
        <v>45886.0</v>
      </c>
      <c r="M7" s="16">
        <v>9.0</v>
      </c>
      <c r="N7" s="17">
        <v>60.61</v>
      </c>
      <c r="O7" s="9">
        <v>1.0</v>
      </c>
      <c r="P7" s="18">
        <v>1.0</v>
      </c>
      <c r="Q7" s="19">
        <v>60.61</v>
      </c>
      <c r="R7" s="20">
        <v>0.0</v>
      </c>
      <c r="S7" s="21">
        <f t="shared" si="1"/>
        <v>60.61</v>
      </c>
      <c r="T7" s="19">
        <v>60.61</v>
      </c>
      <c r="U7" s="13"/>
      <c r="V7" s="15">
        <v>45887.0</v>
      </c>
    </row>
    <row r="8">
      <c r="A8" s="8">
        <v>93.0</v>
      </c>
      <c r="B8" s="9" t="s">
        <v>15</v>
      </c>
      <c r="C8" s="9" t="s">
        <v>16</v>
      </c>
      <c r="D8" s="10" t="s">
        <v>17</v>
      </c>
      <c r="E8" s="11" t="str">
        <f>IFERROR(__xludf.DUMMYFUNCTION("""COMPUTED_VALUE"""),"Homme/ Femme")</f>
        <v>Homme/ Femme</v>
      </c>
      <c r="F8" s="12">
        <v>45877.0</v>
      </c>
      <c r="G8" s="13" t="str">
        <f>IFERROR(__xludf.DUMMYFUNCTION("""COMPUTED_VALUE"""),"SMHF")</f>
        <v>SMHF</v>
      </c>
      <c r="H8" s="14" t="s">
        <v>18</v>
      </c>
      <c r="I8" s="9" t="s">
        <v>19</v>
      </c>
      <c r="J8" s="13" t="s">
        <v>24</v>
      </c>
      <c r="K8" s="13" t="s">
        <v>25</v>
      </c>
      <c r="L8" s="15">
        <v>45886.0</v>
      </c>
      <c r="M8" s="16">
        <v>9.0</v>
      </c>
      <c r="N8" s="17">
        <v>78.75</v>
      </c>
      <c r="O8" s="9">
        <v>1.0</v>
      </c>
      <c r="P8" s="18">
        <v>1.0</v>
      </c>
      <c r="Q8" s="19">
        <v>78.75</v>
      </c>
      <c r="R8" s="20">
        <v>0.0</v>
      </c>
      <c r="S8" s="21">
        <f t="shared" si="1"/>
        <v>78.75</v>
      </c>
      <c r="T8" s="19">
        <v>78.75</v>
      </c>
      <c r="U8" s="13"/>
      <c r="V8" s="15">
        <v>45887.0</v>
      </c>
    </row>
    <row r="9">
      <c r="A9" s="8">
        <v>92.0</v>
      </c>
      <c r="B9" s="9" t="s">
        <v>15</v>
      </c>
      <c r="C9" s="9" t="s">
        <v>16</v>
      </c>
      <c r="D9" s="10" t="s">
        <v>17</v>
      </c>
      <c r="E9" s="11" t="str">
        <f>IFERROR(__xludf.DUMMYFUNCTION("""COMPUTED_VALUE"""),"Homme/ Femme")</f>
        <v>Homme/ Femme</v>
      </c>
      <c r="F9" s="12">
        <v>45877.0</v>
      </c>
      <c r="G9" s="13" t="str">
        <f>IFERROR(__xludf.DUMMYFUNCTION("""COMPUTED_VALUE"""),"SMHF")</f>
        <v>SMHF</v>
      </c>
      <c r="H9" s="14" t="s">
        <v>18</v>
      </c>
      <c r="I9" s="9" t="s">
        <v>19</v>
      </c>
      <c r="J9" s="13" t="s">
        <v>24</v>
      </c>
      <c r="K9" s="13" t="s">
        <v>25</v>
      </c>
      <c r="L9" s="15">
        <v>45886.0</v>
      </c>
      <c r="M9" s="16">
        <v>9.0</v>
      </c>
      <c r="N9" s="17">
        <v>83.54</v>
      </c>
      <c r="O9" s="9">
        <v>1.0</v>
      </c>
      <c r="P9" s="18">
        <v>1.0</v>
      </c>
      <c r="Q9" s="19">
        <v>83.54</v>
      </c>
      <c r="R9" s="20">
        <v>0.0</v>
      </c>
      <c r="S9" s="21">
        <f t="shared" si="1"/>
        <v>83.54</v>
      </c>
      <c r="T9" s="19">
        <v>83.54</v>
      </c>
      <c r="U9" s="13"/>
      <c r="V9" s="15">
        <v>45887.0</v>
      </c>
    </row>
    <row r="10">
      <c r="A10" s="8">
        <v>91.0</v>
      </c>
      <c r="B10" s="9" t="s">
        <v>15</v>
      </c>
      <c r="C10" s="9" t="s">
        <v>16</v>
      </c>
      <c r="D10" s="10" t="s">
        <v>17</v>
      </c>
      <c r="E10" s="11" t="str">
        <f>IFERROR(__xludf.DUMMYFUNCTION("""COMPUTED_VALUE"""),"Homme/ Femme")</f>
        <v>Homme/ Femme</v>
      </c>
      <c r="F10" s="12">
        <v>45889.0</v>
      </c>
      <c r="G10" s="13" t="str">
        <f>IFERROR(__xludf.DUMMYFUNCTION("""COMPUTED_VALUE"""),"SMHF")</f>
        <v>SMHF</v>
      </c>
      <c r="H10" s="14" t="s">
        <v>18</v>
      </c>
      <c r="I10" s="9" t="s">
        <v>19</v>
      </c>
      <c r="J10" s="13" t="s">
        <v>24</v>
      </c>
      <c r="K10" s="13" t="s">
        <v>25</v>
      </c>
      <c r="L10" s="15">
        <v>45898.0</v>
      </c>
      <c r="M10" s="16">
        <v>9.0</v>
      </c>
      <c r="N10" s="17">
        <v>190.0</v>
      </c>
      <c r="O10" s="9">
        <v>1.0</v>
      </c>
      <c r="P10" s="18">
        <v>1.0</v>
      </c>
      <c r="Q10" s="19">
        <v>190.0</v>
      </c>
      <c r="R10" s="20">
        <v>0.0</v>
      </c>
      <c r="S10" s="21">
        <f t="shared" si="1"/>
        <v>190</v>
      </c>
      <c r="T10" s="19">
        <v>190.0</v>
      </c>
      <c r="U10" s="13"/>
      <c r="V10" s="15">
        <v>45899.0</v>
      </c>
    </row>
    <row r="11">
      <c r="A11" s="8">
        <v>90.0</v>
      </c>
      <c r="B11" s="9" t="s">
        <v>15</v>
      </c>
      <c r="C11" s="9" t="s">
        <v>16</v>
      </c>
      <c r="D11" s="10" t="s">
        <v>17</v>
      </c>
      <c r="E11" s="11" t="str">
        <f>IFERROR(__xludf.DUMMYFUNCTION("""COMPUTED_VALUE"""),"Homme/ Femme")</f>
        <v>Homme/ Femme</v>
      </c>
      <c r="F11" s="12">
        <v>45877.0</v>
      </c>
      <c r="G11" s="13" t="str">
        <f>IFERROR(__xludf.DUMMYFUNCTION("""COMPUTED_VALUE"""),"SMHF")</f>
        <v>SMHF</v>
      </c>
      <c r="H11" s="14" t="s">
        <v>18</v>
      </c>
      <c r="I11" s="9" t="s">
        <v>19</v>
      </c>
      <c r="J11" s="13" t="s">
        <v>26</v>
      </c>
      <c r="K11" s="13" t="s">
        <v>27</v>
      </c>
      <c r="L11" s="15">
        <v>45886.0</v>
      </c>
      <c r="M11" s="16">
        <v>9.0</v>
      </c>
      <c r="N11" s="17">
        <v>43.54</v>
      </c>
      <c r="O11" s="9">
        <v>1.0</v>
      </c>
      <c r="P11" s="18">
        <v>1.0</v>
      </c>
      <c r="Q11" s="19">
        <v>43.54</v>
      </c>
      <c r="R11" s="20">
        <v>0.0</v>
      </c>
      <c r="S11" s="21">
        <f t="shared" si="1"/>
        <v>43.54</v>
      </c>
      <c r="T11" s="19">
        <v>43.54</v>
      </c>
      <c r="U11" s="13"/>
      <c r="V11" s="15">
        <v>45887.0</v>
      </c>
    </row>
    <row r="12">
      <c r="A12" s="8">
        <v>89.0</v>
      </c>
      <c r="B12" s="9" t="s">
        <v>15</v>
      </c>
      <c r="C12" s="9" t="s">
        <v>16</v>
      </c>
      <c r="D12" s="10" t="s">
        <v>17</v>
      </c>
      <c r="E12" s="11" t="str">
        <f>IFERROR(__xludf.DUMMYFUNCTION("""COMPUTED_VALUE"""),"Homme/ Femme")</f>
        <v>Homme/ Femme</v>
      </c>
      <c r="F12" s="12">
        <v>45892.0</v>
      </c>
      <c r="G12" s="13" t="str">
        <f>IFERROR(__xludf.DUMMYFUNCTION("""COMPUTED_VALUE"""),"SMHF")</f>
        <v>SMHF</v>
      </c>
      <c r="H12" s="14" t="s">
        <v>18</v>
      </c>
      <c r="I12" s="9" t="s">
        <v>19</v>
      </c>
      <c r="J12" s="13" t="s">
        <v>26</v>
      </c>
      <c r="K12" s="13" t="s">
        <v>27</v>
      </c>
      <c r="L12" s="15">
        <v>45901.0</v>
      </c>
      <c r="M12" s="16">
        <v>9.0</v>
      </c>
      <c r="N12" s="17">
        <v>11.19</v>
      </c>
      <c r="O12" s="9">
        <v>1.0</v>
      </c>
      <c r="P12" s="18">
        <v>1.0</v>
      </c>
      <c r="Q12" s="19">
        <v>11.19</v>
      </c>
      <c r="R12" s="20">
        <v>0.0</v>
      </c>
      <c r="S12" s="21">
        <f t="shared" si="1"/>
        <v>11.19</v>
      </c>
      <c r="T12" s="19">
        <v>11.19</v>
      </c>
      <c r="U12" s="13"/>
      <c r="V12" s="15">
        <v>45902.0</v>
      </c>
    </row>
    <row r="13">
      <c r="A13" s="8">
        <v>88.0</v>
      </c>
      <c r="B13" s="9" t="s">
        <v>15</v>
      </c>
      <c r="C13" s="9" t="s">
        <v>16</v>
      </c>
      <c r="D13" s="10" t="s">
        <v>17</v>
      </c>
      <c r="E13" s="11" t="str">
        <f>IFERROR(__xludf.DUMMYFUNCTION("""COMPUTED_VALUE"""),"Homme/ Femme")</f>
        <v>Homme/ Femme</v>
      </c>
      <c r="F13" s="12">
        <v>45877.0</v>
      </c>
      <c r="G13" s="13" t="str">
        <f>IFERROR(__xludf.DUMMYFUNCTION("""COMPUTED_VALUE"""),"SMHF")</f>
        <v>SMHF</v>
      </c>
      <c r="H13" s="14" t="s">
        <v>18</v>
      </c>
      <c r="I13" s="9" t="s">
        <v>19</v>
      </c>
      <c r="J13" s="13" t="s">
        <v>26</v>
      </c>
      <c r="K13" s="13" t="s">
        <v>27</v>
      </c>
      <c r="L13" s="15">
        <v>45886.0</v>
      </c>
      <c r="M13" s="16">
        <v>9.0</v>
      </c>
      <c r="N13" s="17">
        <v>38.18</v>
      </c>
      <c r="O13" s="9">
        <v>1.0</v>
      </c>
      <c r="P13" s="18">
        <v>1.0</v>
      </c>
      <c r="Q13" s="19">
        <v>38.18</v>
      </c>
      <c r="R13" s="20">
        <v>0.0</v>
      </c>
      <c r="S13" s="21">
        <f t="shared" si="1"/>
        <v>38.18</v>
      </c>
      <c r="T13" s="19">
        <v>38.18</v>
      </c>
      <c r="U13" s="13"/>
      <c r="V13" s="15">
        <v>45887.0</v>
      </c>
    </row>
    <row r="14">
      <c r="A14" s="8">
        <v>2.0</v>
      </c>
      <c r="B14" s="9" t="s">
        <v>28</v>
      </c>
      <c r="C14" s="9" t="s">
        <v>29</v>
      </c>
      <c r="D14" s="10" t="s">
        <v>17</v>
      </c>
      <c r="E14" s="11" t="str">
        <f>IFERROR(__xludf.DUMMYFUNCTION("""COMPUTED_VALUE"""),"Homme/ Femme")</f>
        <v>Homme/ Femme</v>
      </c>
      <c r="F14" s="12">
        <v>45887.0</v>
      </c>
      <c r="G14" s="13" t="str">
        <f>IFERROR(__xludf.DUMMYFUNCTION("""COMPUTED_VALUE"""),"VMWNHF")</f>
        <v>VMWNHF</v>
      </c>
      <c r="H14" s="14" t="s">
        <v>18</v>
      </c>
      <c r="I14" s="9" t="s">
        <v>30</v>
      </c>
      <c r="J14" s="13" t="s">
        <v>26</v>
      </c>
      <c r="K14" s="13" t="s">
        <v>27</v>
      </c>
      <c r="L14" s="15">
        <v>45898.0</v>
      </c>
      <c r="M14" s="9">
        <v>11.0</v>
      </c>
      <c r="N14" s="17">
        <v>38.83</v>
      </c>
      <c r="O14" s="9">
        <v>7.0</v>
      </c>
      <c r="P14" s="18">
        <v>7.0</v>
      </c>
      <c r="Q14" s="19">
        <v>5.547142857142857</v>
      </c>
      <c r="R14" s="20">
        <v>0.0</v>
      </c>
      <c r="S14" s="21">
        <f t="shared" si="1"/>
        <v>38.83</v>
      </c>
      <c r="T14" s="19">
        <v>5.547142857142857</v>
      </c>
      <c r="U14" s="13"/>
      <c r="V14" s="15">
        <v>45899.0</v>
      </c>
    </row>
    <row r="15">
      <c r="A15" s="8">
        <v>3.0</v>
      </c>
      <c r="B15" s="8" t="s">
        <v>28</v>
      </c>
      <c r="C15" s="8" t="s">
        <v>31</v>
      </c>
      <c r="D15" s="10" t="s">
        <v>32</v>
      </c>
      <c r="E15" s="8" t="str">
        <f>IFERROR(__xludf.DUMMYFUNCTION("""COMPUTED_VALUE"""),"Homme/ Benoît")</f>
        <v>Homme/ Benoît</v>
      </c>
      <c r="F15" s="22">
        <v>43890.0</v>
      </c>
      <c r="G15" s="23" t="str">
        <f>IFERROR(__xludf.DUMMYFUNCTION("""COMPUTED_VALUE"""),"VPHB")</f>
        <v>VPHB</v>
      </c>
      <c r="H15" s="24" t="s">
        <v>18</v>
      </c>
      <c r="I15" s="8" t="s">
        <v>33</v>
      </c>
      <c r="J15" s="23" t="s">
        <v>26</v>
      </c>
      <c r="K15" s="23" t="s">
        <v>27</v>
      </c>
      <c r="L15" s="22">
        <v>43891.0</v>
      </c>
      <c r="M15" s="25">
        <v>1.0</v>
      </c>
      <c r="N15" s="26">
        <v>0.0</v>
      </c>
      <c r="O15" s="27">
        <v>17.0</v>
      </c>
      <c r="P15" s="27">
        <v>17.0</v>
      </c>
      <c r="Q15" s="21">
        <v>0.0</v>
      </c>
      <c r="R15" s="26">
        <v>0.0</v>
      </c>
      <c r="S15" s="21">
        <f t="shared" si="1"/>
        <v>0</v>
      </c>
      <c r="T15" s="26">
        <v>0.0</v>
      </c>
      <c r="U15" s="28"/>
      <c r="V15" s="22">
        <v>45809.0</v>
      </c>
    </row>
    <row r="16">
      <c r="A16" s="8">
        <v>4.0</v>
      </c>
      <c r="B16" s="8" t="s">
        <v>34</v>
      </c>
      <c r="C16" s="8" t="s">
        <v>35</v>
      </c>
      <c r="D16" s="10" t="s">
        <v>36</v>
      </c>
      <c r="E16" s="8" t="str">
        <f>IFERROR(__xludf.DUMMYFUNCTION("""COMPUTED_VALUE"""),"Femme/ Kevin")</f>
        <v>Femme/ Kevin</v>
      </c>
      <c r="F16" s="29">
        <v>45898.0</v>
      </c>
      <c r="G16" s="8" t="str">
        <f>IFERROR(__xludf.DUMMYFUNCTION("""COMPUTED_VALUE"""),"JLFK")</f>
        <v>JLFK</v>
      </c>
      <c r="H16" s="24" t="s">
        <v>18</v>
      </c>
      <c r="I16" s="30" t="s">
        <v>37</v>
      </c>
      <c r="J16" s="8" t="s">
        <v>38</v>
      </c>
      <c r="K16" s="8" t="s">
        <v>38</v>
      </c>
      <c r="L16" s="29">
        <v>45904.0</v>
      </c>
      <c r="M16" s="25">
        <v>6.0</v>
      </c>
      <c r="N16" s="21">
        <v>408.0</v>
      </c>
      <c r="O16" s="25">
        <v>60.0</v>
      </c>
      <c r="P16" s="25">
        <v>62.0</v>
      </c>
      <c r="Q16" s="21">
        <v>6.580645161290323</v>
      </c>
      <c r="R16" s="21">
        <v>30.5</v>
      </c>
      <c r="S16" s="26">
        <v>438.94000000000005</v>
      </c>
      <c r="T16" s="21">
        <v>7.07967741935484</v>
      </c>
      <c r="U16" s="28"/>
      <c r="V16" s="22">
        <v>45905.0</v>
      </c>
    </row>
    <row r="17">
      <c r="A17" s="8">
        <v>5.0</v>
      </c>
      <c r="B17" s="8" t="s">
        <v>28</v>
      </c>
      <c r="C17" s="8" t="s">
        <v>39</v>
      </c>
      <c r="D17" s="10" t="s">
        <v>17</v>
      </c>
      <c r="E17" s="8" t="str">
        <f>IFERROR(__xludf.DUMMYFUNCTION("""COMPUTED_VALUE"""),"Homme/ Femme")</f>
        <v>Homme/ Femme</v>
      </c>
      <c r="F17" s="29">
        <v>45899.0</v>
      </c>
      <c r="G17" s="23" t="str">
        <f>IFERROR(__xludf.DUMMYFUNCTION("""COMPUTED_VALUE"""),"VTHF")</f>
        <v>VTHF</v>
      </c>
      <c r="H17" s="24" t="s">
        <v>18</v>
      </c>
      <c r="I17" s="30" t="s">
        <v>40</v>
      </c>
      <c r="J17" s="23" t="s">
        <v>38</v>
      </c>
      <c r="K17" s="23" t="s">
        <v>38</v>
      </c>
      <c r="L17" s="29">
        <v>45906.0</v>
      </c>
      <c r="M17" s="25">
        <v>7.0</v>
      </c>
      <c r="N17" s="21">
        <v>120.04</v>
      </c>
      <c r="O17" s="25">
        <v>84.0</v>
      </c>
      <c r="P17" s="25">
        <v>84.0</v>
      </c>
      <c r="Q17" s="21">
        <v>1.4290476190476191</v>
      </c>
      <c r="R17" s="21">
        <v>0.0</v>
      </c>
      <c r="S17" s="26">
        <v>120.15</v>
      </c>
      <c r="T17" s="21">
        <v>1.4303571428571429</v>
      </c>
      <c r="U17" s="28"/>
      <c r="V17" s="22">
        <v>45907.0</v>
      </c>
    </row>
    <row r="18">
      <c r="A18" s="8">
        <v>6.0</v>
      </c>
      <c r="B18" s="8" t="s">
        <v>41</v>
      </c>
      <c r="C18" s="8" t="s">
        <v>16</v>
      </c>
      <c r="D18" s="10" t="s">
        <v>17</v>
      </c>
      <c r="E18" s="8" t="str">
        <f>IFERROR(__xludf.DUMMYFUNCTION("""COMPUTED_VALUE"""),"Homme/ Femme")</f>
        <v>Homme/ Femme</v>
      </c>
      <c r="F18" s="29">
        <v>45910.0</v>
      </c>
      <c r="G18" s="8" t="str">
        <f>IFERROR(__xludf.DUMMYFUNCTION("""COMPUTED_VALUE"""),"JMHF")</f>
        <v>JMHF</v>
      </c>
      <c r="H18" s="24" t="s">
        <v>42</v>
      </c>
      <c r="I18" s="30" t="s">
        <v>37</v>
      </c>
      <c r="J18" s="8" t="s">
        <v>38</v>
      </c>
      <c r="K18" s="8" t="s">
        <v>38</v>
      </c>
      <c r="L18" s="29">
        <v>45922.0</v>
      </c>
      <c r="M18" s="25">
        <v>12.0</v>
      </c>
      <c r="N18" s="21">
        <v>238.0</v>
      </c>
      <c r="O18" s="25">
        <v>60.0</v>
      </c>
      <c r="P18" s="25">
        <v>60.0</v>
      </c>
      <c r="Q18" s="21">
        <v>3.966666666666667</v>
      </c>
      <c r="R18" s="21">
        <v>47.0</v>
      </c>
      <c r="S18" s="26">
        <v>285.33000000000004</v>
      </c>
      <c r="T18" s="21">
        <v>4.7555000000000005</v>
      </c>
      <c r="U18" s="28"/>
      <c r="V18" s="22">
        <v>45923.0</v>
      </c>
    </row>
    <row r="19">
      <c r="A19" s="8">
        <v>7.0</v>
      </c>
      <c r="B19" s="8" t="s">
        <v>43</v>
      </c>
      <c r="C19" s="8" t="s">
        <v>44</v>
      </c>
      <c r="D19" s="10" t="s">
        <v>45</v>
      </c>
      <c r="E19" s="8" t="str">
        <f>IFERROR(__xludf.DUMMYFUNCTION("""COMPUTED_VALUE"""),"Femme")</f>
        <v>Femme</v>
      </c>
      <c r="F19" s="29">
        <v>45923.0</v>
      </c>
      <c r="G19" s="8" t="str">
        <f>IFERROR(__xludf.DUMMYFUNCTION("""COMPUTED_VALUE"""),"PTNFF")</f>
        <v>PTNFF</v>
      </c>
      <c r="H19" s="24" t="s">
        <v>18</v>
      </c>
      <c r="I19" s="30" t="s">
        <v>46</v>
      </c>
      <c r="J19" s="8"/>
      <c r="K19" s="8"/>
      <c r="L19" s="29">
        <v>45952.0</v>
      </c>
      <c r="M19" s="25">
        <v>29.0</v>
      </c>
      <c r="N19" s="21">
        <v>184.0</v>
      </c>
      <c r="O19" s="25">
        <v>20.0</v>
      </c>
      <c r="P19" s="25">
        <v>20.0</v>
      </c>
      <c r="Q19" s="21">
        <v>9.2</v>
      </c>
      <c r="R19" s="21">
        <v>15.33</v>
      </c>
      <c r="S19" s="21">
        <f t="shared" ref="S19:S20" si="2">SUM(Q19*P19+R19)</f>
        <v>199.33</v>
      </c>
      <c r="T19" s="21">
        <v>9.9665</v>
      </c>
      <c r="U19" s="30" t="s">
        <v>47</v>
      </c>
      <c r="V19" s="22">
        <v>45953.0</v>
      </c>
    </row>
    <row r="20">
      <c r="A20" s="8">
        <v>8.0</v>
      </c>
      <c r="B20" s="8" t="s">
        <v>43</v>
      </c>
      <c r="C20" s="8" t="s">
        <v>48</v>
      </c>
      <c r="D20" s="10" t="s">
        <v>45</v>
      </c>
      <c r="E20" s="8" t="str">
        <f>IFERROR(__xludf.DUMMYFUNCTION("""COMPUTED_VALUE"""),"Femme")</f>
        <v>Femme</v>
      </c>
      <c r="F20" s="29">
        <v>45923.0</v>
      </c>
      <c r="G20" s="8" t="str">
        <f>IFERROR(__xludf.DUMMYFUNCTION("""COMPUTED_VALUE"""),"PCF")</f>
        <v>PCF</v>
      </c>
      <c r="H20" s="24" t="s">
        <v>18</v>
      </c>
      <c r="I20" s="30" t="s">
        <v>46</v>
      </c>
      <c r="J20" s="8"/>
      <c r="K20" s="8"/>
      <c r="L20" s="29">
        <v>45952.0</v>
      </c>
      <c r="M20" s="25">
        <v>29.0</v>
      </c>
      <c r="N20" s="21">
        <v>65.0</v>
      </c>
      <c r="O20" s="25">
        <v>10.0</v>
      </c>
      <c r="P20" s="25">
        <v>10.0</v>
      </c>
      <c r="Q20" s="21">
        <v>6.5</v>
      </c>
      <c r="R20" s="21">
        <v>7.66</v>
      </c>
      <c r="S20" s="21">
        <f t="shared" si="2"/>
        <v>72.66</v>
      </c>
      <c r="T20" s="21">
        <v>7.266</v>
      </c>
      <c r="U20" s="30" t="s">
        <v>47</v>
      </c>
      <c r="V20" s="22">
        <v>45953.0</v>
      </c>
    </row>
    <row r="21">
      <c r="A21" s="8">
        <v>9.0</v>
      </c>
      <c r="B21" s="8" t="s">
        <v>34</v>
      </c>
      <c r="C21" s="8" t="s">
        <v>35</v>
      </c>
      <c r="D21" s="10" t="s">
        <v>45</v>
      </c>
      <c r="E21" s="8" t="str">
        <f>IFERROR(__xludf.DUMMYFUNCTION("""COMPUTED_VALUE"""),"Femme")</f>
        <v>Femme</v>
      </c>
      <c r="F21" s="29">
        <v>45925.0</v>
      </c>
      <c r="G21" s="8" t="str">
        <f>IFERROR(__xludf.DUMMYFUNCTION("""COMPUTED_VALUE"""),"JLF")</f>
        <v>JLF</v>
      </c>
      <c r="H21" s="24" t="s">
        <v>18</v>
      </c>
      <c r="I21" s="30" t="s">
        <v>49</v>
      </c>
      <c r="J21" s="8"/>
      <c r="K21" s="8"/>
      <c r="L21" s="29">
        <v>45937.0</v>
      </c>
      <c r="M21" s="25">
        <v>12.0</v>
      </c>
      <c r="N21" s="21">
        <v>408.0</v>
      </c>
      <c r="O21" s="25">
        <v>60.0</v>
      </c>
      <c r="P21" s="25">
        <v>64.0</v>
      </c>
      <c r="Q21" s="21">
        <v>6.375</v>
      </c>
      <c r="R21" s="21">
        <v>45.45</v>
      </c>
      <c r="S21" s="26">
        <v>453.56</v>
      </c>
      <c r="T21" s="21">
        <v>7.086875</v>
      </c>
      <c r="U21" s="28"/>
      <c r="V21" s="22">
        <v>45938.0</v>
      </c>
    </row>
    <row r="22">
      <c r="A22" s="8">
        <v>10.0</v>
      </c>
      <c r="B22" s="8" t="s">
        <v>43</v>
      </c>
      <c r="C22" s="8" t="s">
        <v>44</v>
      </c>
      <c r="D22" s="10" t="s">
        <v>45</v>
      </c>
      <c r="E22" s="8" t="str">
        <f>IFERROR(__xludf.DUMMYFUNCTION("""COMPUTED_VALUE"""),"Femme")</f>
        <v>Femme</v>
      </c>
      <c r="F22" s="29">
        <v>45925.0</v>
      </c>
      <c r="G22" s="8" t="str">
        <f>IFERROR(__xludf.DUMMYFUNCTION("""COMPUTED_VALUE"""),"PTNFF")</f>
        <v>PTNFF</v>
      </c>
      <c r="H22" s="24" t="s">
        <v>18</v>
      </c>
      <c r="I22" s="30" t="s">
        <v>49</v>
      </c>
      <c r="J22" s="8"/>
      <c r="K22" s="8"/>
      <c r="L22" s="29">
        <v>45937.0</v>
      </c>
      <c r="M22" s="25">
        <v>12.0</v>
      </c>
      <c r="N22" s="21">
        <v>436.0</v>
      </c>
      <c r="O22" s="25">
        <v>40.0</v>
      </c>
      <c r="P22" s="25">
        <v>41.0</v>
      </c>
      <c r="Q22" s="21">
        <v>10.634146341463415</v>
      </c>
      <c r="R22" s="21">
        <v>30.05</v>
      </c>
      <c r="S22" s="21">
        <f t="shared" ref="S22:S28" si="3">SUM(Q22*P22+R22)</f>
        <v>466.05</v>
      </c>
      <c r="T22" s="21">
        <v>11.367073170731707</v>
      </c>
      <c r="U22" s="28"/>
      <c r="V22" s="22">
        <v>45938.0</v>
      </c>
    </row>
    <row r="23">
      <c r="A23" s="8">
        <v>11.0</v>
      </c>
      <c r="B23" s="8" t="s">
        <v>34</v>
      </c>
      <c r="C23" s="8" t="s">
        <v>35</v>
      </c>
      <c r="D23" s="10" t="s">
        <v>45</v>
      </c>
      <c r="E23" s="8" t="str">
        <f>IFERROR(__xludf.DUMMYFUNCTION("""COMPUTED_VALUE"""),"Femme")</f>
        <v>Femme</v>
      </c>
      <c r="F23" s="29">
        <v>45928.0</v>
      </c>
      <c r="G23" s="8" t="str">
        <f>IFERROR(__xludf.DUMMYFUNCTION("""COMPUTED_VALUE"""),"JLF")</f>
        <v>JLF</v>
      </c>
      <c r="H23" s="24" t="s">
        <v>18</v>
      </c>
      <c r="I23" s="30" t="s">
        <v>50</v>
      </c>
      <c r="J23" s="8"/>
      <c r="K23" s="8"/>
      <c r="L23" s="29">
        <v>45937.0</v>
      </c>
      <c r="M23" s="25">
        <v>9.0</v>
      </c>
      <c r="N23" s="21">
        <v>464.0</v>
      </c>
      <c r="O23" s="25">
        <v>70.0</v>
      </c>
      <c r="P23" s="25">
        <v>73.0</v>
      </c>
      <c r="Q23" s="21">
        <v>6.3561643835616435</v>
      </c>
      <c r="R23" s="21">
        <v>52.78</v>
      </c>
      <c r="S23" s="21">
        <f t="shared" si="3"/>
        <v>516.78</v>
      </c>
      <c r="T23" s="21">
        <v>7.07917808219178</v>
      </c>
      <c r="U23" s="28"/>
      <c r="V23" s="22">
        <v>45938.0</v>
      </c>
    </row>
    <row r="24">
      <c r="A24" s="8">
        <v>12.0</v>
      </c>
      <c r="B24" s="8" t="s">
        <v>41</v>
      </c>
      <c r="C24" s="8" t="s">
        <v>51</v>
      </c>
      <c r="D24" s="10" t="s">
        <v>45</v>
      </c>
      <c r="E24" s="8" t="str">
        <f>IFERROR(__xludf.DUMMYFUNCTION("""COMPUTED_VALUE"""),"Femme")</f>
        <v>Femme</v>
      </c>
      <c r="F24" s="29">
        <v>45934.0</v>
      </c>
      <c r="G24" s="31" t="str">
        <f>IFERROR(__xludf.DUMMYFUNCTION("""COMPUTED_VALUE"""),"JCRF")</f>
        <v>JCRF</v>
      </c>
      <c r="H24" s="24" t="s">
        <v>18</v>
      </c>
      <c r="I24" s="30" t="s">
        <v>52</v>
      </c>
      <c r="J24" s="31"/>
      <c r="K24" s="31"/>
      <c r="L24" s="22"/>
      <c r="M24" s="25" t="s">
        <v>38</v>
      </c>
      <c r="N24" s="21">
        <v>525.0</v>
      </c>
      <c r="O24" s="25">
        <v>30.0</v>
      </c>
      <c r="P24" s="32"/>
      <c r="Q24" s="21" t="s">
        <v>38</v>
      </c>
      <c r="R24" s="33"/>
      <c r="S24" s="21">
        <f t="shared" si="3"/>
        <v>0</v>
      </c>
      <c r="T24" s="21" t="s">
        <v>38</v>
      </c>
      <c r="U24" s="28"/>
      <c r="V24" s="34" t="b">
        <v>0</v>
      </c>
    </row>
    <row r="25">
      <c r="A25" s="8">
        <v>13.0</v>
      </c>
      <c r="B25" s="8" t="s">
        <v>53</v>
      </c>
      <c r="C25" s="8" t="s">
        <v>54</v>
      </c>
      <c r="D25" s="10" t="s">
        <v>45</v>
      </c>
      <c r="E25" s="8" t="str">
        <f>IFERROR(__xludf.DUMMYFUNCTION("""COMPUTED_VALUE"""),"Femme")</f>
        <v>Femme</v>
      </c>
      <c r="F25" s="29">
        <v>45939.0</v>
      </c>
      <c r="G25" s="8" t="str">
        <f>IFERROR(__xludf.DUMMYFUNCTION("""COMPUTED_VALUE"""),"PTHF")</f>
        <v>PTHF</v>
      </c>
      <c r="H25" s="24" t="s">
        <v>18</v>
      </c>
      <c r="I25" s="30" t="s">
        <v>55</v>
      </c>
      <c r="J25" s="8"/>
      <c r="K25" s="8"/>
      <c r="L25" s="29">
        <v>45944.0</v>
      </c>
      <c r="M25" s="25">
        <v>5.0</v>
      </c>
      <c r="N25" s="21">
        <v>200.0</v>
      </c>
      <c r="O25" s="25">
        <v>55.0</v>
      </c>
      <c r="P25" s="25">
        <v>56.0</v>
      </c>
      <c r="Q25" s="21">
        <v>3.5714285714285716</v>
      </c>
      <c r="R25" s="21">
        <v>26.0</v>
      </c>
      <c r="S25" s="21">
        <f t="shared" si="3"/>
        <v>226</v>
      </c>
      <c r="T25" s="21">
        <v>4.035714285714286</v>
      </c>
      <c r="U25" s="28"/>
      <c r="V25" s="34">
        <v>45945.0</v>
      </c>
    </row>
    <row r="26">
      <c r="A26" s="8">
        <v>14.0</v>
      </c>
      <c r="B26" s="8" t="s">
        <v>34</v>
      </c>
      <c r="C26" s="8" t="s">
        <v>35</v>
      </c>
      <c r="D26" s="10" t="s">
        <v>45</v>
      </c>
      <c r="E26" s="8" t="str">
        <f>IFERROR(__xludf.DUMMYFUNCTION("""COMPUTED_VALUE"""),"Femme")</f>
        <v>Femme</v>
      </c>
      <c r="F26" s="29">
        <v>45941.0</v>
      </c>
      <c r="G26" s="8" t="str">
        <f>IFERROR(__xludf.DUMMYFUNCTION("""COMPUTED_VALUE"""),"JLF")</f>
        <v>JLF</v>
      </c>
      <c r="H26" s="24" t="s">
        <v>18</v>
      </c>
      <c r="I26" s="30" t="s">
        <v>56</v>
      </c>
      <c r="J26" s="8"/>
      <c r="K26" s="8"/>
      <c r="L26" s="29">
        <v>45947.0</v>
      </c>
      <c r="M26" s="25">
        <v>6.0</v>
      </c>
      <c r="N26" s="21">
        <v>654.0</v>
      </c>
      <c r="O26" s="25">
        <v>100.0</v>
      </c>
      <c r="P26" s="25">
        <v>100.0</v>
      </c>
      <c r="Q26" s="21">
        <v>6.54</v>
      </c>
      <c r="R26" s="21">
        <v>55.0</v>
      </c>
      <c r="S26" s="21">
        <f t="shared" si="3"/>
        <v>709</v>
      </c>
      <c r="T26" s="21">
        <v>7.09</v>
      </c>
      <c r="U26" s="28"/>
      <c r="V26" s="34">
        <v>45948.0</v>
      </c>
    </row>
    <row r="27">
      <c r="A27" s="8">
        <v>15.0</v>
      </c>
      <c r="B27" s="8" t="s">
        <v>34</v>
      </c>
      <c r="C27" s="8" t="s">
        <v>57</v>
      </c>
      <c r="D27" s="10" t="s">
        <v>45</v>
      </c>
      <c r="E27" s="8" t="str">
        <f>IFERROR(__xludf.DUMMYFUNCTION("""COMPUTED_VALUE"""),"Femme")</f>
        <v>Femme</v>
      </c>
      <c r="F27" s="29">
        <v>45953.0</v>
      </c>
      <c r="G27" s="31" t="str">
        <f>IFERROR(__xludf.DUMMYFUNCTION("""COMPUTED_VALUE"""),"JLF")</f>
        <v>JLF</v>
      </c>
      <c r="H27" s="24" t="s">
        <v>18</v>
      </c>
      <c r="I27" s="30" t="s">
        <v>56</v>
      </c>
      <c r="J27" s="31"/>
      <c r="K27" s="31"/>
      <c r="L27" s="35">
        <v>45959.0</v>
      </c>
      <c r="M27" s="25">
        <v>6.0</v>
      </c>
      <c r="N27" s="21">
        <v>634.0</v>
      </c>
      <c r="O27" s="25">
        <v>100.0</v>
      </c>
      <c r="P27" s="36">
        <v>100.0</v>
      </c>
      <c r="Q27" s="33">
        <v>6.34</v>
      </c>
      <c r="R27" s="37">
        <v>80.5</v>
      </c>
      <c r="S27" s="21">
        <f t="shared" si="3"/>
        <v>714.5</v>
      </c>
      <c r="T27" s="33">
        <v>7.145</v>
      </c>
      <c r="U27" s="28"/>
      <c r="V27" s="34">
        <v>45960.0</v>
      </c>
    </row>
    <row r="28">
      <c r="A28" s="8">
        <v>16.0</v>
      </c>
      <c r="B28" s="8" t="s">
        <v>53</v>
      </c>
      <c r="C28" s="8" t="s">
        <v>54</v>
      </c>
      <c r="D28" s="10" t="s">
        <v>45</v>
      </c>
      <c r="E28" s="11" t="str">
        <f>IFERROR(__xludf.DUMMYFUNCTION("""COMPUTED_VALUE"""),"Femme")</f>
        <v>Femme</v>
      </c>
      <c r="F28" s="12">
        <v>45960.0</v>
      </c>
      <c r="G28" s="13" t="str">
        <f>IFERROR(__xludf.DUMMYFUNCTION("""COMPUTED_VALUE"""),"PTHF")</f>
        <v>PTHF</v>
      </c>
      <c r="H28" s="24" t="s">
        <v>18</v>
      </c>
      <c r="I28" s="30" t="s">
        <v>55</v>
      </c>
      <c r="J28" s="13"/>
      <c r="K28" s="13"/>
      <c r="L28" s="38"/>
      <c r="M28" s="16" t="s">
        <v>38</v>
      </c>
      <c r="N28" s="39"/>
      <c r="O28" s="9">
        <v>200.0</v>
      </c>
      <c r="P28" s="13"/>
      <c r="Q28" s="19" t="s">
        <v>38</v>
      </c>
      <c r="R28" s="13"/>
      <c r="S28" s="21">
        <f t="shared" si="3"/>
        <v>0</v>
      </c>
      <c r="T28" s="19" t="s">
        <v>38</v>
      </c>
      <c r="U28" s="13"/>
      <c r="V28" s="34" t="b">
        <v>0</v>
      </c>
    </row>
    <row r="29">
      <c r="E29" s="40" t="str">
        <f>IFERROR(__xludf.DUMMYFUNCTION("""COMPUTED_VALUE"""),"")</f>
        <v/>
      </c>
      <c r="G29" s="40" t="str">
        <f>IFERROR(__xludf.DUMMYFUNCTION("""COMPUTED_VALUE"""),"")</f>
        <v/>
      </c>
      <c r="L29" s="41"/>
      <c r="M29" s="40" t="s">
        <v>38</v>
      </c>
      <c r="Q29" s="40" t="s">
        <v>38</v>
      </c>
      <c r="T29" s="40" t="s">
        <v>38</v>
      </c>
      <c r="V29" s="34" t="b">
        <v>0</v>
      </c>
    </row>
    <row r="30">
      <c r="E30" s="40" t="str">
        <f>IFERROR(__xludf.DUMMYFUNCTION("""COMPUTED_VALUE"""),"")</f>
        <v/>
      </c>
      <c r="G30" s="40" t="str">
        <f>IFERROR(__xludf.DUMMYFUNCTION("""COMPUTED_VALUE"""),"")</f>
        <v/>
      </c>
      <c r="L30" s="41"/>
      <c r="M30" s="40" t="s">
        <v>38</v>
      </c>
      <c r="Q30" s="40" t="s">
        <v>38</v>
      </c>
      <c r="T30" s="40" t="s">
        <v>38</v>
      </c>
      <c r="V30" s="34" t="b">
        <v>0</v>
      </c>
    </row>
    <row r="31">
      <c r="A31" s="16"/>
      <c r="B31" s="16"/>
      <c r="C31" s="16"/>
      <c r="D31" s="42"/>
      <c r="E31" s="11" t="str">
        <f>IFERROR(__xludf.DUMMYFUNCTION("""COMPUTED_VALUE"""),"")</f>
        <v/>
      </c>
      <c r="F31" s="43"/>
      <c r="G31" s="13" t="str">
        <f>IFERROR(__xludf.DUMMYFUNCTION("""COMPUTED_VALUE"""),"")</f>
        <v/>
      </c>
      <c r="H31" s="44"/>
      <c r="I31" s="16"/>
      <c r="J31" s="13"/>
      <c r="K31" s="13"/>
      <c r="L31" s="38"/>
      <c r="M31" s="16" t="s">
        <v>38</v>
      </c>
      <c r="N31" s="39"/>
      <c r="O31" s="16"/>
      <c r="P31" s="13"/>
      <c r="Q31" s="19" t="s">
        <v>38</v>
      </c>
      <c r="R31" s="19" t="s">
        <v>38</v>
      </c>
      <c r="S31" s="19"/>
      <c r="T31" s="19" t="s">
        <v>38</v>
      </c>
      <c r="U31" s="13"/>
      <c r="V31" s="34" t="b">
        <v>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22.75"/>
    <col customWidth="1" min="3" max="3" width="18.13"/>
    <col customWidth="1" min="4" max="4" width="26.25"/>
    <col customWidth="1" min="5" max="5" width="14.75"/>
    <col customWidth="1" min="6" max="6" width="17.75"/>
    <col customWidth="1" min="7" max="7" width="22.13"/>
    <col customWidth="1" min="8" max="8" width="20.5"/>
    <col customWidth="1" min="9" max="9" width="16.88"/>
    <col customWidth="1" min="10" max="10" width="15.88"/>
    <col customWidth="1" min="11" max="11" width="14.0"/>
    <col customWidth="1" min="12" max="12" width="9.5"/>
    <col customWidth="1" min="13" max="13" width="13.25"/>
    <col customWidth="1" min="14" max="14" width="2.63"/>
  </cols>
  <sheetData>
    <row r="1" ht="22.5" customHeight="1">
      <c r="A1" s="45" t="s">
        <v>0</v>
      </c>
      <c r="B1" s="46" t="s">
        <v>1</v>
      </c>
      <c r="C1" s="46" t="s">
        <v>58</v>
      </c>
      <c r="D1" s="46" t="s">
        <v>59</v>
      </c>
      <c r="E1" s="47" t="s">
        <v>60</v>
      </c>
      <c r="F1" s="48" t="s">
        <v>61</v>
      </c>
      <c r="G1" s="47" t="s">
        <v>62</v>
      </c>
      <c r="H1" s="47" t="s">
        <v>63</v>
      </c>
      <c r="I1" s="47" t="s">
        <v>64</v>
      </c>
      <c r="J1" s="49" t="s">
        <v>65</v>
      </c>
      <c r="K1" s="50" t="s">
        <v>66</v>
      </c>
      <c r="L1" s="50" t="s">
        <v>67</v>
      </c>
      <c r="M1" s="51" t="s">
        <v>68</v>
      </c>
      <c r="N1" s="52"/>
    </row>
    <row r="2" ht="22.5" customHeight="1">
      <c r="A2" s="53">
        <v>3.0</v>
      </c>
      <c r="B2" s="54" t="s">
        <v>69</v>
      </c>
      <c r="C2" s="55"/>
      <c r="D2" s="54" t="s">
        <v>70</v>
      </c>
      <c r="E2" s="56">
        <v>43891.0</v>
      </c>
      <c r="F2" s="56">
        <v>45809.0</v>
      </c>
      <c r="G2" s="56">
        <v>45810.0</v>
      </c>
      <c r="H2" s="56">
        <v>45811.0</v>
      </c>
      <c r="I2" s="54"/>
      <c r="J2" s="57"/>
      <c r="K2" s="9"/>
      <c r="L2" s="9"/>
      <c r="M2" s="58"/>
      <c r="N2" s="59"/>
    </row>
    <row r="3" ht="22.5" customHeight="1">
      <c r="A3" s="53">
        <v>3.0</v>
      </c>
      <c r="B3" s="54" t="s">
        <v>69</v>
      </c>
      <c r="C3" s="55"/>
      <c r="D3" s="54" t="s">
        <v>71</v>
      </c>
      <c r="E3" s="56">
        <v>43891.0</v>
      </c>
      <c r="F3" s="56">
        <v>45809.0</v>
      </c>
      <c r="G3" s="56">
        <v>45810.0</v>
      </c>
      <c r="H3" s="56">
        <v>45811.0</v>
      </c>
      <c r="I3" s="54"/>
      <c r="J3" s="57"/>
      <c r="K3" s="9"/>
      <c r="L3" s="9"/>
      <c r="M3" s="58"/>
      <c r="N3" s="59"/>
    </row>
    <row r="4" ht="22.5" customHeight="1">
      <c r="A4" s="53">
        <v>3.0</v>
      </c>
      <c r="B4" s="54" t="s">
        <v>69</v>
      </c>
      <c r="C4" s="55"/>
      <c r="D4" s="54" t="s">
        <v>72</v>
      </c>
      <c r="E4" s="56">
        <v>43891.0</v>
      </c>
      <c r="F4" s="56">
        <v>45809.0</v>
      </c>
      <c r="G4" s="56">
        <v>45810.0</v>
      </c>
      <c r="H4" s="56">
        <v>45811.0</v>
      </c>
      <c r="I4" s="54"/>
      <c r="J4" s="57"/>
      <c r="K4" s="9"/>
      <c r="L4" s="9"/>
      <c r="M4" s="58"/>
      <c r="N4" s="59"/>
    </row>
    <row r="5" ht="22.5" customHeight="1">
      <c r="A5" s="53">
        <v>3.0</v>
      </c>
      <c r="B5" s="54" t="s">
        <v>69</v>
      </c>
      <c r="C5" s="55"/>
      <c r="D5" s="54" t="s">
        <v>73</v>
      </c>
      <c r="E5" s="56">
        <v>43891.0</v>
      </c>
      <c r="F5" s="56">
        <v>45809.0</v>
      </c>
      <c r="G5" s="56">
        <v>45810.0</v>
      </c>
      <c r="H5" s="56">
        <v>45811.0</v>
      </c>
      <c r="I5" s="54"/>
      <c r="J5" s="57"/>
      <c r="K5" s="9"/>
      <c r="L5" s="9"/>
      <c r="M5" s="58"/>
      <c r="N5" s="59"/>
    </row>
    <row r="6" ht="22.5" customHeight="1">
      <c r="A6" s="53">
        <v>3.0</v>
      </c>
      <c r="B6" s="54" t="s">
        <v>69</v>
      </c>
      <c r="C6" s="55"/>
      <c r="D6" s="54" t="s">
        <v>74</v>
      </c>
      <c r="E6" s="56">
        <v>43891.0</v>
      </c>
      <c r="F6" s="56">
        <v>45809.0</v>
      </c>
      <c r="G6" s="56">
        <v>45810.0</v>
      </c>
      <c r="H6" s="56">
        <v>45811.0</v>
      </c>
      <c r="I6" s="54"/>
      <c r="J6" s="57"/>
      <c r="K6" s="9"/>
      <c r="L6" s="9"/>
      <c r="M6" s="58"/>
      <c r="N6" s="59"/>
    </row>
    <row r="7" ht="22.5" customHeight="1">
      <c r="A7" s="53">
        <v>3.0</v>
      </c>
      <c r="B7" s="54" t="s">
        <v>69</v>
      </c>
      <c r="C7" s="55"/>
      <c r="D7" s="54" t="s">
        <v>75</v>
      </c>
      <c r="E7" s="56">
        <v>43891.0</v>
      </c>
      <c r="F7" s="56">
        <v>45809.0</v>
      </c>
      <c r="G7" s="56">
        <v>45810.0</v>
      </c>
      <c r="H7" s="56">
        <v>45811.0</v>
      </c>
      <c r="I7" s="54"/>
      <c r="J7" s="57"/>
      <c r="K7" s="9"/>
      <c r="L7" s="9"/>
      <c r="M7" s="58"/>
      <c r="N7" s="59"/>
    </row>
    <row r="8" ht="22.5" customHeight="1">
      <c r="A8" s="53">
        <v>3.0</v>
      </c>
      <c r="B8" s="54" t="s">
        <v>69</v>
      </c>
      <c r="C8" s="55"/>
      <c r="D8" s="54" t="s">
        <v>76</v>
      </c>
      <c r="E8" s="56">
        <v>43891.0</v>
      </c>
      <c r="F8" s="56">
        <v>45809.0</v>
      </c>
      <c r="G8" s="56">
        <v>45810.0</v>
      </c>
      <c r="H8" s="56">
        <v>45811.0</v>
      </c>
      <c r="I8" s="54"/>
      <c r="J8" s="57"/>
      <c r="K8" s="9"/>
      <c r="L8" s="9"/>
      <c r="M8" s="58"/>
      <c r="N8" s="59"/>
    </row>
    <row r="9" ht="22.5" customHeight="1">
      <c r="A9" s="53">
        <v>3.0</v>
      </c>
      <c r="B9" s="54" t="s">
        <v>69</v>
      </c>
      <c r="C9" s="55"/>
      <c r="D9" s="54" t="s">
        <v>77</v>
      </c>
      <c r="E9" s="56">
        <v>43891.0</v>
      </c>
      <c r="F9" s="56">
        <v>45809.0</v>
      </c>
      <c r="G9" s="56">
        <v>45810.0</v>
      </c>
      <c r="H9" s="56">
        <v>45811.0</v>
      </c>
      <c r="I9" s="54"/>
      <c r="J9" s="57"/>
      <c r="K9" s="9"/>
      <c r="L9" s="9"/>
      <c r="M9" s="58"/>
      <c r="N9" s="59"/>
    </row>
    <row r="10" ht="22.5" customHeight="1">
      <c r="A10" s="53">
        <v>3.0</v>
      </c>
      <c r="B10" s="54" t="s">
        <v>69</v>
      </c>
      <c r="C10" s="55"/>
      <c r="D10" s="54" t="s">
        <v>78</v>
      </c>
      <c r="E10" s="56">
        <v>43891.0</v>
      </c>
      <c r="F10" s="56">
        <v>45809.0</v>
      </c>
      <c r="G10" s="56">
        <v>45810.0</v>
      </c>
      <c r="H10" s="56">
        <v>45811.0</v>
      </c>
      <c r="I10" s="54"/>
      <c r="J10" s="57"/>
      <c r="K10" s="9"/>
      <c r="L10" s="9"/>
      <c r="M10" s="58"/>
      <c r="N10" s="59"/>
    </row>
    <row r="11" ht="22.5" customHeight="1">
      <c r="A11" s="53">
        <v>3.0</v>
      </c>
      <c r="B11" s="54" t="s">
        <v>69</v>
      </c>
      <c r="C11" s="55"/>
      <c r="D11" s="54" t="s">
        <v>79</v>
      </c>
      <c r="E11" s="56">
        <v>43891.0</v>
      </c>
      <c r="F11" s="56">
        <v>45809.0</v>
      </c>
      <c r="G11" s="56">
        <v>45810.0</v>
      </c>
      <c r="H11" s="56">
        <v>45811.0</v>
      </c>
      <c r="I11" s="54"/>
      <c r="J11" s="57"/>
      <c r="K11" s="9"/>
      <c r="L11" s="9"/>
      <c r="M11" s="58"/>
      <c r="N11" s="59"/>
    </row>
    <row r="12" ht="22.5" customHeight="1">
      <c r="A12" s="53">
        <v>3.0</v>
      </c>
      <c r="B12" s="54" t="s">
        <v>69</v>
      </c>
      <c r="C12" s="55"/>
      <c r="D12" s="54" t="s">
        <v>80</v>
      </c>
      <c r="E12" s="56">
        <v>43891.0</v>
      </c>
      <c r="F12" s="56">
        <v>45809.0</v>
      </c>
      <c r="G12" s="56">
        <v>45810.0</v>
      </c>
      <c r="H12" s="56">
        <v>45811.0</v>
      </c>
      <c r="I12" s="54"/>
      <c r="J12" s="57"/>
      <c r="K12" s="9"/>
      <c r="L12" s="9"/>
      <c r="M12" s="58"/>
      <c r="N12" s="59"/>
    </row>
    <row r="13" ht="22.5" customHeight="1">
      <c r="A13" s="53">
        <v>3.0</v>
      </c>
      <c r="B13" s="54" t="s">
        <v>69</v>
      </c>
      <c r="C13" s="55"/>
      <c r="D13" s="54" t="s">
        <v>81</v>
      </c>
      <c r="E13" s="56">
        <v>43891.0</v>
      </c>
      <c r="F13" s="56">
        <v>45809.0</v>
      </c>
      <c r="G13" s="56">
        <v>45810.0</v>
      </c>
      <c r="H13" s="56">
        <v>45811.0</v>
      </c>
      <c r="I13" s="54"/>
      <c r="J13" s="57"/>
      <c r="K13" s="9"/>
      <c r="L13" s="9"/>
      <c r="M13" s="58"/>
      <c r="N13" s="59"/>
    </row>
    <row r="14" ht="22.5" customHeight="1">
      <c r="A14" s="53">
        <v>3.0</v>
      </c>
      <c r="B14" s="54" t="s">
        <v>69</v>
      </c>
      <c r="C14" s="55"/>
      <c r="D14" s="54" t="s">
        <v>82</v>
      </c>
      <c r="E14" s="56">
        <v>43891.0</v>
      </c>
      <c r="F14" s="56">
        <v>45809.0</v>
      </c>
      <c r="G14" s="56">
        <v>45810.0</v>
      </c>
      <c r="H14" s="56">
        <v>45811.0</v>
      </c>
      <c r="I14" s="54"/>
      <c r="J14" s="57"/>
      <c r="K14" s="9"/>
      <c r="L14" s="9"/>
      <c r="M14" s="58"/>
      <c r="N14" s="59"/>
    </row>
    <row r="15" ht="22.5" customHeight="1">
      <c r="A15" s="53">
        <v>3.0</v>
      </c>
      <c r="B15" s="54" t="s">
        <v>69</v>
      </c>
      <c r="C15" s="55"/>
      <c r="D15" s="54" t="s">
        <v>83</v>
      </c>
      <c r="E15" s="56">
        <v>43891.0</v>
      </c>
      <c r="F15" s="56">
        <v>45809.0</v>
      </c>
      <c r="G15" s="56">
        <v>45810.0</v>
      </c>
      <c r="H15" s="56">
        <v>45811.0</v>
      </c>
      <c r="I15" s="54"/>
      <c r="J15" s="57"/>
      <c r="K15" s="9"/>
      <c r="L15" s="9"/>
      <c r="M15" s="58"/>
      <c r="N15" s="59"/>
    </row>
    <row r="16" ht="22.5" customHeight="1">
      <c r="A16" s="53">
        <v>3.0</v>
      </c>
      <c r="B16" s="54" t="s">
        <v>69</v>
      </c>
      <c r="C16" s="55"/>
      <c r="D16" s="54" t="s">
        <v>84</v>
      </c>
      <c r="E16" s="56">
        <v>43891.0</v>
      </c>
      <c r="F16" s="56">
        <v>45809.0</v>
      </c>
      <c r="G16" s="56">
        <v>45810.0</v>
      </c>
      <c r="H16" s="56">
        <v>45811.0</v>
      </c>
      <c r="I16" s="54"/>
      <c r="J16" s="57"/>
      <c r="K16" s="9"/>
      <c r="L16" s="9"/>
      <c r="M16" s="58"/>
      <c r="N16" s="59"/>
    </row>
    <row r="17" ht="22.5" customHeight="1">
      <c r="A17" s="53">
        <v>4.0</v>
      </c>
      <c r="B17" s="54" t="s">
        <v>85</v>
      </c>
      <c r="C17" s="54" t="s">
        <v>86</v>
      </c>
      <c r="D17" s="54" t="s">
        <v>86</v>
      </c>
      <c r="E17" s="56">
        <v>45904.0</v>
      </c>
      <c r="F17" s="56">
        <v>45905.0</v>
      </c>
      <c r="G17" s="56">
        <v>45906.0</v>
      </c>
      <c r="H17" s="56">
        <v>45907.0</v>
      </c>
      <c r="I17" s="54"/>
      <c r="J17" s="57"/>
      <c r="K17" s="9"/>
      <c r="L17" s="9"/>
      <c r="M17" s="58"/>
      <c r="N17" s="59"/>
    </row>
    <row r="18" ht="22.5" customHeight="1">
      <c r="A18" s="53">
        <v>4.0</v>
      </c>
      <c r="B18" s="54" t="s">
        <v>85</v>
      </c>
      <c r="C18" s="54" t="s">
        <v>87</v>
      </c>
      <c r="D18" s="54" t="s">
        <v>87</v>
      </c>
      <c r="E18" s="56">
        <v>45904.0</v>
      </c>
      <c r="F18" s="56">
        <v>45905.0</v>
      </c>
      <c r="G18" s="56">
        <v>45906.0</v>
      </c>
      <c r="H18" s="56">
        <v>45907.0</v>
      </c>
      <c r="I18" s="54"/>
      <c r="J18" s="57"/>
      <c r="K18" s="9"/>
      <c r="L18" s="9"/>
      <c r="M18" s="58"/>
      <c r="N18" s="59"/>
    </row>
    <row r="19" ht="22.5" customHeight="1">
      <c r="A19" s="53">
        <v>4.0</v>
      </c>
      <c r="B19" s="54" t="s">
        <v>85</v>
      </c>
      <c r="C19" s="54" t="s">
        <v>88</v>
      </c>
      <c r="D19" s="54" t="s">
        <v>88</v>
      </c>
      <c r="E19" s="56">
        <v>45904.0</v>
      </c>
      <c r="F19" s="56">
        <v>45905.0</v>
      </c>
      <c r="G19" s="56">
        <v>45906.0</v>
      </c>
      <c r="H19" s="56">
        <v>45907.0</v>
      </c>
      <c r="I19" s="54"/>
      <c r="J19" s="57"/>
      <c r="K19" s="9"/>
      <c r="L19" s="9"/>
      <c r="M19" s="58"/>
      <c r="N19" s="59"/>
    </row>
    <row r="20" ht="22.5" customHeight="1">
      <c r="A20" s="53">
        <v>4.0</v>
      </c>
      <c r="B20" s="54" t="s">
        <v>85</v>
      </c>
      <c r="C20" s="54" t="s">
        <v>89</v>
      </c>
      <c r="D20" s="54" t="s">
        <v>89</v>
      </c>
      <c r="E20" s="56">
        <v>45904.0</v>
      </c>
      <c r="F20" s="56">
        <v>45905.0</v>
      </c>
      <c r="G20" s="56">
        <v>45906.0</v>
      </c>
      <c r="H20" s="56">
        <v>45907.0</v>
      </c>
      <c r="I20" s="54"/>
      <c r="J20" s="57"/>
      <c r="K20" s="9"/>
      <c r="L20" s="9"/>
      <c r="M20" s="58"/>
      <c r="N20" s="59"/>
    </row>
    <row r="21" ht="22.5" customHeight="1">
      <c r="A21" s="53">
        <v>4.0</v>
      </c>
      <c r="B21" s="54" t="s">
        <v>85</v>
      </c>
      <c r="C21" s="54" t="s">
        <v>90</v>
      </c>
      <c r="D21" s="54" t="s">
        <v>90</v>
      </c>
      <c r="E21" s="56">
        <v>45904.0</v>
      </c>
      <c r="F21" s="56">
        <v>45905.0</v>
      </c>
      <c r="G21" s="56">
        <v>45906.0</v>
      </c>
      <c r="H21" s="56">
        <v>45907.0</v>
      </c>
      <c r="I21" s="54"/>
      <c r="J21" s="57"/>
      <c r="K21" s="9"/>
      <c r="L21" s="9"/>
      <c r="M21" s="58"/>
      <c r="N21" s="59"/>
    </row>
    <row r="22" ht="22.5" customHeight="1">
      <c r="A22" s="53">
        <v>4.0</v>
      </c>
      <c r="B22" s="54" t="s">
        <v>85</v>
      </c>
      <c r="C22" s="54" t="s">
        <v>91</v>
      </c>
      <c r="D22" s="54" t="s">
        <v>91</v>
      </c>
      <c r="E22" s="56">
        <v>45904.0</v>
      </c>
      <c r="F22" s="56">
        <v>45905.0</v>
      </c>
      <c r="G22" s="56">
        <v>45906.0</v>
      </c>
      <c r="H22" s="56">
        <v>45907.0</v>
      </c>
      <c r="I22" s="54"/>
      <c r="J22" s="57"/>
      <c r="K22" s="9"/>
      <c r="L22" s="9"/>
      <c r="M22" s="58"/>
      <c r="N22" s="59"/>
    </row>
    <row r="23" ht="22.5" customHeight="1">
      <c r="A23" s="53">
        <v>4.0</v>
      </c>
      <c r="B23" s="54" t="s">
        <v>85</v>
      </c>
      <c r="C23" s="54" t="s">
        <v>92</v>
      </c>
      <c r="D23" s="54" t="s">
        <v>92</v>
      </c>
      <c r="E23" s="56">
        <v>45904.0</v>
      </c>
      <c r="F23" s="56">
        <v>45905.0</v>
      </c>
      <c r="G23" s="56">
        <v>45906.0</v>
      </c>
      <c r="H23" s="56">
        <v>45907.0</v>
      </c>
      <c r="I23" s="54"/>
      <c r="J23" s="57"/>
      <c r="K23" s="9"/>
      <c r="L23" s="9"/>
      <c r="M23" s="58"/>
      <c r="N23" s="59"/>
    </row>
    <row r="24" ht="22.5" customHeight="1">
      <c r="A24" s="53">
        <v>4.0</v>
      </c>
      <c r="B24" s="54" t="s">
        <v>85</v>
      </c>
      <c r="C24" s="54" t="s">
        <v>93</v>
      </c>
      <c r="D24" s="54" t="s">
        <v>93</v>
      </c>
      <c r="E24" s="56">
        <v>45904.0</v>
      </c>
      <c r="F24" s="56">
        <v>45905.0</v>
      </c>
      <c r="G24" s="56">
        <v>45906.0</v>
      </c>
      <c r="H24" s="56">
        <v>45907.0</v>
      </c>
      <c r="I24" s="54"/>
      <c r="J24" s="57"/>
      <c r="K24" s="9"/>
      <c r="L24" s="9"/>
      <c r="M24" s="58"/>
      <c r="N24" s="59"/>
    </row>
    <row r="25" ht="22.5" customHeight="1">
      <c r="A25" s="53">
        <v>4.0</v>
      </c>
      <c r="B25" s="54" t="s">
        <v>85</v>
      </c>
      <c r="C25" s="54" t="s">
        <v>94</v>
      </c>
      <c r="D25" s="54" t="s">
        <v>94</v>
      </c>
      <c r="E25" s="56">
        <v>45904.0</v>
      </c>
      <c r="F25" s="56">
        <v>45905.0</v>
      </c>
      <c r="G25" s="56">
        <v>45906.0</v>
      </c>
      <c r="H25" s="56">
        <v>45907.0</v>
      </c>
      <c r="I25" s="54"/>
      <c r="J25" s="57"/>
      <c r="K25" s="9"/>
      <c r="L25" s="9"/>
      <c r="M25" s="58"/>
      <c r="N25" s="59"/>
    </row>
    <row r="26" ht="22.5" customHeight="1">
      <c r="A26" s="53">
        <v>4.0</v>
      </c>
      <c r="B26" s="54" t="s">
        <v>85</v>
      </c>
      <c r="C26" s="54" t="s">
        <v>95</v>
      </c>
      <c r="D26" s="54" t="s">
        <v>95</v>
      </c>
      <c r="E26" s="56">
        <v>45904.0</v>
      </c>
      <c r="F26" s="56">
        <v>45905.0</v>
      </c>
      <c r="G26" s="56">
        <v>45906.0</v>
      </c>
      <c r="H26" s="56">
        <v>45907.0</v>
      </c>
      <c r="I26" s="54"/>
      <c r="J26" s="57"/>
      <c r="K26" s="9"/>
      <c r="L26" s="9"/>
      <c r="M26" s="58"/>
      <c r="N26" s="59"/>
    </row>
    <row r="27" ht="22.5" customHeight="1">
      <c r="A27" s="53">
        <v>4.0</v>
      </c>
      <c r="B27" s="54" t="s">
        <v>85</v>
      </c>
      <c r="C27" s="54" t="s">
        <v>96</v>
      </c>
      <c r="D27" s="54" t="s">
        <v>96</v>
      </c>
      <c r="E27" s="56">
        <v>45904.0</v>
      </c>
      <c r="F27" s="56">
        <v>45905.0</v>
      </c>
      <c r="G27" s="56">
        <v>45907.0</v>
      </c>
      <c r="H27" s="56">
        <v>45908.0</v>
      </c>
      <c r="I27" s="54"/>
      <c r="J27" s="57"/>
      <c r="K27" s="9"/>
      <c r="L27" s="9"/>
      <c r="M27" s="58"/>
      <c r="N27" s="59"/>
    </row>
    <row r="28" ht="22.5" customHeight="1">
      <c r="A28" s="53">
        <v>4.0</v>
      </c>
      <c r="B28" s="54" t="s">
        <v>85</v>
      </c>
      <c r="C28" s="54" t="s">
        <v>97</v>
      </c>
      <c r="D28" s="54" t="s">
        <v>97</v>
      </c>
      <c r="E28" s="56">
        <v>45904.0</v>
      </c>
      <c r="F28" s="56">
        <v>45905.0</v>
      </c>
      <c r="G28" s="56">
        <v>45907.0</v>
      </c>
      <c r="H28" s="56">
        <v>45908.0</v>
      </c>
      <c r="I28" s="54"/>
      <c r="J28" s="57"/>
      <c r="K28" s="9"/>
      <c r="L28" s="9"/>
      <c r="M28" s="58"/>
      <c r="N28" s="59"/>
    </row>
    <row r="29" ht="22.5" customHeight="1">
      <c r="A29" s="53">
        <v>4.0</v>
      </c>
      <c r="B29" s="54" t="s">
        <v>85</v>
      </c>
      <c r="C29" s="54" t="s">
        <v>98</v>
      </c>
      <c r="D29" s="54" t="s">
        <v>98</v>
      </c>
      <c r="E29" s="56">
        <v>45904.0</v>
      </c>
      <c r="F29" s="56">
        <v>45905.0</v>
      </c>
      <c r="G29" s="56">
        <v>45907.0</v>
      </c>
      <c r="H29" s="56">
        <v>45908.0</v>
      </c>
      <c r="I29" s="54"/>
      <c r="J29" s="57"/>
      <c r="K29" s="9"/>
      <c r="L29" s="9"/>
      <c r="M29" s="58"/>
      <c r="N29" s="59"/>
    </row>
    <row r="30" ht="22.5" customHeight="1">
      <c r="A30" s="53">
        <v>4.0</v>
      </c>
      <c r="B30" s="54" t="s">
        <v>85</v>
      </c>
      <c r="C30" s="54" t="s">
        <v>99</v>
      </c>
      <c r="D30" s="54" t="s">
        <v>99</v>
      </c>
      <c r="E30" s="56">
        <v>45904.0</v>
      </c>
      <c r="F30" s="56">
        <v>45905.0</v>
      </c>
      <c r="G30" s="56">
        <v>45907.0</v>
      </c>
      <c r="H30" s="56">
        <v>45908.0</v>
      </c>
      <c r="I30" s="54"/>
      <c r="J30" s="57"/>
      <c r="K30" s="9"/>
      <c r="L30" s="9"/>
      <c r="M30" s="58"/>
      <c r="N30" s="59"/>
    </row>
    <row r="31" ht="22.5" customHeight="1">
      <c r="A31" s="53">
        <v>4.0</v>
      </c>
      <c r="B31" s="54" t="s">
        <v>85</v>
      </c>
      <c r="C31" s="54" t="s">
        <v>100</v>
      </c>
      <c r="D31" s="54" t="s">
        <v>100</v>
      </c>
      <c r="E31" s="56">
        <v>45904.0</v>
      </c>
      <c r="F31" s="56">
        <v>45905.0</v>
      </c>
      <c r="G31" s="56">
        <v>45907.0</v>
      </c>
      <c r="H31" s="56">
        <v>45908.0</v>
      </c>
      <c r="I31" s="54"/>
      <c r="J31" s="57"/>
      <c r="K31" s="9"/>
      <c r="L31" s="9"/>
      <c r="M31" s="58"/>
      <c r="N31" s="59"/>
    </row>
    <row r="32" ht="22.5" customHeight="1">
      <c r="A32" s="53">
        <v>4.0</v>
      </c>
      <c r="B32" s="54" t="s">
        <v>85</v>
      </c>
      <c r="C32" s="54" t="s">
        <v>101</v>
      </c>
      <c r="D32" s="54" t="s">
        <v>101</v>
      </c>
      <c r="E32" s="56">
        <v>45904.0</v>
      </c>
      <c r="F32" s="56">
        <v>45905.0</v>
      </c>
      <c r="G32" s="56">
        <v>45907.0</v>
      </c>
      <c r="H32" s="56">
        <v>45908.0</v>
      </c>
      <c r="I32" s="54"/>
      <c r="J32" s="57"/>
      <c r="K32" s="9"/>
      <c r="L32" s="9"/>
      <c r="M32" s="58"/>
      <c r="N32" s="59"/>
    </row>
    <row r="33" ht="22.5" customHeight="1">
      <c r="A33" s="53">
        <v>4.0</v>
      </c>
      <c r="B33" s="54" t="s">
        <v>85</v>
      </c>
      <c r="C33" s="54" t="s">
        <v>102</v>
      </c>
      <c r="D33" s="54" t="s">
        <v>102</v>
      </c>
      <c r="E33" s="56">
        <v>45904.0</v>
      </c>
      <c r="F33" s="56">
        <v>45905.0</v>
      </c>
      <c r="G33" s="56">
        <v>45907.0</v>
      </c>
      <c r="H33" s="56">
        <v>45908.0</v>
      </c>
      <c r="I33" s="54"/>
      <c r="J33" s="57"/>
      <c r="K33" s="9"/>
      <c r="L33" s="9"/>
      <c r="M33" s="58"/>
      <c r="N33" s="59"/>
    </row>
    <row r="34" ht="22.5" customHeight="1">
      <c r="A34" s="53">
        <v>5.0</v>
      </c>
      <c r="B34" s="54" t="s">
        <v>103</v>
      </c>
      <c r="C34" s="55"/>
      <c r="D34" s="54" t="s">
        <v>104</v>
      </c>
      <c r="E34" s="56">
        <v>45906.0</v>
      </c>
      <c r="F34" s="56">
        <v>45907.0</v>
      </c>
      <c r="G34" s="56">
        <v>45908.0</v>
      </c>
      <c r="H34" s="56">
        <v>45909.0</v>
      </c>
      <c r="I34" s="54"/>
      <c r="J34" s="57"/>
      <c r="K34" s="9"/>
      <c r="L34" s="9"/>
      <c r="M34" s="58"/>
      <c r="N34" s="59"/>
    </row>
    <row r="35" ht="22.5" customHeight="1">
      <c r="A35" s="53">
        <v>5.0</v>
      </c>
      <c r="B35" s="54" t="s">
        <v>103</v>
      </c>
      <c r="C35" s="55"/>
      <c r="D35" s="54" t="s">
        <v>105</v>
      </c>
      <c r="E35" s="56">
        <v>45906.0</v>
      </c>
      <c r="F35" s="56">
        <v>45907.0</v>
      </c>
      <c r="G35" s="56">
        <v>45908.0</v>
      </c>
      <c r="H35" s="56">
        <v>45909.0</v>
      </c>
      <c r="I35" s="54"/>
      <c r="J35" s="57"/>
      <c r="K35" s="9"/>
      <c r="L35" s="9"/>
      <c r="M35" s="58"/>
      <c r="N35" s="59"/>
    </row>
    <row r="36" ht="22.5" customHeight="1">
      <c r="A36" s="53">
        <v>5.0</v>
      </c>
      <c r="B36" s="54" t="s">
        <v>103</v>
      </c>
      <c r="C36" s="55"/>
      <c r="D36" s="54" t="s">
        <v>106</v>
      </c>
      <c r="E36" s="56">
        <v>45906.0</v>
      </c>
      <c r="F36" s="56">
        <v>45907.0</v>
      </c>
      <c r="G36" s="56">
        <v>45908.0</v>
      </c>
      <c r="H36" s="56">
        <v>45909.0</v>
      </c>
      <c r="I36" s="54"/>
      <c r="J36" s="57"/>
      <c r="K36" s="9"/>
      <c r="L36" s="9"/>
      <c r="M36" s="58"/>
      <c r="N36" s="59"/>
    </row>
    <row r="37" ht="22.5" customHeight="1">
      <c r="A37" s="53">
        <v>5.0</v>
      </c>
      <c r="B37" s="54" t="s">
        <v>103</v>
      </c>
      <c r="C37" s="55"/>
      <c r="D37" s="54" t="s">
        <v>107</v>
      </c>
      <c r="E37" s="56">
        <v>45906.0</v>
      </c>
      <c r="F37" s="56">
        <v>45907.0</v>
      </c>
      <c r="G37" s="56">
        <v>45908.0</v>
      </c>
      <c r="H37" s="56">
        <v>45909.0</v>
      </c>
      <c r="I37" s="54"/>
      <c r="J37" s="57"/>
      <c r="K37" s="9"/>
      <c r="L37" s="9"/>
      <c r="M37" s="58"/>
      <c r="N37" s="59"/>
    </row>
    <row r="38" ht="22.5" customHeight="1">
      <c r="A38" s="53">
        <v>5.0</v>
      </c>
      <c r="B38" s="54" t="s">
        <v>103</v>
      </c>
      <c r="C38" s="55"/>
      <c r="D38" s="54" t="s">
        <v>108</v>
      </c>
      <c r="E38" s="56">
        <v>45906.0</v>
      </c>
      <c r="F38" s="56">
        <v>45907.0</v>
      </c>
      <c r="G38" s="56">
        <v>45908.0</v>
      </c>
      <c r="H38" s="56">
        <v>45909.0</v>
      </c>
      <c r="I38" s="54"/>
      <c r="J38" s="57"/>
      <c r="K38" s="9"/>
      <c r="L38" s="9"/>
      <c r="M38" s="58"/>
      <c r="N38" s="59"/>
    </row>
    <row r="39" ht="22.5" customHeight="1">
      <c r="A39" s="53">
        <v>5.0</v>
      </c>
      <c r="B39" s="54" t="s">
        <v>103</v>
      </c>
      <c r="C39" s="55"/>
      <c r="D39" s="54" t="s">
        <v>109</v>
      </c>
      <c r="E39" s="56">
        <v>45906.0</v>
      </c>
      <c r="F39" s="56">
        <v>45907.0</v>
      </c>
      <c r="G39" s="56">
        <v>45908.0</v>
      </c>
      <c r="H39" s="56">
        <v>45909.0</v>
      </c>
      <c r="I39" s="54"/>
      <c r="J39" s="57"/>
      <c r="K39" s="9"/>
      <c r="L39" s="9"/>
      <c r="M39" s="58"/>
      <c r="N39" s="59"/>
    </row>
    <row r="40" ht="22.5" customHeight="1">
      <c r="A40" s="53">
        <v>5.0</v>
      </c>
      <c r="B40" s="54" t="s">
        <v>103</v>
      </c>
      <c r="C40" s="55"/>
      <c r="D40" s="54" t="s">
        <v>110</v>
      </c>
      <c r="E40" s="56">
        <v>45906.0</v>
      </c>
      <c r="F40" s="56">
        <v>45907.0</v>
      </c>
      <c r="G40" s="56">
        <v>45908.0</v>
      </c>
      <c r="H40" s="56">
        <v>45909.0</v>
      </c>
      <c r="I40" s="54"/>
      <c r="J40" s="57"/>
      <c r="K40" s="9"/>
      <c r="L40" s="9"/>
      <c r="M40" s="58"/>
      <c r="N40" s="59"/>
    </row>
    <row r="41" ht="22.5" customHeight="1">
      <c r="A41" s="53">
        <v>5.0</v>
      </c>
      <c r="B41" s="54" t="s">
        <v>103</v>
      </c>
      <c r="C41" s="55"/>
      <c r="D41" s="54" t="s">
        <v>111</v>
      </c>
      <c r="E41" s="56">
        <v>45906.0</v>
      </c>
      <c r="F41" s="56">
        <v>45907.0</v>
      </c>
      <c r="G41" s="56">
        <v>45908.0</v>
      </c>
      <c r="H41" s="56">
        <v>45909.0</v>
      </c>
      <c r="I41" s="54"/>
      <c r="J41" s="57"/>
      <c r="K41" s="9"/>
      <c r="L41" s="9"/>
      <c r="M41" s="58"/>
      <c r="N41" s="59"/>
    </row>
    <row r="42" ht="22.5" customHeight="1">
      <c r="A42" s="53">
        <v>5.0</v>
      </c>
      <c r="B42" s="54" t="s">
        <v>103</v>
      </c>
      <c r="C42" s="55"/>
      <c r="D42" s="54" t="s">
        <v>112</v>
      </c>
      <c r="E42" s="56">
        <v>45906.0</v>
      </c>
      <c r="F42" s="56">
        <v>45907.0</v>
      </c>
      <c r="G42" s="56">
        <v>45908.0</v>
      </c>
      <c r="H42" s="56">
        <v>45909.0</v>
      </c>
      <c r="I42" s="54"/>
      <c r="J42" s="57"/>
      <c r="K42" s="9"/>
      <c r="L42" s="9"/>
      <c r="M42" s="58"/>
      <c r="N42" s="59"/>
    </row>
    <row r="43" ht="22.5" customHeight="1">
      <c r="A43" s="53">
        <v>5.0</v>
      </c>
      <c r="B43" s="54" t="s">
        <v>103</v>
      </c>
      <c r="C43" s="55"/>
      <c r="D43" s="54" t="s">
        <v>113</v>
      </c>
      <c r="E43" s="56">
        <v>45906.0</v>
      </c>
      <c r="F43" s="56">
        <v>45907.0</v>
      </c>
      <c r="G43" s="56">
        <v>45908.0</v>
      </c>
      <c r="H43" s="56">
        <v>45909.0</v>
      </c>
      <c r="I43" s="54"/>
      <c r="J43" s="57"/>
      <c r="K43" s="9"/>
      <c r="L43" s="9"/>
      <c r="M43" s="58"/>
      <c r="N43" s="59"/>
    </row>
    <row r="44" ht="22.5" customHeight="1">
      <c r="A44" s="53">
        <v>5.0</v>
      </c>
      <c r="B44" s="54" t="s">
        <v>103</v>
      </c>
      <c r="C44" s="55"/>
      <c r="D44" s="54" t="s">
        <v>114</v>
      </c>
      <c r="E44" s="56">
        <v>45906.0</v>
      </c>
      <c r="F44" s="56">
        <v>45907.0</v>
      </c>
      <c r="G44" s="56">
        <v>45909.0</v>
      </c>
      <c r="H44" s="56">
        <v>45910.0</v>
      </c>
      <c r="I44" s="54"/>
      <c r="J44" s="57"/>
      <c r="K44" s="9"/>
      <c r="L44" s="9"/>
      <c r="M44" s="58"/>
      <c r="N44" s="59"/>
    </row>
    <row r="45" ht="22.5" customHeight="1">
      <c r="A45" s="53">
        <v>5.0</v>
      </c>
      <c r="B45" s="54" t="s">
        <v>103</v>
      </c>
      <c r="C45" s="55"/>
      <c r="D45" s="54" t="s">
        <v>115</v>
      </c>
      <c r="E45" s="56">
        <v>45906.0</v>
      </c>
      <c r="F45" s="56">
        <v>45907.0</v>
      </c>
      <c r="G45" s="56">
        <v>45909.0</v>
      </c>
      <c r="H45" s="56">
        <v>45910.0</v>
      </c>
      <c r="I45" s="54"/>
      <c r="J45" s="57"/>
      <c r="K45" s="9"/>
      <c r="L45" s="9"/>
      <c r="M45" s="58"/>
      <c r="N45" s="59"/>
    </row>
    <row r="46" ht="22.5" customHeight="1">
      <c r="A46" s="53">
        <v>5.0</v>
      </c>
      <c r="B46" s="54" t="s">
        <v>103</v>
      </c>
      <c r="C46" s="55"/>
      <c r="D46" s="54" t="s">
        <v>116</v>
      </c>
      <c r="E46" s="56">
        <v>45906.0</v>
      </c>
      <c r="F46" s="56">
        <v>45907.0</v>
      </c>
      <c r="G46" s="56">
        <v>45909.0</v>
      </c>
      <c r="H46" s="56">
        <v>45910.0</v>
      </c>
      <c r="I46" s="54"/>
      <c r="J46" s="57"/>
      <c r="K46" s="9"/>
      <c r="L46" s="9"/>
      <c r="M46" s="58"/>
      <c r="N46" s="59"/>
    </row>
    <row r="47" ht="22.5" customHeight="1">
      <c r="A47" s="53">
        <v>5.0</v>
      </c>
      <c r="B47" s="54" t="s">
        <v>103</v>
      </c>
      <c r="C47" s="55"/>
      <c r="D47" s="54" t="s">
        <v>117</v>
      </c>
      <c r="E47" s="56">
        <v>45906.0</v>
      </c>
      <c r="F47" s="56">
        <v>45907.0</v>
      </c>
      <c r="G47" s="56">
        <v>45909.0</v>
      </c>
      <c r="H47" s="56">
        <v>45910.0</v>
      </c>
      <c r="I47" s="54"/>
      <c r="J47" s="57"/>
      <c r="K47" s="9"/>
      <c r="L47" s="9"/>
      <c r="M47" s="58"/>
      <c r="N47" s="59"/>
    </row>
    <row r="48" ht="22.5" customHeight="1">
      <c r="A48" s="53">
        <v>5.0</v>
      </c>
      <c r="B48" s="54" t="s">
        <v>103</v>
      </c>
      <c r="C48" s="55"/>
      <c r="D48" s="54" t="s">
        <v>118</v>
      </c>
      <c r="E48" s="56">
        <v>45906.0</v>
      </c>
      <c r="F48" s="56">
        <v>45907.0</v>
      </c>
      <c r="G48" s="56">
        <v>45909.0</v>
      </c>
      <c r="H48" s="56">
        <v>45910.0</v>
      </c>
      <c r="I48" s="54"/>
      <c r="J48" s="57"/>
      <c r="K48" s="9"/>
      <c r="L48" s="9"/>
      <c r="M48" s="58"/>
      <c r="N48" s="59"/>
    </row>
    <row r="49" ht="22.5" customHeight="1">
      <c r="A49" s="53">
        <v>5.0</v>
      </c>
      <c r="B49" s="54" t="s">
        <v>103</v>
      </c>
      <c r="C49" s="55"/>
      <c r="D49" s="54" t="s">
        <v>119</v>
      </c>
      <c r="E49" s="56">
        <v>45906.0</v>
      </c>
      <c r="F49" s="56">
        <v>45907.0</v>
      </c>
      <c r="G49" s="56">
        <v>45909.0</v>
      </c>
      <c r="H49" s="56">
        <v>45910.0</v>
      </c>
      <c r="I49" s="54"/>
      <c r="J49" s="57"/>
      <c r="K49" s="9"/>
      <c r="L49" s="9"/>
      <c r="M49" s="58"/>
      <c r="N49" s="59"/>
    </row>
    <row r="50" ht="22.5" customHeight="1">
      <c r="A50" s="53">
        <v>5.0</v>
      </c>
      <c r="B50" s="54" t="s">
        <v>103</v>
      </c>
      <c r="C50" s="55"/>
      <c r="D50" s="54" t="s">
        <v>120</v>
      </c>
      <c r="E50" s="56">
        <v>45906.0</v>
      </c>
      <c r="F50" s="56">
        <v>45907.0</v>
      </c>
      <c r="G50" s="56">
        <v>45909.0</v>
      </c>
      <c r="H50" s="56">
        <v>45910.0</v>
      </c>
      <c r="I50" s="54"/>
      <c r="J50" s="57"/>
      <c r="K50" s="9"/>
      <c r="L50" s="9"/>
      <c r="M50" s="58"/>
      <c r="N50" s="59"/>
    </row>
    <row r="51" ht="22.5" customHeight="1">
      <c r="A51" s="53">
        <v>5.0</v>
      </c>
      <c r="B51" s="54" t="s">
        <v>103</v>
      </c>
      <c r="C51" s="55"/>
      <c r="D51" s="54" t="s">
        <v>121</v>
      </c>
      <c r="E51" s="56">
        <v>45906.0</v>
      </c>
      <c r="F51" s="56">
        <v>45907.0</v>
      </c>
      <c r="G51" s="56">
        <v>45909.0</v>
      </c>
      <c r="H51" s="56">
        <v>45910.0</v>
      </c>
      <c r="I51" s="54"/>
      <c r="J51" s="57"/>
      <c r="K51" s="9"/>
      <c r="L51" s="9"/>
      <c r="M51" s="58"/>
      <c r="N51" s="59"/>
    </row>
    <row r="52" ht="22.5" customHeight="1">
      <c r="A52" s="53">
        <v>5.0</v>
      </c>
      <c r="B52" s="54" t="s">
        <v>103</v>
      </c>
      <c r="C52" s="55"/>
      <c r="D52" s="54" t="s">
        <v>122</v>
      </c>
      <c r="E52" s="56">
        <v>45906.0</v>
      </c>
      <c r="F52" s="56">
        <v>45907.0</v>
      </c>
      <c r="G52" s="56">
        <v>45909.0</v>
      </c>
      <c r="H52" s="56">
        <v>45910.0</v>
      </c>
      <c r="I52" s="54"/>
      <c r="J52" s="57"/>
      <c r="K52" s="9"/>
      <c r="L52" s="9"/>
      <c r="M52" s="58"/>
      <c r="N52" s="59"/>
    </row>
    <row r="53" ht="22.5" customHeight="1">
      <c r="A53" s="53">
        <v>5.0</v>
      </c>
      <c r="B53" s="54" t="s">
        <v>103</v>
      </c>
      <c r="C53" s="55"/>
      <c r="D53" s="54" t="s">
        <v>123</v>
      </c>
      <c r="E53" s="56">
        <v>45906.0</v>
      </c>
      <c r="F53" s="56">
        <v>45907.0</v>
      </c>
      <c r="G53" s="56">
        <v>45909.0</v>
      </c>
      <c r="H53" s="56">
        <v>45910.0</v>
      </c>
      <c r="I53" s="54"/>
      <c r="J53" s="57"/>
      <c r="K53" s="9"/>
      <c r="L53" s="9"/>
      <c r="M53" s="58"/>
      <c r="N53" s="59"/>
    </row>
    <row r="54" ht="22.5" customHeight="1">
      <c r="A54" s="53">
        <v>5.0</v>
      </c>
      <c r="B54" s="54" t="s">
        <v>103</v>
      </c>
      <c r="C54" s="55"/>
      <c r="D54" s="54" t="s">
        <v>124</v>
      </c>
      <c r="E54" s="56">
        <v>45906.0</v>
      </c>
      <c r="F54" s="56">
        <v>45907.0</v>
      </c>
      <c r="G54" s="56">
        <v>45909.0</v>
      </c>
      <c r="H54" s="56">
        <v>45910.0</v>
      </c>
      <c r="I54" s="54"/>
      <c r="J54" s="57"/>
      <c r="K54" s="9"/>
      <c r="L54" s="9"/>
      <c r="M54" s="58"/>
      <c r="N54" s="59"/>
    </row>
    <row r="55" ht="22.5" customHeight="1">
      <c r="A55" s="53">
        <v>5.0</v>
      </c>
      <c r="B55" s="54" t="s">
        <v>103</v>
      </c>
      <c r="C55" s="55"/>
      <c r="D55" s="54" t="s">
        <v>125</v>
      </c>
      <c r="E55" s="56">
        <v>45906.0</v>
      </c>
      <c r="F55" s="56">
        <v>45907.0</v>
      </c>
      <c r="G55" s="56">
        <v>45910.0</v>
      </c>
      <c r="H55" s="56">
        <v>45911.0</v>
      </c>
      <c r="I55" s="54"/>
      <c r="J55" s="57"/>
      <c r="K55" s="9"/>
      <c r="L55" s="9"/>
      <c r="M55" s="58"/>
      <c r="N55" s="59"/>
    </row>
    <row r="56" ht="22.5" customHeight="1">
      <c r="A56" s="53">
        <v>5.0</v>
      </c>
      <c r="B56" s="54" t="s">
        <v>103</v>
      </c>
      <c r="C56" s="55"/>
      <c r="D56" s="54" t="s">
        <v>126</v>
      </c>
      <c r="E56" s="56">
        <v>45906.0</v>
      </c>
      <c r="F56" s="56">
        <v>45907.0</v>
      </c>
      <c r="G56" s="56">
        <v>45910.0</v>
      </c>
      <c r="H56" s="56">
        <v>45911.0</v>
      </c>
      <c r="I56" s="54"/>
      <c r="J56" s="57"/>
      <c r="K56" s="9"/>
      <c r="L56" s="9"/>
      <c r="M56" s="58"/>
      <c r="N56" s="59"/>
    </row>
    <row r="57" ht="22.5" customHeight="1">
      <c r="A57" s="53">
        <v>5.0</v>
      </c>
      <c r="B57" s="54" t="s">
        <v>103</v>
      </c>
      <c r="C57" s="55"/>
      <c r="D57" s="54" t="s">
        <v>127</v>
      </c>
      <c r="E57" s="56">
        <v>45906.0</v>
      </c>
      <c r="F57" s="56">
        <v>45907.0</v>
      </c>
      <c r="G57" s="56">
        <v>45910.0</v>
      </c>
      <c r="H57" s="56">
        <v>45911.0</v>
      </c>
      <c r="I57" s="54"/>
      <c r="J57" s="57"/>
      <c r="K57" s="9"/>
      <c r="L57" s="9"/>
      <c r="M57" s="58"/>
      <c r="N57" s="59"/>
    </row>
    <row r="58" ht="22.5" customHeight="1">
      <c r="A58" s="53">
        <v>5.0</v>
      </c>
      <c r="B58" s="54" t="s">
        <v>103</v>
      </c>
      <c r="C58" s="55"/>
      <c r="D58" s="54" t="s">
        <v>128</v>
      </c>
      <c r="E58" s="56">
        <v>45906.0</v>
      </c>
      <c r="F58" s="56">
        <v>45907.0</v>
      </c>
      <c r="G58" s="56">
        <v>45910.0</v>
      </c>
      <c r="H58" s="56">
        <v>45911.0</v>
      </c>
      <c r="I58" s="54"/>
      <c r="J58" s="57"/>
      <c r="K58" s="9"/>
      <c r="L58" s="9"/>
      <c r="M58" s="58"/>
      <c r="N58" s="59"/>
    </row>
    <row r="59" ht="22.5" customHeight="1">
      <c r="A59" s="53">
        <v>5.0</v>
      </c>
      <c r="B59" s="54" t="s">
        <v>103</v>
      </c>
      <c r="C59" s="55"/>
      <c r="D59" s="54" t="s">
        <v>129</v>
      </c>
      <c r="E59" s="56">
        <v>45906.0</v>
      </c>
      <c r="F59" s="56">
        <v>45907.0</v>
      </c>
      <c r="G59" s="56">
        <v>45910.0</v>
      </c>
      <c r="H59" s="56">
        <v>45911.0</v>
      </c>
      <c r="I59" s="54"/>
      <c r="J59" s="57"/>
      <c r="K59" s="9"/>
      <c r="L59" s="9"/>
      <c r="M59" s="58"/>
      <c r="N59" s="59"/>
    </row>
    <row r="60" ht="22.5" customHeight="1">
      <c r="A60" s="53">
        <v>5.0</v>
      </c>
      <c r="B60" s="54" t="s">
        <v>103</v>
      </c>
      <c r="C60" s="55"/>
      <c r="D60" s="54" t="s">
        <v>130</v>
      </c>
      <c r="E60" s="56">
        <v>45906.0</v>
      </c>
      <c r="F60" s="56">
        <v>45907.0</v>
      </c>
      <c r="G60" s="56">
        <v>45910.0</v>
      </c>
      <c r="H60" s="56">
        <v>45911.0</v>
      </c>
      <c r="I60" s="54"/>
      <c r="J60" s="57"/>
      <c r="K60" s="9"/>
      <c r="L60" s="9"/>
      <c r="M60" s="58"/>
      <c r="N60" s="59"/>
    </row>
    <row r="61" ht="22.5" customHeight="1">
      <c r="A61" s="53">
        <v>5.0</v>
      </c>
      <c r="B61" s="54" t="s">
        <v>103</v>
      </c>
      <c r="C61" s="55"/>
      <c r="D61" s="54" t="s">
        <v>131</v>
      </c>
      <c r="E61" s="56">
        <v>45906.0</v>
      </c>
      <c r="F61" s="56">
        <v>45907.0</v>
      </c>
      <c r="G61" s="56">
        <v>45910.0</v>
      </c>
      <c r="H61" s="56">
        <v>45911.0</v>
      </c>
      <c r="I61" s="54"/>
      <c r="J61" s="57"/>
      <c r="K61" s="9"/>
      <c r="L61" s="9"/>
      <c r="M61" s="58"/>
      <c r="N61" s="59"/>
    </row>
    <row r="62" ht="22.5" customHeight="1">
      <c r="A62" s="53">
        <v>5.0</v>
      </c>
      <c r="B62" s="54" t="s">
        <v>103</v>
      </c>
      <c r="C62" s="55"/>
      <c r="D62" s="54" t="s">
        <v>132</v>
      </c>
      <c r="E62" s="56">
        <v>45906.0</v>
      </c>
      <c r="F62" s="56">
        <v>45907.0</v>
      </c>
      <c r="G62" s="56">
        <v>45910.0</v>
      </c>
      <c r="H62" s="56">
        <v>45911.0</v>
      </c>
      <c r="I62" s="54"/>
      <c r="J62" s="57"/>
      <c r="K62" s="9"/>
      <c r="L62" s="9"/>
      <c r="M62" s="58"/>
      <c r="N62" s="59"/>
    </row>
    <row r="63" ht="22.5" customHeight="1">
      <c r="A63" s="53">
        <v>5.0</v>
      </c>
      <c r="B63" s="54" t="s">
        <v>103</v>
      </c>
      <c r="C63" s="55"/>
      <c r="D63" s="54" t="s">
        <v>133</v>
      </c>
      <c r="E63" s="56">
        <v>45906.0</v>
      </c>
      <c r="F63" s="56">
        <v>45907.0</v>
      </c>
      <c r="G63" s="56">
        <v>45910.0</v>
      </c>
      <c r="H63" s="56">
        <v>45911.0</v>
      </c>
      <c r="I63" s="54"/>
      <c r="J63" s="57"/>
      <c r="K63" s="9"/>
      <c r="L63" s="9"/>
      <c r="M63" s="58"/>
      <c r="N63" s="59"/>
    </row>
    <row r="64" ht="22.5" customHeight="1">
      <c r="A64" s="53">
        <v>5.0</v>
      </c>
      <c r="B64" s="54" t="s">
        <v>103</v>
      </c>
      <c r="C64" s="55"/>
      <c r="D64" s="54" t="s">
        <v>134</v>
      </c>
      <c r="E64" s="56">
        <v>45906.0</v>
      </c>
      <c r="F64" s="56">
        <v>45907.0</v>
      </c>
      <c r="G64" s="56">
        <v>45910.0</v>
      </c>
      <c r="H64" s="56">
        <v>45911.0</v>
      </c>
      <c r="I64" s="54"/>
      <c r="J64" s="57"/>
      <c r="K64" s="9"/>
      <c r="L64" s="9"/>
      <c r="M64" s="58"/>
      <c r="N64" s="59"/>
    </row>
    <row r="65" ht="22.5" customHeight="1">
      <c r="A65" s="53">
        <v>5.0</v>
      </c>
      <c r="B65" s="54" t="s">
        <v>103</v>
      </c>
      <c r="C65" s="55"/>
      <c r="D65" s="54" t="s">
        <v>135</v>
      </c>
      <c r="E65" s="56">
        <v>45906.0</v>
      </c>
      <c r="F65" s="56">
        <v>45907.0</v>
      </c>
      <c r="G65" s="54"/>
      <c r="H65" s="54"/>
      <c r="I65" s="54"/>
      <c r="J65" s="57"/>
      <c r="K65" s="9"/>
      <c r="L65" s="9"/>
      <c r="M65" s="58"/>
      <c r="N65" s="59"/>
    </row>
    <row r="66" ht="22.5" customHeight="1">
      <c r="A66" s="53">
        <v>5.0</v>
      </c>
      <c r="B66" s="54" t="s">
        <v>103</v>
      </c>
      <c r="C66" s="55"/>
      <c r="D66" s="54" t="s">
        <v>136</v>
      </c>
      <c r="E66" s="56">
        <v>45906.0</v>
      </c>
      <c r="F66" s="56">
        <v>45907.0</v>
      </c>
      <c r="G66" s="54"/>
      <c r="H66" s="54"/>
      <c r="I66" s="54"/>
      <c r="J66" s="57"/>
      <c r="K66" s="9"/>
      <c r="L66" s="9"/>
      <c r="M66" s="58"/>
      <c r="N66" s="59"/>
    </row>
    <row r="67" ht="22.5" customHeight="1">
      <c r="A67" s="53">
        <v>5.0</v>
      </c>
      <c r="B67" s="54" t="s">
        <v>103</v>
      </c>
      <c r="C67" s="55"/>
      <c r="D67" s="54" t="s">
        <v>137</v>
      </c>
      <c r="E67" s="56">
        <v>45906.0</v>
      </c>
      <c r="F67" s="56">
        <v>45907.0</v>
      </c>
      <c r="G67" s="54"/>
      <c r="H67" s="54"/>
      <c r="I67" s="54"/>
      <c r="J67" s="57"/>
      <c r="K67" s="9"/>
      <c r="L67" s="9"/>
      <c r="M67" s="58"/>
      <c r="N67" s="59"/>
    </row>
    <row r="68" ht="22.5" customHeight="1">
      <c r="A68" s="53">
        <v>5.0</v>
      </c>
      <c r="B68" s="54" t="s">
        <v>103</v>
      </c>
      <c r="C68" s="55"/>
      <c r="D68" s="54" t="s">
        <v>138</v>
      </c>
      <c r="E68" s="56">
        <v>45906.0</v>
      </c>
      <c r="F68" s="56">
        <v>45907.0</v>
      </c>
      <c r="G68" s="54"/>
      <c r="H68" s="54"/>
      <c r="I68" s="54"/>
      <c r="J68" s="57"/>
      <c r="K68" s="9"/>
      <c r="L68" s="9"/>
      <c r="M68" s="58"/>
      <c r="N68" s="59"/>
    </row>
    <row r="69" ht="22.5" customHeight="1">
      <c r="A69" s="53">
        <v>5.0</v>
      </c>
      <c r="B69" s="54" t="s">
        <v>103</v>
      </c>
      <c r="C69" s="55"/>
      <c r="D69" s="54" t="s">
        <v>139</v>
      </c>
      <c r="E69" s="56">
        <v>45906.0</v>
      </c>
      <c r="F69" s="56">
        <v>45907.0</v>
      </c>
      <c r="G69" s="54"/>
      <c r="H69" s="54"/>
      <c r="I69" s="54"/>
      <c r="J69" s="57"/>
      <c r="K69" s="9"/>
      <c r="L69" s="9"/>
      <c r="M69" s="58"/>
      <c r="N69" s="59"/>
    </row>
    <row r="70" ht="22.5" customHeight="1">
      <c r="A70" s="53">
        <v>5.0</v>
      </c>
      <c r="B70" s="54" t="s">
        <v>103</v>
      </c>
      <c r="C70" s="55"/>
      <c r="D70" s="54" t="s">
        <v>140</v>
      </c>
      <c r="E70" s="56">
        <v>45906.0</v>
      </c>
      <c r="F70" s="56">
        <v>45907.0</v>
      </c>
      <c r="G70" s="54"/>
      <c r="H70" s="54"/>
      <c r="I70" s="54"/>
      <c r="J70" s="57"/>
      <c r="K70" s="9"/>
      <c r="L70" s="9"/>
      <c r="M70" s="58"/>
      <c r="N70" s="59"/>
    </row>
    <row r="71" ht="22.5" customHeight="1">
      <c r="A71" s="53">
        <v>5.0</v>
      </c>
      <c r="B71" s="54" t="s">
        <v>103</v>
      </c>
      <c r="C71" s="55"/>
      <c r="D71" s="54" t="s">
        <v>141</v>
      </c>
      <c r="E71" s="56">
        <v>45906.0</v>
      </c>
      <c r="F71" s="56">
        <v>45907.0</v>
      </c>
      <c r="G71" s="54"/>
      <c r="H71" s="54"/>
      <c r="I71" s="54"/>
      <c r="J71" s="57"/>
      <c r="K71" s="9"/>
      <c r="L71" s="9"/>
      <c r="M71" s="58"/>
      <c r="N71" s="59"/>
    </row>
    <row r="72" ht="22.5" customHeight="1">
      <c r="A72" s="53">
        <v>5.0</v>
      </c>
      <c r="B72" s="54" t="s">
        <v>103</v>
      </c>
      <c r="C72" s="55"/>
      <c r="D72" s="54" t="s">
        <v>142</v>
      </c>
      <c r="E72" s="56">
        <v>45906.0</v>
      </c>
      <c r="F72" s="56">
        <v>45907.0</v>
      </c>
      <c r="G72" s="54"/>
      <c r="H72" s="54"/>
      <c r="I72" s="54"/>
      <c r="J72" s="57"/>
      <c r="K72" s="9"/>
      <c r="L72" s="9"/>
      <c r="M72" s="58"/>
      <c r="N72" s="59"/>
    </row>
    <row r="73" ht="22.5" customHeight="1">
      <c r="A73" s="53">
        <v>5.0</v>
      </c>
      <c r="B73" s="54" t="s">
        <v>103</v>
      </c>
      <c r="C73" s="55"/>
      <c r="D73" s="54" t="s">
        <v>143</v>
      </c>
      <c r="E73" s="56">
        <v>45906.0</v>
      </c>
      <c r="F73" s="56">
        <v>45907.0</v>
      </c>
      <c r="G73" s="54"/>
      <c r="H73" s="54"/>
      <c r="I73" s="54"/>
      <c r="J73" s="57"/>
      <c r="K73" s="9"/>
      <c r="L73" s="9"/>
      <c r="M73" s="58"/>
      <c r="N73" s="59"/>
    </row>
    <row r="74" ht="22.5" customHeight="1">
      <c r="A74" s="53">
        <v>5.0</v>
      </c>
      <c r="B74" s="54" t="s">
        <v>103</v>
      </c>
      <c r="C74" s="55"/>
      <c r="D74" s="54" t="s">
        <v>144</v>
      </c>
      <c r="E74" s="56">
        <v>45906.0</v>
      </c>
      <c r="F74" s="56">
        <v>45907.0</v>
      </c>
      <c r="G74" s="54"/>
      <c r="H74" s="54"/>
      <c r="I74" s="54"/>
      <c r="J74" s="57"/>
      <c r="K74" s="9"/>
      <c r="L74" s="9"/>
      <c r="M74" s="58"/>
      <c r="N74" s="59"/>
    </row>
    <row r="75" ht="22.5" customHeight="1">
      <c r="A75" s="53">
        <v>5.0</v>
      </c>
      <c r="B75" s="54" t="s">
        <v>103</v>
      </c>
      <c r="C75" s="55"/>
      <c r="D75" s="54" t="s">
        <v>145</v>
      </c>
      <c r="E75" s="56">
        <v>45906.0</v>
      </c>
      <c r="F75" s="56">
        <v>45907.0</v>
      </c>
      <c r="G75" s="54"/>
      <c r="H75" s="54"/>
      <c r="I75" s="54"/>
      <c r="J75" s="57"/>
      <c r="K75" s="9"/>
      <c r="L75" s="9"/>
      <c r="M75" s="58"/>
      <c r="N75" s="59"/>
    </row>
    <row r="76" ht="22.5" customHeight="1">
      <c r="A76" s="53">
        <v>5.0</v>
      </c>
      <c r="B76" s="54" t="s">
        <v>103</v>
      </c>
      <c r="C76" s="55"/>
      <c r="D76" s="54" t="s">
        <v>146</v>
      </c>
      <c r="E76" s="56">
        <v>45906.0</v>
      </c>
      <c r="F76" s="56">
        <v>45907.0</v>
      </c>
      <c r="G76" s="54"/>
      <c r="H76" s="54"/>
      <c r="I76" s="54"/>
      <c r="J76" s="57"/>
      <c r="K76" s="9"/>
      <c r="L76" s="9"/>
      <c r="M76" s="58"/>
      <c r="N76" s="59"/>
    </row>
    <row r="77" ht="22.5" customHeight="1">
      <c r="A77" s="53">
        <v>5.0</v>
      </c>
      <c r="B77" s="54" t="s">
        <v>103</v>
      </c>
      <c r="C77" s="55"/>
      <c r="D77" s="54" t="s">
        <v>147</v>
      </c>
      <c r="E77" s="56">
        <v>45906.0</v>
      </c>
      <c r="F77" s="56">
        <v>45907.0</v>
      </c>
      <c r="G77" s="54"/>
      <c r="H77" s="54"/>
      <c r="I77" s="54"/>
      <c r="J77" s="57"/>
      <c r="K77" s="9"/>
      <c r="L77" s="9"/>
      <c r="M77" s="58"/>
      <c r="N77" s="59"/>
    </row>
    <row r="78" ht="22.5" customHeight="1">
      <c r="A78" s="53">
        <v>5.0</v>
      </c>
      <c r="B78" s="54" t="s">
        <v>103</v>
      </c>
      <c r="C78" s="55"/>
      <c r="D78" s="54" t="s">
        <v>148</v>
      </c>
      <c r="E78" s="56">
        <v>45906.0</v>
      </c>
      <c r="F78" s="56">
        <v>45907.0</v>
      </c>
      <c r="G78" s="54"/>
      <c r="H78" s="54"/>
      <c r="I78" s="54"/>
      <c r="J78" s="57"/>
      <c r="K78" s="9"/>
      <c r="L78" s="9"/>
      <c r="M78" s="58"/>
      <c r="N78" s="59"/>
    </row>
    <row r="79" ht="22.5" customHeight="1">
      <c r="A79" s="53">
        <v>5.0</v>
      </c>
      <c r="B79" s="54" t="s">
        <v>103</v>
      </c>
      <c r="C79" s="55"/>
      <c r="D79" s="54" t="s">
        <v>149</v>
      </c>
      <c r="E79" s="56">
        <v>45906.0</v>
      </c>
      <c r="F79" s="56">
        <v>45907.0</v>
      </c>
      <c r="G79" s="54"/>
      <c r="H79" s="54"/>
      <c r="I79" s="54"/>
      <c r="J79" s="57"/>
      <c r="K79" s="9"/>
      <c r="L79" s="9"/>
      <c r="M79" s="58"/>
      <c r="N79" s="59"/>
    </row>
    <row r="80" ht="22.5" customHeight="1">
      <c r="A80" s="53">
        <v>5.0</v>
      </c>
      <c r="B80" s="54" t="s">
        <v>103</v>
      </c>
      <c r="C80" s="55"/>
      <c r="D80" s="54" t="s">
        <v>150</v>
      </c>
      <c r="E80" s="56">
        <v>45906.0</v>
      </c>
      <c r="F80" s="56">
        <v>45907.0</v>
      </c>
      <c r="G80" s="54"/>
      <c r="H80" s="54"/>
      <c r="I80" s="54"/>
      <c r="J80" s="57"/>
      <c r="K80" s="9"/>
      <c r="L80" s="9"/>
      <c r="M80" s="58"/>
      <c r="N80" s="59"/>
    </row>
    <row r="81" ht="22.5" customHeight="1">
      <c r="A81" s="53">
        <v>5.0</v>
      </c>
      <c r="B81" s="54" t="s">
        <v>103</v>
      </c>
      <c r="C81" s="55"/>
      <c r="D81" s="54" t="s">
        <v>151</v>
      </c>
      <c r="E81" s="56">
        <v>45906.0</v>
      </c>
      <c r="F81" s="56">
        <v>45907.0</v>
      </c>
      <c r="G81" s="54"/>
      <c r="H81" s="54"/>
      <c r="I81" s="54"/>
      <c r="J81" s="57"/>
      <c r="K81" s="9"/>
      <c r="L81" s="9"/>
      <c r="M81" s="58"/>
      <c r="N81" s="59"/>
    </row>
    <row r="82" ht="22.5" customHeight="1">
      <c r="A82" s="53">
        <v>5.0</v>
      </c>
      <c r="B82" s="54" t="s">
        <v>103</v>
      </c>
      <c r="C82" s="55"/>
      <c r="D82" s="54" t="s">
        <v>152</v>
      </c>
      <c r="E82" s="56">
        <v>45906.0</v>
      </c>
      <c r="F82" s="56">
        <v>45907.0</v>
      </c>
      <c r="G82" s="54"/>
      <c r="H82" s="54"/>
      <c r="I82" s="54"/>
      <c r="J82" s="57"/>
      <c r="K82" s="9"/>
      <c r="L82" s="9"/>
      <c r="M82" s="58"/>
      <c r="N82" s="59"/>
    </row>
    <row r="83" ht="22.5" customHeight="1">
      <c r="A83" s="53">
        <v>5.0</v>
      </c>
      <c r="B83" s="54" t="s">
        <v>103</v>
      </c>
      <c r="C83" s="55"/>
      <c r="D83" s="54" t="s">
        <v>153</v>
      </c>
      <c r="E83" s="56">
        <v>45906.0</v>
      </c>
      <c r="F83" s="56">
        <v>45907.0</v>
      </c>
      <c r="G83" s="54"/>
      <c r="H83" s="54"/>
      <c r="I83" s="54"/>
      <c r="J83" s="57"/>
      <c r="K83" s="9"/>
      <c r="L83" s="9"/>
      <c r="M83" s="58"/>
      <c r="N83" s="59"/>
    </row>
    <row r="84" ht="22.5" customHeight="1">
      <c r="A84" s="53">
        <v>5.0</v>
      </c>
      <c r="B84" s="54" t="s">
        <v>103</v>
      </c>
      <c r="C84" s="55"/>
      <c r="D84" s="54" t="s">
        <v>154</v>
      </c>
      <c r="E84" s="56">
        <v>45906.0</v>
      </c>
      <c r="F84" s="56">
        <v>45907.0</v>
      </c>
      <c r="G84" s="54"/>
      <c r="H84" s="54"/>
      <c r="I84" s="54"/>
      <c r="J84" s="57"/>
      <c r="K84" s="9"/>
      <c r="L84" s="9"/>
      <c r="M84" s="58"/>
      <c r="N84" s="59"/>
    </row>
    <row r="85" ht="22.5" customHeight="1">
      <c r="A85" s="53">
        <v>5.0</v>
      </c>
      <c r="B85" s="54" t="s">
        <v>103</v>
      </c>
      <c r="C85" s="55"/>
      <c r="D85" s="54" t="s">
        <v>155</v>
      </c>
      <c r="E85" s="56">
        <v>45906.0</v>
      </c>
      <c r="F85" s="56">
        <v>45907.0</v>
      </c>
      <c r="G85" s="54"/>
      <c r="H85" s="54"/>
      <c r="I85" s="54"/>
      <c r="J85" s="57"/>
      <c r="K85" s="9"/>
      <c r="L85" s="9"/>
      <c r="M85" s="58"/>
      <c r="N85" s="59"/>
    </row>
    <row r="86" ht="22.5" customHeight="1">
      <c r="A86" s="53">
        <v>5.0</v>
      </c>
      <c r="B86" s="54" t="s">
        <v>103</v>
      </c>
      <c r="C86" s="55"/>
      <c r="D86" s="54" t="s">
        <v>156</v>
      </c>
      <c r="E86" s="56">
        <v>45906.0</v>
      </c>
      <c r="F86" s="56">
        <v>45907.0</v>
      </c>
      <c r="G86" s="54"/>
      <c r="H86" s="54"/>
      <c r="I86" s="54"/>
      <c r="J86" s="57"/>
      <c r="K86" s="9"/>
      <c r="L86" s="9"/>
      <c r="M86" s="58"/>
      <c r="N86" s="59"/>
    </row>
    <row r="87" ht="22.5" customHeight="1">
      <c r="A87" s="53">
        <v>5.0</v>
      </c>
      <c r="B87" s="54" t="s">
        <v>103</v>
      </c>
      <c r="C87" s="55"/>
      <c r="D87" s="54" t="s">
        <v>157</v>
      </c>
      <c r="E87" s="56">
        <v>45906.0</v>
      </c>
      <c r="F87" s="56">
        <v>45907.0</v>
      </c>
      <c r="G87" s="54"/>
      <c r="H87" s="54"/>
      <c r="I87" s="54"/>
      <c r="J87" s="57"/>
      <c r="K87" s="9"/>
      <c r="L87" s="9"/>
      <c r="M87" s="58"/>
      <c r="N87" s="59"/>
    </row>
    <row r="88" ht="22.5" customHeight="1">
      <c r="A88" s="53">
        <v>5.0</v>
      </c>
      <c r="B88" s="54" t="s">
        <v>103</v>
      </c>
      <c r="C88" s="55"/>
      <c r="D88" s="54" t="s">
        <v>158</v>
      </c>
      <c r="E88" s="56">
        <v>45906.0</v>
      </c>
      <c r="F88" s="56">
        <v>45907.0</v>
      </c>
      <c r="G88" s="54"/>
      <c r="H88" s="54"/>
      <c r="I88" s="54"/>
      <c r="J88" s="57"/>
      <c r="K88" s="9"/>
      <c r="L88" s="9"/>
      <c r="M88" s="58"/>
      <c r="N88" s="59"/>
    </row>
    <row r="89" ht="22.5" customHeight="1">
      <c r="A89" s="53">
        <v>5.0</v>
      </c>
      <c r="B89" s="54" t="s">
        <v>103</v>
      </c>
      <c r="C89" s="55"/>
      <c r="D89" s="54" t="s">
        <v>159</v>
      </c>
      <c r="E89" s="56">
        <v>45906.0</v>
      </c>
      <c r="F89" s="56">
        <v>45907.0</v>
      </c>
      <c r="G89" s="54"/>
      <c r="H89" s="54"/>
      <c r="I89" s="54"/>
      <c r="J89" s="57"/>
      <c r="K89" s="9"/>
      <c r="L89" s="9"/>
      <c r="M89" s="58"/>
      <c r="N89" s="59"/>
    </row>
    <row r="90" ht="22.5" customHeight="1">
      <c r="A90" s="53">
        <v>5.0</v>
      </c>
      <c r="B90" s="54" t="s">
        <v>103</v>
      </c>
      <c r="C90" s="55"/>
      <c r="D90" s="54" t="s">
        <v>160</v>
      </c>
      <c r="E90" s="56">
        <v>45906.0</v>
      </c>
      <c r="F90" s="56">
        <v>45907.0</v>
      </c>
      <c r="G90" s="54"/>
      <c r="H90" s="54"/>
      <c r="I90" s="54"/>
      <c r="J90" s="57"/>
      <c r="K90" s="9"/>
      <c r="L90" s="9"/>
      <c r="M90" s="58"/>
      <c r="N90" s="59"/>
    </row>
    <row r="91" ht="22.5" customHeight="1">
      <c r="A91" s="53">
        <v>5.0</v>
      </c>
      <c r="B91" s="54" t="s">
        <v>103</v>
      </c>
      <c r="C91" s="55"/>
      <c r="D91" s="54" t="s">
        <v>161</v>
      </c>
      <c r="E91" s="56">
        <v>45906.0</v>
      </c>
      <c r="F91" s="56">
        <v>45907.0</v>
      </c>
      <c r="G91" s="54"/>
      <c r="H91" s="54"/>
      <c r="I91" s="54"/>
      <c r="J91" s="57"/>
      <c r="K91" s="9"/>
      <c r="L91" s="9"/>
      <c r="M91" s="58"/>
      <c r="N91" s="59"/>
    </row>
    <row r="92" ht="22.5" customHeight="1">
      <c r="A92" s="53">
        <v>5.0</v>
      </c>
      <c r="B92" s="54" t="s">
        <v>103</v>
      </c>
      <c r="C92" s="55"/>
      <c r="D92" s="54" t="s">
        <v>162</v>
      </c>
      <c r="E92" s="56">
        <v>45906.0</v>
      </c>
      <c r="F92" s="56">
        <v>45907.0</v>
      </c>
      <c r="G92" s="54"/>
      <c r="H92" s="54"/>
      <c r="I92" s="54"/>
      <c r="J92" s="57"/>
      <c r="K92" s="9"/>
      <c r="L92" s="9"/>
      <c r="M92" s="58"/>
      <c r="N92" s="59"/>
    </row>
    <row r="93" ht="22.5" customHeight="1">
      <c r="A93" s="53">
        <v>5.0</v>
      </c>
      <c r="B93" s="54" t="s">
        <v>103</v>
      </c>
      <c r="C93" s="55"/>
      <c r="D93" s="54" t="s">
        <v>163</v>
      </c>
      <c r="E93" s="56">
        <v>45906.0</v>
      </c>
      <c r="F93" s="56">
        <v>45907.0</v>
      </c>
      <c r="G93" s="54"/>
      <c r="H93" s="54"/>
      <c r="I93" s="54"/>
      <c r="J93" s="57"/>
      <c r="K93" s="9"/>
      <c r="L93" s="9"/>
      <c r="M93" s="58"/>
      <c r="N93" s="59"/>
    </row>
    <row r="94" ht="22.5" customHeight="1">
      <c r="A94" s="53">
        <v>5.0</v>
      </c>
      <c r="B94" s="54" t="s">
        <v>103</v>
      </c>
      <c r="C94" s="55"/>
      <c r="D94" s="54" t="s">
        <v>164</v>
      </c>
      <c r="E94" s="56">
        <v>45906.0</v>
      </c>
      <c r="F94" s="56">
        <v>45907.0</v>
      </c>
      <c r="G94" s="54"/>
      <c r="H94" s="54"/>
      <c r="I94" s="54"/>
      <c r="J94" s="57"/>
      <c r="K94" s="9"/>
      <c r="L94" s="9"/>
      <c r="M94" s="58"/>
      <c r="N94" s="59"/>
    </row>
    <row r="95" ht="22.5" customHeight="1">
      <c r="A95" s="53">
        <v>5.0</v>
      </c>
      <c r="B95" s="54" t="s">
        <v>103</v>
      </c>
      <c r="C95" s="55"/>
      <c r="D95" s="54" t="s">
        <v>165</v>
      </c>
      <c r="E95" s="56">
        <v>45906.0</v>
      </c>
      <c r="F95" s="56">
        <v>45907.0</v>
      </c>
      <c r="G95" s="54"/>
      <c r="H95" s="54"/>
      <c r="I95" s="54"/>
      <c r="J95" s="57"/>
      <c r="K95" s="9"/>
      <c r="L95" s="9"/>
      <c r="M95" s="58"/>
      <c r="N95" s="59"/>
    </row>
    <row r="96" ht="22.5" customHeight="1">
      <c r="A96" s="53">
        <v>5.0</v>
      </c>
      <c r="B96" s="54" t="s">
        <v>103</v>
      </c>
      <c r="C96" s="55"/>
      <c r="D96" s="54" t="s">
        <v>166</v>
      </c>
      <c r="E96" s="56">
        <v>45906.0</v>
      </c>
      <c r="F96" s="56">
        <v>45907.0</v>
      </c>
      <c r="G96" s="54"/>
      <c r="H96" s="54"/>
      <c r="I96" s="54"/>
      <c r="J96" s="57"/>
      <c r="K96" s="9"/>
      <c r="L96" s="9"/>
      <c r="M96" s="58"/>
      <c r="N96" s="59"/>
    </row>
    <row r="97" ht="22.5" customHeight="1">
      <c r="A97" s="53">
        <v>5.0</v>
      </c>
      <c r="B97" s="54" t="s">
        <v>103</v>
      </c>
      <c r="C97" s="55"/>
      <c r="D97" s="54" t="s">
        <v>167</v>
      </c>
      <c r="E97" s="56">
        <v>45906.0</v>
      </c>
      <c r="F97" s="56">
        <v>45907.0</v>
      </c>
      <c r="G97" s="54"/>
      <c r="H97" s="54"/>
      <c r="I97" s="54"/>
      <c r="J97" s="57"/>
      <c r="K97" s="9"/>
      <c r="L97" s="9"/>
      <c r="M97" s="58"/>
      <c r="N97" s="59"/>
    </row>
    <row r="98" ht="22.5" customHeight="1">
      <c r="A98" s="53">
        <v>5.0</v>
      </c>
      <c r="B98" s="54" t="s">
        <v>103</v>
      </c>
      <c r="C98" s="55"/>
      <c r="D98" s="54" t="s">
        <v>168</v>
      </c>
      <c r="E98" s="56">
        <v>45906.0</v>
      </c>
      <c r="F98" s="56">
        <v>45907.0</v>
      </c>
      <c r="G98" s="54"/>
      <c r="H98" s="54"/>
      <c r="I98" s="54"/>
      <c r="J98" s="57"/>
      <c r="K98" s="9"/>
      <c r="L98" s="9"/>
      <c r="M98" s="58"/>
      <c r="N98" s="59"/>
    </row>
    <row r="99" ht="22.5" customHeight="1">
      <c r="A99" s="53">
        <v>5.0</v>
      </c>
      <c r="B99" s="54" t="s">
        <v>103</v>
      </c>
      <c r="C99" s="55"/>
      <c r="D99" s="54" t="s">
        <v>169</v>
      </c>
      <c r="E99" s="56">
        <v>45906.0</v>
      </c>
      <c r="F99" s="56">
        <v>45907.0</v>
      </c>
      <c r="G99" s="54"/>
      <c r="H99" s="54"/>
      <c r="I99" s="54"/>
      <c r="J99" s="57"/>
      <c r="K99" s="9"/>
      <c r="L99" s="9"/>
      <c r="M99" s="58"/>
      <c r="N99" s="59"/>
    </row>
    <row r="100" ht="22.5" customHeight="1">
      <c r="A100" s="53">
        <v>5.0</v>
      </c>
      <c r="B100" s="54" t="s">
        <v>103</v>
      </c>
      <c r="C100" s="55"/>
      <c r="D100" s="54" t="s">
        <v>170</v>
      </c>
      <c r="E100" s="56">
        <v>45906.0</v>
      </c>
      <c r="F100" s="56">
        <v>45907.0</v>
      </c>
      <c r="G100" s="54"/>
      <c r="H100" s="54"/>
      <c r="I100" s="54"/>
      <c r="J100" s="57"/>
      <c r="K100" s="9"/>
      <c r="L100" s="9"/>
      <c r="M100" s="58"/>
      <c r="N100" s="59"/>
    </row>
    <row r="101" ht="22.5" customHeight="1">
      <c r="A101" s="53">
        <v>5.0</v>
      </c>
      <c r="B101" s="54" t="s">
        <v>103</v>
      </c>
      <c r="C101" s="55"/>
      <c r="D101" s="54" t="s">
        <v>171</v>
      </c>
      <c r="E101" s="56">
        <v>45906.0</v>
      </c>
      <c r="F101" s="56">
        <v>45907.0</v>
      </c>
      <c r="G101" s="54"/>
      <c r="H101" s="54"/>
      <c r="I101" s="54"/>
      <c r="J101" s="57"/>
      <c r="K101" s="9"/>
      <c r="L101" s="9"/>
      <c r="M101" s="58"/>
      <c r="N101" s="59"/>
    </row>
    <row r="102" ht="22.5" customHeight="1">
      <c r="A102" s="53">
        <v>6.0</v>
      </c>
      <c r="B102" s="54" t="s">
        <v>172</v>
      </c>
      <c r="C102" s="54" t="s">
        <v>173</v>
      </c>
      <c r="D102" s="54" t="s">
        <v>174</v>
      </c>
      <c r="E102" s="56">
        <v>45922.0</v>
      </c>
      <c r="F102" s="56">
        <v>45923.0</v>
      </c>
      <c r="G102" s="54"/>
      <c r="H102" s="54"/>
      <c r="I102" s="54"/>
      <c r="J102" s="57"/>
      <c r="K102" s="9"/>
      <c r="L102" s="9"/>
      <c r="M102" s="58"/>
      <c r="N102" s="59"/>
    </row>
    <row r="103" ht="22.5" customHeight="1">
      <c r="A103" s="53">
        <v>6.0</v>
      </c>
      <c r="B103" s="54" t="s">
        <v>172</v>
      </c>
      <c r="C103" s="54" t="s">
        <v>175</v>
      </c>
      <c r="D103" s="54" t="s">
        <v>176</v>
      </c>
      <c r="E103" s="56">
        <v>45922.0</v>
      </c>
      <c r="F103" s="56">
        <v>45923.0</v>
      </c>
      <c r="G103" s="54"/>
      <c r="H103" s="54"/>
      <c r="I103" s="54"/>
      <c r="J103" s="57"/>
      <c r="K103" s="9"/>
      <c r="L103" s="9"/>
      <c r="M103" s="58"/>
      <c r="N103" s="59"/>
    </row>
    <row r="104" ht="22.5" customHeight="1">
      <c r="A104" s="53">
        <v>6.0</v>
      </c>
      <c r="B104" s="54" t="s">
        <v>172</v>
      </c>
      <c r="C104" s="54" t="s">
        <v>177</v>
      </c>
      <c r="D104" s="54" t="s">
        <v>178</v>
      </c>
      <c r="E104" s="56">
        <v>45922.0</v>
      </c>
      <c r="F104" s="56">
        <v>45923.0</v>
      </c>
      <c r="G104" s="54"/>
      <c r="H104" s="54"/>
      <c r="I104" s="54"/>
      <c r="J104" s="57"/>
      <c r="K104" s="9"/>
      <c r="L104" s="9"/>
      <c r="M104" s="58"/>
      <c r="N104" s="59"/>
    </row>
    <row r="105" ht="22.5" customHeight="1">
      <c r="A105" s="53">
        <v>6.0</v>
      </c>
      <c r="B105" s="54" t="s">
        <v>172</v>
      </c>
      <c r="C105" s="54" t="s">
        <v>179</v>
      </c>
      <c r="D105" s="54" t="s">
        <v>180</v>
      </c>
      <c r="E105" s="56">
        <v>45922.0</v>
      </c>
      <c r="F105" s="56">
        <v>45923.0</v>
      </c>
      <c r="G105" s="54"/>
      <c r="H105" s="54"/>
      <c r="I105" s="54"/>
      <c r="J105" s="57"/>
      <c r="K105" s="9"/>
      <c r="L105" s="9"/>
      <c r="M105" s="58"/>
      <c r="N105" s="59"/>
    </row>
    <row r="106" ht="22.5" customHeight="1">
      <c r="A106" s="53">
        <v>6.0</v>
      </c>
      <c r="B106" s="54" t="s">
        <v>172</v>
      </c>
      <c r="C106" s="54" t="s">
        <v>181</v>
      </c>
      <c r="D106" s="54" t="s">
        <v>182</v>
      </c>
      <c r="E106" s="56">
        <v>45922.0</v>
      </c>
      <c r="F106" s="56">
        <v>45923.0</v>
      </c>
      <c r="G106" s="54"/>
      <c r="H106" s="54"/>
      <c r="I106" s="54"/>
      <c r="J106" s="57"/>
      <c r="K106" s="9"/>
      <c r="L106" s="9"/>
      <c r="M106" s="58"/>
      <c r="N106" s="59"/>
    </row>
    <row r="107" ht="22.5" customHeight="1">
      <c r="A107" s="53">
        <v>6.0</v>
      </c>
      <c r="B107" s="54" t="s">
        <v>172</v>
      </c>
      <c r="C107" s="54" t="s">
        <v>183</v>
      </c>
      <c r="D107" s="54" t="s">
        <v>184</v>
      </c>
      <c r="E107" s="56">
        <v>45922.0</v>
      </c>
      <c r="F107" s="56">
        <v>45923.0</v>
      </c>
      <c r="G107" s="54"/>
      <c r="H107" s="54"/>
      <c r="I107" s="54"/>
      <c r="J107" s="57"/>
      <c r="K107" s="9"/>
      <c r="L107" s="9"/>
      <c r="M107" s="58"/>
      <c r="N107" s="59"/>
    </row>
    <row r="108" ht="22.5" customHeight="1">
      <c r="A108" s="53">
        <v>6.0</v>
      </c>
      <c r="B108" s="54" t="s">
        <v>172</v>
      </c>
      <c r="C108" s="54" t="s">
        <v>185</v>
      </c>
      <c r="D108" s="54" t="s">
        <v>186</v>
      </c>
      <c r="E108" s="56">
        <v>45922.0</v>
      </c>
      <c r="F108" s="56">
        <v>45923.0</v>
      </c>
      <c r="G108" s="54"/>
      <c r="H108" s="54"/>
      <c r="I108" s="54"/>
      <c r="J108" s="57"/>
      <c r="K108" s="9"/>
      <c r="L108" s="9"/>
      <c r="M108" s="58"/>
      <c r="N108" s="59"/>
    </row>
    <row r="109" ht="22.5" customHeight="1">
      <c r="A109" s="53">
        <v>6.0</v>
      </c>
      <c r="B109" s="54" t="s">
        <v>172</v>
      </c>
      <c r="C109" s="54" t="s">
        <v>187</v>
      </c>
      <c r="D109" s="54" t="s">
        <v>188</v>
      </c>
      <c r="E109" s="56">
        <v>45922.0</v>
      </c>
      <c r="F109" s="56">
        <v>45923.0</v>
      </c>
      <c r="G109" s="54"/>
      <c r="H109" s="54"/>
      <c r="I109" s="54"/>
      <c r="J109" s="57"/>
      <c r="K109" s="9"/>
      <c r="L109" s="9"/>
      <c r="M109" s="58"/>
      <c r="N109" s="59"/>
    </row>
    <row r="110" ht="22.5" customHeight="1">
      <c r="A110" s="53">
        <v>6.0</v>
      </c>
      <c r="B110" s="54" t="s">
        <v>172</v>
      </c>
      <c r="C110" s="54" t="s">
        <v>189</v>
      </c>
      <c r="D110" s="54" t="s">
        <v>190</v>
      </c>
      <c r="E110" s="56">
        <v>45922.0</v>
      </c>
      <c r="F110" s="56">
        <v>45923.0</v>
      </c>
      <c r="G110" s="54"/>
      <c r="H110" s="54"/>
      <c r="I110" s="54"/>
      <c r="J110" s="57"/>
      <c r="K110" s="9"/>
      <c r="L110" s="9"/>
      <c r="M110" s="58"/>
      <c r="N110" s="59"/>
    </row>
    <row r="111" ht="22.5" customHeight="1">
      <c r="A111" s="53">
        <v>6.0</v>
      </c>
      <c r="B111" s="54" t="s">
        <v>172</v>
      </c>
      <c r="C111" s="54" t="s">
        <v>191</v>
      </c>
      <c r="D111" s="54" t="s">
        <v>192</v>
      </c>
      <c r="E111" s="56">
        <v>45922.0</v>
      </c>
      <c r="F111" s="56">
        <v>45923.0</v>
      </c>
      <c r="G111" s="54"/>
      <c r="H111" s="54"/>
      <c r="I111" s="54"/>
      <c r="J111" s="57"/>
      <c r="K111" s="9"/>
      <c r="L111" s="9"/>
      <c r="M111" s="58"/>
      <c r="N111" s="59"/>
    </row>
    <row r="112" ht="22.5" customHeight="1">
      <c r="A112" s="53">
        <v>6.0</v>
      </c>
      <c r="B112" s="54" t="s">
        <v>172</v>
      </c>
      <c r="C112" s="54" t="s">
        <v>193</v>
      </c>
      <c r="D112" s="54" t="s">
        <v>194</v>
      </c>
      <c r="E112" s="56">
        <v>45922.0</v>
      </c>
      <c r="F112" s="56">
        <v>45923.0</v>
      </c>
      <c r="G112" s="54"/>
      <c r="H112" s="54"/>
      <c r="I112" s="54"/>
      <c r="J112" s="57"/>
      <c r="K112" s="9"/>
      <c r="L112" s="9"/>
      <c r="M112" s="58"/>
      <c r="N112" s="59"/>
    </row>
    <row r="113" ht="22.5" customHeight="1">
      <c r="A113" s="53">
        <v>6.0</v>
      </c>
      <c r="B113" s="54" t="s">
        <v>172</v>
      </c>
      <c r="C113" s="54" t="s">
        <v>195</v>
      </c>
      <c r="D113" s="54" t="s">
        <v>196</v>
      </c>
      <c r="E113" s="56">
        <v>45922.0</v>
      </c>
      <c r="F113" s="56">
        <v>45923.0</v>
      </c>
      <c r="G113" s="54"/>
      <c r="H113" s="54"/>
      <c r="I113" s="54"/>
      <c r="J113" s="57"/>
      <c r="K113" s="9"/>
      <c r="L113" s="9"/>
      <c r="M113" s="58"/>
      <c r="N113" s="59"/>
    </row>
    <row r="114" ht="22.5" customHeight="1">
      <c r="A114" s="53">
        <v>6.0</v>
      </c>
      <c r="B114" s="54" t="s">
        <v>172</v>
      </c>
      <c r="C114" s="54" t="s">
        <v>197</v>
      </c>
      <c r="D114" s="54" t="s">
        <v>198</v>
      </c>
      <c r="E114" s="56">
        <v>45922.0</v>
      </c>
      <c r="F114" s="56">
        <v>45923.0</v>
      </c>
      <c r="G114" s="54"/>
      <c r="H114" s="54"/>
      <c r="I114" s="54"/>
      <c r="J114" s="57"/>
      <c r="K114" s="9"/>
      <c r="L114" s="9"/>
      <c r="M114" s="58"/>
      <c r="N114" s="59"/>
    </row>
    <row r="115" ht="22.5" customHeight="1">
      <c r="A115" s="53">
        <v>6.0</v>
      </c>
      <c r="B115" s="54" t="s">
        <v>172</v>
      </c>
      <c r="C115" s="54" t="s">
        <v>199</v>
      </c>
      <c r="D115" s="54" t="s">
        <v>200</v>
      </c>
      <c r="E115" s="56">
        <v>45922.0</v>
      </c>
      <c r="F115" s="56">
        <v>45923.0</v>
      </c>
      <c r="G115" s="54"/>
      <c r="H115" s="54"/>
      <c r="I115" s="54"/>
      <c r="J115" s="57"/>
      <c r="K115" s="9"/>
      <c r="L115" s="9"/>
      <c r="M115" s="58"/>
      <c r="N115" s="59"/>
    </row>
    <row r="116" ht="22.5" customHeight="1">
      <c r="A116" s="53">
        <v>6.0</v>
      </c>
      <c r="B116" s="54" t="s">
        <v>172</v>
      </c>
      <c r="C116" s="54" t="s">
        <v>201</v>
      </c>
      <c r="D116" s="54" t="s">
        <v>202</v>
      </c>
      <c r="E116" s="56">
        <v>45922.0</v>
      </c>
      <c r="F116" s="56">
        <v>45923.0</v>
      </c>
      <c r="G116" s="54"/>
      <c r="H116" s="54"/>
      <c r="I116" s="54"/>
      <c r="J116" s="57"/>
      <c r="K116" s="9"/>
      <c r="L116" s="9"/>
      <c r="M116" s="58"/>
      <c r="N116" s="59"/>
    </row>
    <row r="117" ht="22.5" customHeight="1">
      <c r="A117" s="53">
        <v>6.0</v>
      </c>
      <c r="B117" s="54" t="s">
        <v>172</v>
      </c>
      <c r="C117" s="54" t="s">
        <v>203</v>
      </c>
      <c r="D117" s="54" t="s">
        <v>204</v>
      </c>
      <c r="E117" s="56">
        <v>45922.0</v>
      </c>
      <c r="F117" s="56">
        <v>45923.0</v>
      </c>
      <c r="G117" s="54"/>
      <c r="H117" s="54"/>
      <c r="I117" s="54"/>
      <c r="J117" s="57"/>
      <c r="K117" s="9"/>
      <c r="L117" s="9"/>
      <c r="M117" s="58"/>
      <c r="N117" s="59"/>
    </row>
    <row r="118" ht="22.5" customHeight="1">
      <c r="A118" s="53">
        <v>6.0</v>
      </c>
      <c r="B118" s="54" t="s">
        <v>172</v>
      </c>
      <c r="C118" s="54" t="s">
        <v>205</v>
      </c>
      <c r="D118" s="54" t="s">
        <v>206</v>
      </c>
      <c r="E118" s="56">
        <v>45922.0</v>
      </c>
      <c r="F118" s="56">
        <v>45923.0</v>
      </c>
      <c r="G118" s="54"/>
      <c r="H118" s="54"/>
      <c r="I118" s="54"/>
      <c r="J118" s="57"/>
      <c r="K118" s="9"/>
      <c r="L118" s="9"/>
      <c r="M118" s="58"/>
      <c r="N118" s="59"/>
    </row>
    <row r="119" ht="22.5" customHeight="1">
      <c r="A119" s="53">
        <v>6.0</v>
      </c>
      <c r="B119" s="54" t="s">
        <v>172</v>
      </c>
      <c r="C119" s="54" t="s">
        <v>207</v>
      </c>
      <c r="D119" s="54" t="s">
        <v>208</v>
      </c>
      <c r="E119" s="56">
        <v>45922.0</v>
      </c>
      <c r="F119" s="56">
        <v>45923.0</v>
      </c>
      <c r="G119" s="54"/>
      <c r="H119" s="54"/>
      <c r="I119" s="54"/>
      <c r="J119" s="57"/>
      <c r="K119" s="9"/>
      <c r="L119" s="9"/>
      <c r="M119" s="58"/>
      <c r="N119" s="59"/>
    </row>
    <row r="120" ht="22.5" customHeight="1">
      <c r="A120" s="53">
        <v>6.0</v>
      </c>
      <c r="B120" s="54" t="s">
        <v>172</v>
      </c>
      <c r="C120" s="54" t="s">
        <v>209</v>
      </c>
      <c r="D120" s="54" t="s">
        <v>210</v>
      </c>
      <c r="E120" s="56">
        <v>45922.0</v>
      </c>
      <c r="F120" s="56">
        <v>45923.0</v>
      </c>
      <c r="G120" s="54"/>
      <c r="H120" s="54"/>
      <c r="I120" s="54"/>
      <c r="J120" s="57"/>
      <c r="K120" s="9"/>
      <c r="L120" s="9"/>
      <c r="M120" s="58"/>
      <c r="N120" s="59"/>
    </row>
    <row r="121" ht="22.5" customHeight="1">
      <c r="A121" s="53">
        <v>6.0</v>
      </c>
      <c r="B121" s="54" t="s">
        <v>172</v>
      </c>
      <c r="C121" s="54" t="s">
        <v>211</v>
      </c>
      <c r="D121" s="54" t="s">
        <v>212</v>
      </c>
      <c r="E121" s="56">
        <v>45922.0</v>
      </c>
      <c r="F121" s="56">
        <v>45923.0</v>
      </c>
      <c r="G121" s="54"/>
      <c r="H121" s="54"/>
      <c r="I121" s="54"/>
      <c r="J121" s="57"/>
      <c r="K121" s="9"/>
      <c r="L121" s="9"/>
      <c r="M121" s="58"/>
      <c r="N121" s="59"/>
    </row>
    <row r="122" ht="22.5" customHeight="1">
      <c r="A122" s="53">
        <v>6.0</v>
      </c>
      <c r="B122" s="54" t="s">
        <v>172</v>
      </c>
      <c r="C122" s="54" t="s">
        <v>213</v>
      </c>
      <c r="D122" s="54" t="s">
        <v>214</v>
      </c>
      <c r="E122" s="56">
        <v>45922.0</v>
      </c>
      <c r="F122" s="56">
        <v>45923.0</v>
      </c>
      <c r="G122" s="54"/>
      <c r="H122" s="54"/>
      <c r="I122" s="54"/>
      <c r="J122" s="57"/>
      <c r="K122" s="9"/>
      <c r="L122" s="9"/>
      <c r="M122" s="58"/>
      <c r="N122" s="59"/>
    </row>
    <row r="123" ht="22.5" customHeight="1">
      <c r="A123" s="53">
        <v>6.0</v>
      </c>
      <c r="B123" s="54" t="s">
        <v>172</v>
      </c>
      <c r="C123" s="54" t="s">
        <v>215</v>
      </c>
      <c r="D123" s="54" t="s">
        <v>216</v>
      </c>
      <c r="E123" s="56">
        <v>45922.0</v>
      </c>
      <c r="F123" s="56">
        <v>45923.0</v>
      </c>
      <c r="G123" s="54"/>
      <c r="H123" s="54"/>
      <c r="I123" s="54"/>
      <c r="J123" s="57"/>
      <c r="K123" s="9"/>
      <c r="L123" s="9"/>
      <c r="M123" s="58"/>
      <c r="N123" s="59"/>
    </row>
    <row r="124" ht="22.5" customHeight="1">
      <c r="A124" s="53">
        <v>6.0</v>
      </c>
      <c r="B124" s="54" t="s">
        <v>172</v>
      </c>
      <c r="C124" s="54" t="s">
        <v>217</v>
      </c>
      <c r="D124" s="54" t="s">
        <v>218</v>
      </c>
      <c r="E124" s="56">
        <v>45922.0</v>
      </c>
      <c r="F124" s="56">
        <v>45923.0</v>
      </c>
      <c r="G124" s="54"/>
      <c r="H124" s="54"/>
      <c r="I124" s="54"/>
      <c r="J124" s="57"/>
      <c r="K124" s="9"/>
      <c r="L124" s="9"/>
      <c r="M124" s="58"/>
      <c r="N124" s="59"/>
    </row>
    <row r="125" ht="22.5" customHeight="1">
      <c r="A125" s="53">
        <v>6.0</v>
      </c>
      <c r="B125" s="54" t="s">
        <v>172</v>
      </c>
      <c r="C125" s="54" t="s">
        <v>219</v>
      </c>
      <c r="D125" s="54" t="s">
        <v>220</v>
      </c>
      <c r="E125" s="56">
        <v>45922.0</v>
      </c>
      <c r="F125" s="56">
        <v>45923.0</v>
      </c>
      <c r="G125" s="54"/>
      <c r="H125" s="54"/>
      <c r="I125" s="54"/>
      <c r="J125" s="57"/>
      <c r="K125" s="9"/>
      <c r="L125" s="9"/>
      <c r="M125" s="58"/>
      <c r="N125" s="59"/>
    </row>
    <row r="126" ht="22.5" customHeight="1">
      <c r="A126" s="53">
        <v>6.0</v>
      </c>
      <c r="B126" s="54" t="s">
        <v>172</v>
      </c>
      <c r="C126" s="54" t="s">
        <v>221</v>
      </c>
      <c r="D126" s="54" t="s">
        <v>222</v>
      </c>
      <c r="E126" s="56">
        <v>45922.0</v>
      </c>
      <c r="F126" s="56">
        <v>45923.0</v>
      </c>
      <c r="G126" s="54"/>
      <c r="H126" s="54"/>
      <c r="I126" s="54"/>
      <c r="J126" s="57"/>
      <c r="K126" s="9"/>
      <c r="L126" s="9"/>
      <c r="M126" s="58"/>
      <c r="N126" s="59"/>
    </row>
    <row r="127" ht="22.5" customHeight="1">
      <c r="A127" s="53">
        <v>6.0</v>
      </c>
      <c r="B127" s="54" t="s">
        <v>172</v>
      </c>
      <c r="C127" s="54" t="s">
        <v>223</v>
      </c>
      <c r="D127" s="54" t="s">
        <v>224</v>
      </c>
      <c r="E127" s="56">
        <v>45922.0</v>
      </c>
      <c r="F127" s="56">
        <v>45923.0</v>
      </c>
      <c r="G127" s="54"/>
      <c r="H127" s="54"/>
      <c r="I127" s="54"/>
      <c r="J127" s="57"/>
      <c r="K127" s="9"/>
      <c r="L127" s="9"/>
      <c r="M127" s="58"/>
      <c r="N127" s="59"/>
    </row>
    <row r="128" ht="22.5" customHeight="1">
      <c r="A128" s="53">
        <v>6.0</v>
      </c>
      <c r="B128" s="54" t="s">
        <v>172</v>
      </c>
      <c r="C128" s="54" t="s">
        <v>225</v>
      </c>
      <c r="D128" s="54" t="s">
        <v>226</v>
      </c>
      <c r="E128" s="56">
        <v>45922.0</v>
      </c>
      <c r="F128" s="56">
        <v>45923.0</v>
      </c>
      <c r="G128" s="54"/>
      <c r="H128" s="54"/>
      <c r="I128" s="54"/>
      <c r="J128" s="57"/>
      <c r="K128" s="9"/>
      <c r="L128" s="9"/>
      <c r="M128" s="58"/>
      <c r="N128" s="59"/>
    </row>
    <row r="129" ht="22.5" customHeight="1">
      <c r="A129" s="53">
        <v>6.0</v>
      </c>
      <c r="B129" s="54" t="s">
        <v>172</v>
      </c>
      <c r="C129" s="54" t="s">
        <v>227</v>
      </c>
      <c r="D129" s="54" t="s">
        <v>228</v>
      </c>
      <c r="E129" s="56">
        <v>45922.0</v>
      </c>
      <c r="F129" s="56">
        <v>45923.0</v>
      </c>
      <c r="G129" s="54"/>
      <c r="H129" s="54"/>
      <c r="I129" s="54"/>
      <c r="J129" s="57"/>
      <c r="K129" s="9"/>
      <c r="L129" s="9"/>
      <c r="M129" s="58"/>
      <c r="N129" s="59"/>
    </row>
    <row r="130" ht="22.5" customHeight="1">
      <c r="A130" s="53">
        <v>6.0</v>
      </c>
      <c r="B130" s="54" t="s">
        <v>172</v>
      </c>
      <c r="C130" s="54" t="s">
        <v>229</v>
      </c>
      <c r="D130" s="54" t="s">
        <v>230</v>
      </c>
      <c r="E130" s="56">
        <v>45922.0</v>
      </c>
      <c r="F130" s="56">
        <v>45923.0</v>
      </c>
      <c r="G130" s="54"/>
      <c r="H130" s="54"/>
      <c r="I130" s="54"/>
      <c r="J130" s="57"/>
      <c r="K130" s="9"/>
      <c r="L130" s="9"/>
      <c r="M130" s="58"/>
      <c r="N130" s="59"/>
    </row>
    <row r="131" ht="22.5" customHeight="1">
      <c r="A131" s="53">
        <v>6.0</v>
      </c>
      <c r="B131" s="54" t="s">
        <v>172</v>
      </c>
      <c r="C131" s="54" t="s">
        <v>231</v>
      </c>
      <c r="D131" s="54" t="s">
        <v>232</v>
      </c>
      <c r="E131" s="56">
        <v>45922.0</v>
      </c>
      <c r="F131" s="56">
        <v>45923.0</v>
      </c>
      <c r="G131" s="54"/>
      <c r="H131" s="54"/>
      <c r="I131" s="54"/>
      <c r="J131" s="57"/>
      <c r="K131" s="9"/>
      <c r="L131" s="9"/>
      <c r="M131" s="58"/>
      <c r="N131" s="59"/>
    </row>
    <row r="132" ht="22.5" customHeight="1">
      <c r="A132" s="53">
        <v>6.0</v>
      </c>
      <c r="B132" s="54" t="s">
        <v>172</v>
      </c>
      <c r="C132" s="54" t="s">
        <v>233</v>
      </c>
      <c r="D132" s="54" t="s">
        <v>234</v>
      </c>
      <c r="E132" s="56">
        <v>45922.0</v>
      </c>
      <c r="F132" s="56">
        <v>45923.0</v>
      </c>
      <c r="G132" s="54"/>
      <c r="H132" s="54"/>
      <c r="I132" s="54"/>
      <c r="J132" s="57"/>
      <c r="K132" s="9"/>
      <c r="L132" s="9"/>
      <c r="M132" s="58"/>
      <c r="N132" s="59"/>
    </row>
    <row r="133" ht="22.5" customHeight="1">
      <c r="A133" s="53">
        <v>6.0</v>
      </c>
      <c r="B133" s="54" t="s">
        <v>172</v>
      </c>
      <c r="C133" s="54" t="s">
        <v>235</v>
      </c>
      <c r="D133" s="54" t="s">
        <v>236</v>
      </c>
      <c r="E133" s="56">
        <v>45922.0</v>
      </c>
      <c r="F133" s="56">
        <v>45923.0</v>
      </c>
      <c r="G133" s="54"/>
      <c r="H133" s="54"/>
      <c r="I133" s="54"/>
      <c r="J133" s="57"/>
      <c r="K133" s="9"/>
      <c r="L133" s="9"/>
      <c r="M133" s="58"/>
      <c r="N133" s="59"/>
    </row>
    <row r="134" ht="22.5" customHeight="1">
      <c r="A134" s="53">
        <v>6.0</v>
      </c>
      <c r="B134" s="54" t="s">
        <v>172</v>
      </c>
      <c r="C134" s="54" t="s">
        <v>237</v>
      </c>
      <c r="D134" s="54" t="s">
        <v>238</v>
      </c>
      <c r="E134" s="56">
        <v>45922.0</v>
      </c>
      <c r="F134" s="56">
        <v>45923.0</v>
      </c>
      <c r="G134" s="54"/>
      <c r="H134" s="54"/>
      <c r="I134" s="54"/>
      <c r="J134" s="57"/>
      <c r="K134" s="9"/>
      <c r="L134" s="9"/>
      <c r="M134" s="58"/>
      <c r="N134" s="59"/>
    </row>
    <row r="135" ht="22.5" customHeight="1">
      <c r="A135" s="53">
        <v>6.0</v>
      </c>
      <c r="B135" s="54" t="s">
        <v>172</v>
      </c>
      <c r="C135" s="54" t="s">
        <v>239</v>
      </c>
      <c r="D135" s="54" t="s">
        <v>240</v>
      </c>
      <c r="E135" s="56">
        <v>45922.0</v>
      </c>
      <c r="F135" s="56">
        <v>45923.0</v>
      </c>
      <c r="G135" s="54"/>
      <c r="H135" s="54"/>
      <c r="I135" s="54"/>
      <c r="J135" s="57"/>
      <c r="K135" s="9"/>
      <c r="L135" s="9"/>
      <c r="M135" s="58"/>
      <c r="N135" s="59"/>
    </row>
    <row r="136" ht="22.5" customHeight="1">
      <c r="A136" s="53">
        <v>6.0</v>
      </c>
      <c r="B136" s="54" t="s">
        <v>172</v>
      </c>
      <c r="C136" s="54" t="s">
        <v>241</v>
      </c>
      <c r="D136" s="54" t="s">
        <v>242</v>
      </c>
      <c r="E136" s="56">
        <v>45922.0</v>
      </c>
      <c r="F136" s="56">
        <v>45923.0</v>
      </c>
      <c r="G136" s="54"/>
      <c r="H136" s="54"/>
      <c r="I136" s="54"/>
      <c r="J136" s="57"/>
      <c r="K136" s="9"/>
      <c r="L136" s="9"/>
      <c r="M136" s="58"/>
      <c r="N136" s="59"/>
    </row>
    <row r="137" ht="22.5" customHeight="1">
      <c r="A137" s="53">
        <v>6.0</v>
      </c>
      <c r="B137" s="54" t="s">
        <v>172</v>
      </c>
      <c r="C137" s="54" t="s">
        <v>243</v>
      </c>
      <c r="D137" s="54" t="s">
        <v>244</v>
      </c>
      <c r="E137" s="56">
        <v>45922.0</v>
      </c>
      <c r="F137" s="56">
        <v>45923.0</v>
      </c>
      <c r="G137" s="54"/>
      <c r="H137" s="54"/>
      <c r="I137" s="54"/>
      <c r="J137" s="57"/>
      <c r="K137" s="9"/>
      <c r="L137" s="9"/>
      <c r="M137" s="58"/>
      <c r="N137" s="59"/>
    </row>
    <row r="138" ht="22.5" customHeight="1">
      <c r="A138" s="53">
        <v>6.0</v>
      </c>
      <c r="B138" s="54" t="s">
        <v>172</v>
      </c>
      <c r="C138" s="54" t="s">
        <v>245</v>
      </c>
      <c r="D138" s="54" t="s">
        <v>246</v>
      </c>
      <c r="E138" s="56">
        <v>45922.0</v>
      </c>
      <c r="F138" s="56">
        <v>45923.0</v>
      </c>
      <c r="G138" s="54"/>
      <c r="H138" s="54"/>
      <c r="I138" s="54"/>
      <c r="J138" s="57"/>
      <c r="K138" s="9"/>
      <c r="L138" s="9"/>
      <c r="M138" s="58"/>
      <c r="N138" s="59"/>
    </row>
    <row r="139" ht="22.5" customHeight="1">
      <c r="A139" s="53">
        <v>9.0</v>
      </c>
      <c r="B139" s="54" t="s">
        <v>247</v>
      </c>
      <c r="C139" s="55"/>
      <c r="D139" s="54" t="s">
        <v>248</v>
      </c>
      <c r="E139" s="56">
        <v>45937.0</v>
      </c>
      <c r="F139" s="56">
        <v>45938.0</v>
      </c>
      <c r="G139" s="54"/>
      <c r="H139" s="54"/>
      <c r="I139" s="54"/>
      <c r="J139" s="57"/>
      <c r="K139" s="9"/>
      <c r="L139" s="9"/>
      <c r="M139" s="58"/>
      <c r="N139" s="59"/>
    </row>
    <row r="140" ht="22.5" customHeight="1">
      <c r="A140" s="53">
        <v>9.0</v>
      </c>
      <c r="B140" s="54" t="s">
        <v>247</v>
      </c>
      <c r="C140" s="55"/>
      <c r="D140" s="54" t="s">
        <v>249</v>
      </c>
      <c r="E140" s="56">
        <v>45937.0</v>
      </c>
      <c r="F140" s="56">
        <v>45938.0</v>
      </c>
      <c r="G140" s="54"/>
      <c r="H140" s="54"/>
      <c r="I140" s="54"/>
      <c r="J140" s="57"/>
      <c r="K140" s="9"/>
      <c r="L140" s="9"/>
      <c r="M140" s="58"/>
      <c r="N140" s="59"/>
    </row>
    <row r="141" ht="22.5" customHeight="1">
      <c r="A141" s="53">
        <v>9.0</v>
      </c>
      <c r="B141" s="54" t="s">
        <v>247</v>
      </c>
      <c r="C141" s="55"/>
      <c r="D141" s="54" t="s">
        <v>250</v>
      </c>
      <c r="E141" s="56">
        <v>45937.0</v>
      </c>
      <c r="F141" s="56">
        <v>45938.0</v>
      </c>
      <c r="G141" s="54"/>
      <c r="H141" s="54"/>
      <c r="I141" s="54"/>
      <c r="J141" s="57"/>
      <c r="K141" s="9"/>
      <c r="L141" s="9"/>
      <c r="M141" s="58"/>
      <c r="N141" s="59"/>
    </row>
    <row r="142" ht="22.5" customHeight="1">
      <c r="A142" s="53">
        <v>9.0</v>
      </c>
      <c r="B142" s="54" t="s">
        <v>247</v>
      </c>
      <c r="C142" s="55"/>
      <c r="D142" s="54" t="s">
        <v>251</v>
      </c>
      <c r="E142" s="56">
        <v>45937.0</v>
      </c>
      <c r="F142" s="56">
        <v>45938.0</v>
      </c>
      <c r="G142" s="54"/>
      <c r="H142" s="54"/>
      <c r="I142" s="54"/>
      <c r="J142" s="57"/>
      <c r="K142" s="9"/>
      <c r="L142" s="9"/>
      <c r="M142" s="58"/>
      <c r="N142" s="59"/>
    </row>
    <row r="143" ht="22.5" customHeight="1">
      <c r="A143" s="53">
        <v>9.0</v>
      </c>
      <c r="B143" s="54" t="s">
        <v>247</v>
      </c>
      <c r="C143" s="55"/>
      <c r="D143" s="54" t="s">
        <v>252</v>
      </c>
      <c r="E143" s="56">
        <v>45937.0</v>
      </c>
      <c r="F143" s="56">
        <v>45938.0</v>
      </c>
      <c r="G143" s="54"/>
      <c r="H143" s="54"/>
      <c r="I143" s="54"/>
      <c r="J143" s="57"/>
      <c r="K143" s="9"/>
      <c r="L143" s="9"/>
      <c r="M143" s="58"/>
      <c r="N143" s="59"/>
    </row>
    <row r="144" ht="22.5" customHeight="1">
      <c r="A144" s="53">
        <v>9.0</v>
      </c>
      <c r="B144" s="54" t="s">
        <v>247</v>
      </c>
      <c r="C144" s="55"/>
      <c r="D144" s="54" t="s">
        <v>253</v>
      </c>
      <c r="E144" s="56">
        <v>45937.0</v>
      </c>
      <c r="F144" s="56">
        <v>45938.0</v>
      </c>
      <c r="G144" s="54"/>
      <c r="H144" s="54"/>
      <c r="I144" s="54"/>
      <c r="J144" s="57"/>
      <c r="K144" s="9"/>
      <c r="L144" s="9"/>
      <c r="M144" s="58"/>
      <c r="N144" s="59"/>
    </row>
    <row r="145" ht="22.5" customHeight="1">
      <c r="A145" s="53">
        <v>9.0</v>
      </c>
      <c r="B145" s="54" t="s">
        <v>247</v>
      </c>
      <c r="C145" s="55"/>
      <c r="D145" s="54" t="s">
        <v>254</v>
      </c>
      <c r="E145" s="56">
        <v>45937.0</v>
      </c>
      <c r="F145" s="56">
        <v>45938.0</v>
      </c>
      <c r="G145" s="54"/>
      <c r="H145" s="54"/>
      <c r="I145" s="54"/>
      <c r="J145" s="57"/>
      <c r="K145" s="9"/>
      <c r="L145" s="9"/>
      <c r="M145" s="58"/>
      <c r="N145" s="59"/>
    </row>
    <row r="146" ht="22.5" customHeight="1">
      <c r="A146" s="53">
        <v>9.0</v>
      </c>
      <c r="B146" s="54" t="s">
        <v>247</v>
      </c>
      <c r="C146" s="55"/>
      <c r="D146" s="54" t="s">
        <v>255</v>
      </c>
      <c r="E146" s="56">
        <v>45937.0</v>
      </c>
      <c r="F146" s="56">
        <v>45938.0</v>
      </c>
      <c r="G146" s="54"/>
      <c r="H146" s="54"/>
      <c r="I146" s="54"/>
      <c r="J146" s="57"/>
      <c r="K146" s="9"/>
      <c r="L146" s="9"/>
      <c r="M146" s="58"/>
      <c r="N146" s="59"/>
    </row>
    <row r="147" ht="22.5" customHeight="1">
      <c r="A147" s="53">
        <v>9.0</v>
      </c>
      <c r="B147" s="54" t="s">
        <v>247</v>
      </c>
      <c r="C147" s="55"/>
      <c r="D147" s="54" t="s">
        <v>256</v>
      </c>
      <c r="E147" s="56">
        <v>45937.0</v>
      </c>
      <c r="F147" s="56">
        <v>45938.0</v>
      </c>
      <c r="G147" s="54"/>
      <c r="H147" s="54"/>
      <c r="I147" s="54"/>
      <c r="J147" s="57"/>
      <c r="K147" s="9"/>
      <c r="L147" s="9"/>
      <c r="M147" s="58"/>
      <c r="N147" s="59"/>
    </row>
    <row r="148" ht="22.5" customHeight="1">
      <c r="A148" s="53">
        <v>9.0</v>
      </c>
      <c r="B148" s="54" t="s">
        <v>247</v>
      </c>
      <c r="C148" s="55"/>
      <c r="D148" s="54" t="s">
        <v>257</v>
      </c>
      <c r="E148" s="56">
        <v>45937.0</v>
      </c>
      <c r="F148" s="56">
        <v>45938.0</v>
      </c>
      <c r="G148" s="54"/>
      <c r="H148" s="54"/>
      <c r="I148" s="54"/>
      <c r="J148" s="57"/>
      <c r="K148" s="9"/>
      <c r="L148" s="9"/>
      <c r="M148" s="58"/>
      <c r="N148" s="59"/>
    </row>
    <row r="149" ht="22.5" customHeight="1">
      <c r="A149" s="53">
        <v>9.0</v>
      </c>
      <c r="B149" s="54" t="s">
        <v>247</v>
      </c>
      <c r="C149" s="55"/>
      <c r="D149" s="54" t="s">
        <v>258</v>
      </c>
      <c r="E149" s="56">
        <v>45937.0</v>
      </c>
      <c r="F149" s="56">
        <v>45938.0</v>
      </c>
      <c r="G149" s="54"/>
      <c r="H149" s="54"/>
      <c r="I149" s="54"/>
      <c r="J149" s="57"/>
      <c r="K149" s="9"/>
      <c r="L149" s="9"/>
      <c r="M149" s="58"/>
      <c r="N149" s="59"/>
    </row>
    <row r="150" ht="22.5" customHeight="1">
      <c r="A150" s="53">
        <v>9.0</v>
      </c>
      <c r="B150" s="54" t="s">
        <v>247</v>
      </c>
      <c r="C150" s="55"/>
      <c r="D150" s="54" t="s">
        <v>259</v>
      </c>
      <c r="E150" s="56">
        <v>45937.0</v>
      </c>
      <c r="F150" s="56">
        <v>45938.0</v>
      </c>
      <c r="G150" s="54"/>
      <c r="H150" s="54"/>
      <c r="I150" s="54"/>
      <c r="J150" s="57"/>
      <c r="K150" s="9"/>
      <c r="L150" s="9"/>
      <c r="M150" s="58"/>
      <c r="N150" s="59"/>
    </row>
    <row r="151" ht="22.5" customHeight="1">
      <c r="A151" s="53">
        <v>9.0</v>
      </c>
      <c r="B151" s="54" t="s">
        <v>247</v>
      </c>
      <c r="C151" s="55"/>
      <c r="D151" s="54" t="s">
        <v>260</v>
      </c>
      <c r="E151" s="56">
        <v>45937.0</v>
      </c>
      <c r="F151" s="56">
        <v>45938.0</v>
      </c>
      <c r="G151" s="54"/>
      <c r="H151" s="54"/>
      <c r="I151" s="54"/>
      <c r="J151" s="57"/>
      <c r="K151" s="9"/>
      <c r="L151" s="9"/>
      <c r="M151" s="58"/>
      <c r="N151" s="59"/>
    </row>
    <row r="152" ht="22.5" customHeight="1">
      <c r="A152" s="53">
        <v>9.0</v>
      </c>
      <c r="B152" s="54" t="s">
        <v>247</v>
      </c>
      <c r="C152" s="55"/>
      <c r="D152" s="54" t="s">
        <v>261</v>
      </c>
      <c r="E152" s="56">
        <v>45937.0</v>
      </c>
      <c r="F152" s="56">
        <v>45938.0</v>
      </c>
      <c r="G152" s="54"/>
      <c r="H152" s="54"/>
      <c r="I152" s="54"/>
      <c r="J152" s="57"/>
      <c r="K152" s="9"/>
      <c r="L152" s="9"/>
      <c r="M152" s="58"/>
      <c r="N152" s="59"/>
    </row>
    <row r="153" ht="22.5" customHeight="1">
      <c r="A153" s="53">
        <v>9.0</v>
      </c>
      <c r="B153" s="54" t="s">
        <v>247</v>
      </c>
      <c r="C153" s="55"/>
      <c r="D153" s="54" t="s">
        <v>262</v>
      </c>
      <c r="E153" s="56">
        <v>45937.0</v>
      </c>
      <c r="F153" s="56">
        <v>45938.0</v>
      </c>
      <c r="G153" s="54"/>
      <c r="H153" s="54"/>
      <c r="I153" s="54"/>
      <c r="J153" s="57"/>
      <c r="K153" s="9"/>
      <c r="L153" s="9"/>
      <c r="M153" s="58"/>
      <c r="N153" s="59"/>
    </row>
    <row r="154" ht="22.5" customHeight="1">
      <c r="A154" s="53">
        <v>9.0</v>
      </c>
      <c r="B154" s="54" t="s">
        <v>247</v>
      </c>
      <c r="C154" s="55"/>
      <c r="D154" s="54" t="s">
        <v>263</v>
      </c>
      <c r="E154" s="56">
        <v>45937.0</v>
      </c>
      <c r="F154" s="56">
        <v>45938.0</v>
      </c>
      <c r="G154" s="54"/>
      <c r="H154" s="54"/>
      <c r="I154" s="54"/>
      <c r="J154" s="57"/>
      <c r="K154" s="9"/>
      <c r="L154" s="9"/>
      <c r="M154" s="58"/>
      <c r="N154" s="59"/>
    </row>
    <row r="155" ht="22.5" customHeight="1">
      <c r="A155" s="53">
        <v>9.0</v>
      </c>
      <c r="B155" s="54" t="s">
        <v>247</v>
      </c>
      <c r="C155" s="55"/>
      <c r="D155" s="54" t="s">
        <v>264</v>
      </c>
      <c r="E155" s="56">
        <v>45937.0</v>
      </c>
      <c r="F155" s="56">
        <v>45938.0</v>
      </c>
      <c r="G155" s="54"/>
      <c r="H155" s="54"/>
      <c r="I155" s="54"/>
      <c r="J155" s="57"/>
      <c r="K155" s="9"/>
      <c r="L155" s="9"/>
      <c r="M155" s="58"/>
      <c r="N155" s="59"/>
    </row>
    <row r="156" ht="22.5" customHeight="1">
      <c r="A156" s="53">
        <v>9.0</v>
      </c>
      <c r="B156" s="54" t="s">
        <v>247</v>
      </c>
      <c r="C156" s="55"/>
      <c r="D156" s="54" t="s">
        <v>265</v>
      </c>
      <c r="E156" s="56">
        <v>45937.0</v>
      </c>
      <c r="F156" s="56">
        <v>45938.0</v>
      </c>
      <c r="G156" s="54"/>
      <c r="H156" s="54"/>
      <c r="I156" s="54"/>
      <c r="J156" s="57"/>
      <c r="K156" s="9"/>
      <c r="L156" s="9"/>
      <c r="M156" s="58"/>
      <c r="N156" s="59"/>
    </row>
    <row r="157" ht="22.5" customHeight="1">
      <c r="A157" s="53">
        <v>9.0</v>
      </c>
      <c r="B157" s="54" t="s">
        <v>247</v>
      </c>
      <c r="C157" s="55"/>
      <c r="D157" s="54" t="s">
        <v>266</v>
      </c>
      <c r="E157" s="56">
        <v>45937.0</v>
      </c>
      <c r="F157" s="56">
        <v>45938.0</v>
      </c>
      <c r="G157" s="54"/>
      <c r="H157" s="54"/>
      <c r="I157" s="54"/>
      <c r="J157" s="57"/>
      <c r="K157" s="9"/>
      <c r="L157" s="9"/>
      <c r="M157" s="58"/>
      <c r="N157" s="59"/>
    </row>
    <row r="158" ht="22.5" customHeight="1">
      <c r="A158" s="53">
        <v>9.0</v>
      </c>
      <c r="B158" s="54" t="s">
        <v>247</v>
      </c>
      <c r="C158" s="55"/>
      <c r="D158" s="54" t="s">
        <v>267</v>
      </c>
      <c r="E158" s="56">
        <v>45937.0</v>
      </c>
      <c r="F158" s="56">
        <v>45938.0</v>
      </c>
      <c r="G158" s="54"/>
      <c r="H158" s="54"/>
      <c r="I158" s="54"/>
      <c r="J158" s="57"/>
      <c r="K158" s="9"/>
      <c r="L158" s="9"/>
      <c r="M158" s="58"/>
      <c r="N158" s="59"/>
    </row>
    <row r="159" ht="22.5" customHeight="1">
      <c r="A159" s="53">
        <v>9.0</v>
      </c>
      <c r="B159" s="54" t="s">
        <v>247</v>
      </c>
      <c r="C159" s="55"/>
      <c r="D159" s="54" t="s">
        <v>268</v>
      </c>
      <c r="E159" s="56">
        <v>45937.0</v>
      </c>
      <c r="F159" s="56">
        <v>45938.0</v>
      </c>
      <c r="G159" s="54"/>
      <c r="H159" s="54"/>
      <c r="I159" s="54"/>
      <c r="J159" s="57"/>
      <c r="K159" s="9"/>
      <c r="L159" s="9"/>
      <c r="M159" s="58"/>
      <c r="N159" s="59"/>
    </row>
    <row r="160" ht="22.5" customHeight="1">
      <c r="A160" s="53">
        <v>9.0</v>
      </c>
      <c r="B160" s="54" t="s">
        <v>247</v>
      </c>
      <c r="C160" s="55"/>
      <c r="D160" s="54" t="s">
        <v>269</v>
      </c>
      <c r="E160" s="56">
        <v>45937.0</v>
      </c>
      <c r="F160" s="56">
        <v>45938.0</v>
      </c>
      <c r="G160" s="54"/>
      <c r="H160" s="54"/>
      <c r="I160" s="54"/>
      <c r="J160" s="57"/>
      <c r="K160" s="9"/>
      <c r="L160" s="9"/>
      <c r="M160" s="58"/>
      <c r="N160" s="59"/>
    </row>
    <row r="161" ht="22.5" customHeight="1">
      <c r="A161" s="53">
        <v>9.0</v>
      </c>
      <c r="B161" s="54" t="s">
        <v>247</v>
      </c>
      <c r="C161" s="55"/>
      <c r="D161" s="54" t="s">
        <v>270</v>
      </c>
      <c r="E161" s="56">
        <v>45937.0</v>
      </c>
      <c r="F161" s="56">
        <v>45938.0</v>
      </c>
      <c r="G161" s="54"/>
      <c r="H161" s="54"/>
      <c r="I161" s="54"/>
      <c r="J161" s="57"/>
      <c r="K161" s="9"/>
      <c r="L161" s="9"/>
      <c r="M161" s="58"/>
      <c r="N161" s="59"/>
    </row>
    <row r="162" ht="22.5" customHeight="1">
      <c r="A162" s="53">
        <v>9.0</v>
      </c>
      <c r="B162" s="54" t="s">
        <v>247</v>
      </c>
      <c r="C162" s="55"/>
      <c r="D162" s="54" t="s">
        <v>271</v>
      </c>
      <c r="E162" s="56">
        <v>45937.0</v>
      </c>
      <c r="F162" s="56">
        <v>45938.0</v>
      </c>
      <c r="G162" s="54"/>
      <c r="H162" s="54"/>
      <c r="I162" s="54"/>
      <c r="J162" s="57"/>
      <c r="K162" s="9"/>
      <c r="L162" s="9"/>
      <c r="M162" s="58"/>
      <c r="N162" s="59"/>
    </row>
    <row r="163" ht="22.5" customHeight="1">
      <c r="A163" s="53">
        <v>9.0</v>
      </c>
      <c r="B163" s="54" t="s">
        <v>247</v>
      </c>
      <c r="C163" s="55"/>
      <c r="D163" s="54" t="s">
        <v>272</v>
      </c>
      <c r="E163" s="56">
        <v>45937.0</v>
      </c>
      <c r="F163" s="56">
        <v>45938.0</v>
      </c>
      <c r="G163" s="54"/>
      <c r="H163" s="54"/>
      <c r="I163" s="54"/>
      <c r="J163" s="57"/>
      <c r="K163" s="9"/>
      <c r="L163" s="9"/>
      <c r="M163" s="58"/>
      <c r="N163" s="59"/>
    </row>
    <row r="164" ht="22.5" customHeight="1">
      <c r="A164" s="53">
        <v>9.0</v>
      </c>
      <c r="B164" s="54" t="s">
        <v>247</v>
      </c>
      <c r="C164" s="55"/>
      <c r="D164" s="54" t="s">
        <v>273</v>
      </c>
      <c r="E164" s="56">
        <v>45937.0</v>
      </c>
      <c r="F164" s="56">
        <v>45938.0</v>
      </c>
      <c r="G164" s="54"/>
      <c r="H164" s="54"/>
      <c r="I164" s="54"/>
      <c r="J164" s="57"/>
      <c r="K164" s="9"/>
      <c r="L164" s="9"/>
      <c r="M164" s="58"/>
      <c r="N164" s="59"/>
    </row>
    <row r="165" ht="22.5" customHeight="1">
      <c r="A165" s="53">
        <v>9.0</v>
      </c>
      <c r="B165" s="54" t="s">
        <v>247</v>
      </c>
      <c r="C165" s="55"/>
      <c r="D165" s="54" t="s">
        <v>274</v>
      </c>
      <c r="E165" s="56">
        <v>45937.0</v>
      </c>
      <c r="F165" s="56">
        <v>45938.0</v>
      </c>
      <c r="G165" s="54"/>
      <c r="H165" s="54"/>
      <c r="I165" s="54"/>
      <c r="J165" s="57"/>
      <c r="K165" s="9"/>
      <c r="L165" s="9"/>
      <c r="M165" s="58"/>
      <c r="N165" s="59"/>
    </row>
    <row r="166" ht="22.5" customHeight="1">
      <c r="A166" s="53">
        <v>9.0</v>
      </c>
      <c r="B166" s="54" t="s">
        <v>247</v>
      </c>
      <c r="C166" s="55"/>
      <c r="D166" s="54" t="s">
        <v>275</v>
      </c>
      <c r="E166" s="56">
        <v>45937.0</v>
      </c>
      <c r="F166" s="56">
        <v>45938.0</v>
      </c>
      <c r="G166" s="54"/>
      <c r="H166" s="54"/>
      <c r="I166" s="54"/>
      <c r="J166" s="57"/>
      <c r="K166" s="9"/>
      <c r="L166" s="9"/>
      <c r="M166" s="58"/>
      <c r="N166" s="59"/>
    </row>
    <row r="167" ht="22.5" customHeight="1">
      <c r="A167" s="53">
        <v>9.0</v>
      </c>
      <c r="B167" s="54" t="s">
        <v>247</v>
      </c>
      <c r="C167" s="55"/>
      <c r="D167" s="54" t="s">
        <v>276</v>
      </c>
      <c r="E167" s="56">
        <v>45937.0</v>
      </c>
      <c r="F167" s="56">
        <v>45938.0</v>
      </c>
      <c r="G167" s="54"/>
      <c r="H167" s="54"/>
      <c r="I167" s="54"/>
      <c r="J167" s="57"/>
      <c r="K167" s="9"/>
      <c r="L167" s="9"/>
      <c r="M167" s="58"/>
      <c r="N167" s="59"/>
    </row>
    <row r="168" ht="22.5" customHeight="1">
      <c r="A168" s="53">
        <v>9.0</v>
      </c>
      <c r="B168" s="54" t="s">
        <v>247</v>
      </c>
      <c r="C168" s="55"/>
      <c r="D168" s="54" t="s">
        <v>277</v>
      </c>
      <c r="E168" s="56">
        <v>45937.0</v>
      </c>
      <c r="F168" s="56">
        <v>45938.0</v>
      </c>
      <c r="G168" s="54"/>
      <c r="H168" s="54"/>
      <c r="I168" s="54"/>
      <c r="J168" s="57"/>
      <c r="K168" s="9"/>
      <c r="L168" s="9"/>
      <c r="M168" s="58"/>
      <c r="N168" s="59"/>
    </row>
    <row r="169" ht="22.5" customHeight="1">
      <c r="A169" s="53">
        <v>9.0</v>
      </c>
      <c r="B169" s="54" t="s">
        <v>247</v>
      </c>
      <c r="C169" s="55"/>
      <c r="D169" s="54" t="s">
        <v>278</v>
      </c>
      <c r="E169" s="56">
        <v>45937.0</v>
      </c>
      <c r="F169" s="56">
        <v>45938.0</v>
      </c>
      <c r="G169" s="54"/>
      <c r="H169" s="54"/>
      <c r="I169" s="54"/>
      <c r="J169" s="57"/>
      <c r="K169" s="9"/>
      <c r="L169" s="9"/>
      <c r="M169" s="58"/>
      <c r="N169" s="59"/>
    </row>
    <row r="170" ht="22.5" customHeight="1">
      <c r="A170" s="53">
        <v>9.0</v>
      </c>
      <c r="B170" s="54" t="s">
        <v>247</v>
      </c>
      <c r="C170" s="55"/>
      <c r="D170" s="54" t="s">
        <v>279</v>
      </c>
      <c r="E170" s="56">
        <v>45937.0</v>
      </c>
      <c r="F170" s="56">
        <v>45938.0</v>
      </c>
      <c r="G170" s="54"/>
      <c r="H170" s="54"/>
      <c r="I170" s="54"/>
      <c r="J170" s="57"/>
      <c r="K170" s="9"/>
      <c r="L170" s="9"/>
      <c r="M170" s="58"/>
      <c r="N170" s="59"/>
    </row>
    <row r="171" ht="22.5" customHeight="1">
      <c r="A171" s="53">
        <v>9.0</v>
      </c>
      <c r="B171" s="54" t="s">
        <v>247</v>
      </c>
      <c r="C171" s="55"/>
      <c r="D171" s="54" t="s">
        <v>280</v>
      </c>
      <c r="E171" s="56">
        <v>45937.0</v>
      </c>
      <c r="F171" s="56">
        <v>45938.0</v>
      </c>
      <c r="G171" s="54"/>
      <c r="H171" s="54"/>
      <c r="I171" s="54"/>
      <c r="J171" s="57"/>
      <c r="K171" s="9"/>
      <c r="L171" s="9"/>
      <c r="M171" s="58"/>
      <c r="N171" s="59"/>
    </row>
    <row r="172" ht="22.5" customHeight="1">
      <c r="A172" s="53">
        <v>9.0</v>
      </c>
      <c r="B172" s="54" t="s">
        <v>247</v>
      </c>
      <c r="C172" s="55"/>
      <c r="D172" s="54" t="s">
        <v>281</v>
      </c>
      <c r="E172" s="56">
        <v>45937.0</v>
      </c>
      <c r="F172" s="56">
        <v>45938.0</v>
      </c>
      <c r="G172" s="54"/>
      <c r="H172" s="54"/>
      <c r="I172" s="54"/>
      <c r="J172" s="57"/>
      <c r="K172" s="9"/>
      <c r="L172" s="9"/>
      <c r="M172" s="58"/>
      <c r="N172" s="59"/>
    </row>
    <row r="173" ht="22.5" customHeight="1">
      <c r="A173" s="53">
        <v>9.0</v>
      </c>
      <c r="B173" s="54" t="s">
        <v>247</v>
      </c>
      <c r="C173" s="55"/>
      <c r="D173" s="54" t="s">
        <v>282</v>
      </c>
      <c r="E173" s="56">
        <v>45937.0</v>
      </c>
      <c r="F173" s="56">
        <v>45938.0</v>
      </c>
      <c r="G173" s="54"/>
      <c r="H173" s="54"/>
      <c r="I173" s="54"/>
      <c r="J173" s="57"/>
      <c r="K173" s="9"/>
      <c r="L173" s="9"/>
      <c r="M173" s="58"/>
      <c r="N173" s="59"/>
    </row>
    <row r="174" ht="22.5" customHeight="1">
      <c r="A174" s="53">
        <v>9.0</v>
      </c>
      <c r="B174" s="54" t="s">
        <v>247</v>
      </c>
      <c r="C174" s="55"/>
      <c r="D174" s="54" t="s">
        <v>283</v>
      </c>
      <c r="E174" s="56">
        <v>45937.0</v>
      </c>
      <c r="F174" s="56">
        <v>45938.0</v>
      </c>
      <c r="G174" s="54"/>
      <c r="H174" s="54"/>
      <c r="I174" s="54"/>
      <c r="J174" s="57"/>
      <c r="K174" s="9"/>
      <c r="L174" s="9"/>
      <c r="M174" s="58"/>
      <c r="N174" s="59"/>
    </row>
    <row r="175" ht="22.5" customHeight="1">
      <c r="A175" s="53">
        <v>9.0</v>
      </c>
      <c r="B175" s="54" t="s">
        <v>247</v>
      </c>
      <c r="C175" s="55"/>
      <c r="D175" s="54" t="s">
        <v>284</v>
      </c>
      <c r="E175" s="56">
        <v>45937.0</v>
      </c>
      <c r="F175" s="56">
        <v>45938.0</v>
      </c>
      <c r="G175" s="54"/>
      <c r="H175" s="54"/>
      <c r="I175" s="54"/>
      <c r="J175" s="57"/>
      <c r="K175" s="9"/>
      <c r="L175" s="9"/>
      <c r="M175" s="58"/>
      <c r="N175" s="59"/>
    </row>
    <row r="176" ht="22.5" customHeight="1">
      <c r="A176" s="53">
        <v>9.0</v>
      </c>
      <c r="B176" s="54" t="s">
        <v>247</v>
      </c>
      <c r="C176" s="55"/>
      <c r="D176" s="54" t="s">
        <v>285</v>
      </c>
      <c r="E176" s="56">
        <v>45937.0</v>
      </c>
      <c r="F176" s="56">
        <v>45938.0</v>
      </c>
      <c r="G176" s="54"/>
      <c r="H176" s="54"/>
      <c r="I176" s="54"/>
      <c r="J176" s="57"/>
      <c r="K176" s="9"/>
      <c r="L176" s="9"/>
      <c r="M176" s="58"/>
      <c r="N176" s="59"/>
    </row>
    <row r="177" ht="22.5" customHeight="1">
      <c r="A177" s="53">
        <v>9.0</v>
      </c>
      <c r="B177" s="54" t="s">
        <v>247</v>
      </c>
      <c r="C177" s="55"/>
      <c r="D177" s="54" t="s">
        <v>286</v>
      </c>
      <c r="E177" s="56">
        <v>45937.0</v>
      </c>
      <c r="F177" s="56">
        <v>45938.0</v>
      </c>
      <c r="G177" s="54"/>
      <c r="H177" s="54"/>
      <c r="I177" s="54"/>
      <c r="J177" s="57"/>
      <c r="K177" s="9"/>
      <c r="L177" s="9"/>
      <c r="M177" s="58"/>
      <c r="N177" s="59"/>
    </row>
    <row r="178" ht="22.5" customHeight="1">
      <c r="A178" s="53">
        <v>9.0</v>
      </c>
      <c r="B178" s="54" t="s">
        <v>247</v>
      </c>
      <c r="C178" s="55"/>
      <c r="D178" s="54" t="s">
        <v>287</v>
      </c>
      <c r="E178" s="56">
        <v>45937.0</v>
      </c>
      <c r="F178" s="56">
        <v>45938.0</v>
      </c>
      <c r="G178" s="54"/>
      <c r="H178" s="54"/>
      <c r="I178" s="54"/>
      <c r="J178" s="57"/>
      <c r="K178" s="9"/>
      <c r="L178" s="9"/>
      <c r="M178" s="58"/>
      <c r="N178" s="59"/>
    </row>
    <row r="179" ht="22.5" customHeight="1">
      <c r="A179" s="53">
        <v>9.0</v>
      </c>
      <c r="B179" s="54" t="s">
        <v>247</v>
      </c>
      <c r="C179" s="55"/>
      <c r="D179" s="54" t="s">
        <v>288</v>
      </c>
      <c r="E179" s="56">
        <v>45937.0</v>
      </c>
      <c r="F179" s="56">
        <v>45938.0</v>
      </c>
      <c r="G179" s="54"/>
      <c r="H179" s="54"/>
      <c r="I179" s="54"/>
      <c r="J179" s="57"/>
      <c r="K179" s="9"/>
      <c r="L179" s="9"/>
      <c r="M179" s="58"/>
      <c r="N179" s="59"/>
    </row>
    <row r="180" ht="22.5" customHeight="1">
      <c r="A180" s="53">
        <v>9.0</v>
      </c>
      <c r="B180" s="54" t="s">
        <v>247</v>
      </c>
      <c r="C180" s="55"/>
      <c r="D180" s="54" t="s">
        <v>289</v>
      </c>
      <c r="E180" s="56">
        <v>45937.0</v>
      </c>
      <c r="F180" s="56">
        <v>45938.0</v>
      </c>
      <c r="G180" s="54"/>
      <c r="H180" s="54"/>
      <c r="I180" s="54"/>
      <c r="J180" s="57"/>
      <c r="K180" s="9"/>
      <c r="L180" s="9"/>
      <c r="M180" s="58"/>
      <c r="N180" s="59"/>
    </row>
    <row r="181" ht="22.5" customHeight="1">
      <c r="A181" s="53">
        <v>9.0</v>
      </c>
      <c r="B181" s="54" t="s">
        <v>247</v>
      </c>
      <c r="C181" s="55"/>
      <c r="D181" s="54" t="s">
        <v>290</v>
      </c>
      <c r="E181" s="56">
        <v>45937.0</v>
      </c>
      <c r="F181" s="56">
        <v>45938.0</v>
      </c>
      <c r="G181" s="54"/>
      <c r="H181" s="54"/>
      <c r="I181" s="54"/>
      <c r="J181" s="57"/>
      <c r="K181" s="9"/>
      <c r="L181" s="9"/>
      <c r="M181" s="58"/>
      <c r="N181" s="59"/>
    </row>
    <row r="182" ht="22.5" customHeight="1">
      <c r="A182" s="53">
        <v>9.0</v>
      </c>
      <c r="B182" s="54" t="s">
        <v>247</v>
      </c>
      <c r="C182" s="55"/>
      <c r="D182" s="54" t="s">
        <v>291</v>
      </c>
      <c r="E182" s="56">
        <v>45937.0</v>
      </c>
      <c r="F182" s="56">
        <v>45938.0</v>
      </c>
      <c r="G182" s="54"/>
      <c r="H182" s="54"/>
      <c r="I182" s="54"/>
      <c r="J182" s="57"/>
      <c r="K182" s="9"/>
      <c r="L182" s="9"/>
      <c r="M182" s="58"/>
      <c r="N182" s="59"/>
    </row>
    <row r="183" ht="22.5" customHeight="1">
      <c r="A183" s="53">
        <v>9.0</v>
      </c>
      <c r="B183" s="54" t="s">
        <v>247</v>
      </c>
      <c r="C183" s="55"/>
      <c r="D183" s="54" t="s">
        <v>292</v>
      </c>
      <c r="E183" s="56">
        <v>45937.0</v>
      </c>
      <c r="F183" s="56">
        <v>45938.0</v>
      </c>
      <c r="G183" s="54"/>
      <c r="H183" s="54"/>
      <c r="I183" s="54"/>
      <c r="J183" s="57"/>
      <c r="K183" s="9"/>
      <c r="L183" s="9"/>
      <c r="M183" s="58"/>
      <c r="N183" s="59"/>
    </row>
    <row r="184" ht="22.5" customHeight="1">
      <c r="A184" s="53">
        <v>9.0</v>
      </c>
      <c r="B184" s="54" t="s">
        <v>247</v>
      </c>
      <c r="C184" s="55"/>
      <c r="D184" s="54" t="s">
        <v>293</v>
      </c>
      <c r="E184" s="56">
        <v>45937.0</v>
      </c>
      <c r="F184" s="56">
        <v>45938.0</v>
      </c>
      <c r="G184" s="54"/>
      <c r="H184" s="54"/>
      <c r="I184" s="54"/>
      <c r="J184" s="57"/>
      <c r="K184" s="9"/>
      <c r="L184" s="9"/>
      <c r="M184" s="58"/>
      <c r="N184" s="59"/>
    </row>
    <row r="185" ht="22.5" customHeight="1">
      <c r="A185" s="53">
        <v>9.0</v>
      </c>
      <c r="B185" s="54" t="s">
        <v>247</v>
      </c>
      <c r="C185" s="55"/>
      <c r="D185" s="54" t="s">
        <v>294</v>
      </c>
      <c r="E185" s="56">
        <v>45937.0</v>
      </c>
      <c r="F185" s="56">
        <v>45938.0</v>
      </c>
      <c r="G185" s="54"/>
      <c r="H185" s="54"/>
      <c r="I185" s="54"/>
      <c r="J185" s="57"/>
      <c r="K185" s="9"/>
      <c r="L185" s="9"/>
      <c r="M185" s="58"/>
      <c r="N185" s="59"/>
    </row>
    <row r="186" ht="22.5" customHeight="1">
      <c r="A186" s="53">
        <v>9.0</v>
      </c>
      <c r="B186" s="54" t="s">
        <v>247</v>
      </c>
      <c r="C186" s="55"/>
      <c r="D186" s="54" t="s">
        <v>295</v>
      </c>
      <c r="E186" s="56">
        <v>45937.0</v>
      </c>
      <c r="F186" s="56">
        <v>45938.0</v>
      </c>
      <c r="G186" s="54"/>
      <c r="H186" s="54"/>
      <c r="I186" s="54"/>
      <c r="J186" s="57"/>
      <c r="K186" s="9"/>
      <c r="L186" s="9"/>
      <c r="M186" s="58"/>
      <c r="N186" s="59"/>
    </row>
    <row r="187" ht="22.5" customHeight="1">
      <c r="A187" s="53">
        <v>9.0</v>
      </c>
      <c r="B187" s="54" t="s">
        <v>247</v>
      </c>
      <c r="C187" s="55"/>
      <c r="D187" s="54" t="s">
        <v>296</v>
      </c>
      <c r="E187" s="56">
        <v>45937.0</v>
      </c>
      <c r="F187" s="56">
        <v>45938.0</v>
      </c>
      <c r="G187" s="54"/>
      <c r="H187" s="54"/>
      <c r="I187" s="54"/>
      <c r="J187" s="57"/>
      <c r="K187" s="9"/>
      <c r="L187" s="9"/>
      <c r="M187" s="58"/>
      <c r="N187" s="59"/>
    </row>
    <row r="188" ht="22.5" customHeight="1">
      <c r="A188" s="53">
        <v>9.0</v>
      </c>
      <c r="B188" s="54" t="s">
        <v>247</v>
      </c>
      <c r="C188" s="55"/>
      <c r="D188" s="54" t="s">
        <v>297</v>
      </c>
      <c r="E188" s="56">
        <v>45937.0</v>
      </c>
      <c r="F188" s="56">
        <v>45938.0</v>
      </c>
      <c r="G188" s="54"/>
      <c r="H188" s="54"/>
      <c r="I188" s="54"/>
      <c r="J188" s="57"/>
      <c r="K188" s="9"/>
      <c r="L188" s="9"/>
      <c r="M188" s="58"/>
      <c r="N188" s="59"/>
    </row>
    <row r="189" ht="22.5" customHeight="1">
      <c r="A189" s="53">
        <v>9.0</v>
      </c>
      <c r="B189" s="54" t="s">
        <v>247</v>
      </c>
      <c r="C189" s="55"/>
      <c r="D189" s="54" t="s">
        <v>298</v>
      </c>
      <c r="E189" s="56">
        <v>45937.0</v>
      </c>
      <c r="F189" s="56">
        <v>45938.0</v>
      </c>
      <c r="G189" s="54"/>
      <c r="H189" s="54"/>
      <c r="I189" s="54"/>
      <c r="J189" s="57"/>
      <c r="K189" s="9"/>
      <c r="L189" s="9"/>
      <c r="M189" s="58"/>
      <c r="N189" s="59"/>
    </row>
    <row r="190" ht="22.5" customHeight="1">
      <c r="A190" s="53">
        <v>9.0</v>
      </c>
      <c r="B190" s="54" t="s">
        <v>247</v>
      </c>
      <c r="C190" s="55"/>
      <c r="D190" s="54" t="s">
        <v>299</v>
      </c>
      <c r="E190" s="56">
        <v>45937.0</v>
      </c>
      <c r="F190" s="56">
        <v>45938.0</v>
      </c>
      <c r="G190" s="54"/>
      <c r="H190" s="54"/>
      <c r="I190" s="54"/>
      <c r="J190" s="57"/>
      <c r="K190" s="9"/>
      <c r="L190" s="9"/>
      <c r="M190" s="58"/>
      <c r="N190" s="59"/>
    </row>
    <row r="191" ht="22.5" customHeight="1">
      <c r="A191" s="53">
        <v>9.0</v>
      </c>
      <c r="B191" s="54" t="s">
        <v>247</v>
      </c>
      <c r="C191" s="55"/>
      <c r="D191" s="54" t="s">
        <v>300</v>
      </c>
      <c r="E191" s="56">
        <v>45937.0</v>
      </c>
      <c r="F191" s="56">
        <v>45938.0</v>
      </c>
      <c r="G191" s="54"/>
      <c r="H191" s="54"/>
      <c r="I191" s="54"/>
      <c r="J191" s="57"/>
      <c r="K191" s="9"/>
      <c r="L191" s="9"/>
      <c r="M191" s="58"/>
      <c r="N191" s="59"/>
    </row>
    <row r="192" ht="22.5" customHeight="1">
      <c r="A192" s="53">
        <v>9.0</v>
      </c>
      <c r="B192" s="54" t="s">
        <v>247</v>
      </c>
      <c r="C192" s="55"/>
      <c r="D192" s="54" t="s">
        <v>301</v>
      </c>
      <c r="E192" s="56">
        <v>45937.0</v>
      </c>
      <c r="F192" s="56">
        <v>45938.0</v>
      </c>
      <c r="G192" s="54"/>
      <c r="H192" s="54"/>
      <c r="I192" s="54"/>
      <c r="J192" s="57"/>
      <c r="K192" s="9"/>
      <c r="L192" s="9"/>
      <c r="M192" s="58"/>
      <c r="N192" s="59"/>
    </row>
    <row r="193" ht="22.5" customHeight="1">
      <c r="A193" s="53">
        <v>9.0</v>
      </c>
      <c r="B193" s="54" t="s">
        <v>247</v>
      </c>
      <c r="C193" s="55"/>
      <c r="D193" s="54" t="s">
        <v>302</v>
      </c>
      <c r="E193" s="56">
        <v>45937.0</v>
      </c>
      <c r="F193" s="56">
        <v>45938.0</v>
      </c>
      <c r="G193" s="54"/>
      <c r="H193" s="54"/>
      <c r="I193" s="54"/>
      <c r="J193" s="57"/>
      <c r="K193" s="9"/>
      <c r="L193" s="9"/>
      <c r="M193" s="58"/>
      <c r="N193" s="59"/>
    </row>
    <row r="194" ht="22.5" customHeight="1">
      <c r="A194" s="53">
        <v>9.0</v>
      </c>
      <c r="B194" s="54" t="s">
        <v>247</v>
      </c>
      <c r="C194" s="55"/>
      <c r="D194" s="54" t="s">
        <v>303</v>
      </c>
      <c r="E194" s="56">
        <v>45937.0</v>
      </c>
      <c r="F194" s="56">
        <v>45938.0</v>
      </c>
      <c r="G194" s="54"/>
      <c r="H194" s="54"/>
      <c r="I194" s="54"/>
      <c r="J194" s="57"/>
      <c r="K194" s="9"/>
      <c r="L194" s="9"/>
      <c r="M194" s="58"/>
      <c r="N194" s="59"/>
    </row>
    <row r="195" ht="22.5" customHeight="1">
      <c r="A195" s="53">
        <v>9.0</v>
      </c>
      <c r="B195" s="54" t="s">
        <v>247</v>
      </c>
      <c r="C195" s="55"/>
      <c r="D195" s="54" t="s">
        <v>304</v>
      </c>
      <c r="E195" s="56">
        <v>45937.0</v>
      </c>
      <c r="F195" s="56">
        <v>45938.0</v>
      </c>
      <c r="G195" s="54"/>
      <c r="H195" s="54"/>
      <c r="I195" s="54"/>
      <c r="J195" s="57"/>
      <c r="K195" s="9"/>
      <c r="L195" s="9"/>
      <c r="M195" s="58"/>
      <c r="N195" s="59"/>
    </row>
    <row r="196" ht="22.5" customHeight="1">
      <c r="A196" s="53">
        <v>9.0</v>
      </c>
      <c r="B196" s="54" t="s">
        <v>247</v>
      </c>
      <c r="C196" s="55"/>
      <c r="D196" s="54" t="s">
        <v>305</v>
      </c>
      <c r="E196" s="56">
        <v>45937.0</v>
      </c>
      <c r="F196" s="56">
        <v>45938.0</v>
      </c>
      <c r="G196" s="54"/>
      <c r="H196" s="54"/>
      <c r="I196" s="54"/>
      <c r="J196" s="57"/>
      <c r="K196" s="9"/>
      <c r="L196" s="9"/>
      <c r="M196" s="58"/>
      <c r="N196" s="59"/>
    </row>
    <row r="197" ht="22.5" customHeight="1">
      <c r="A197" s="53">
        <v>9.0</v>
      </c>
      <c r="B197" s="54" t="s">
        <v>247</v>
      </c>
      <c r="C197" s="55"/>
      <c r="D197" s="54" t="s">
        <v>306</v>
      </c>
      <c r="E197" s="56">
        <v>45937.0</v>
      </c>
      <c r="F197" s="56">
        <v>45938.0</v>
      </c>
      <c r="G197" s="54"/>
      <c r="H197" s="54"/>
      <c r="I197" s="54"/>
      <c r="J197" s="57"/>
      <c r="K197" s="9"/>
      <c r="L197" s="9"/>
      <c r="M197" s="58"/>
      <c r="N197" s="59"/>
    </row>
    <row r="198" ht="22.5" customHeight="1">
      <c r="A198" s="53">
        <v>9.0</v>
      </c>
      <c r="B198" s="54" t="s">
        <v>247</v>
      </c>
      <c r="C198" s="55"/>
      <c r="D198" s="54" t="s">
        <v>307</v>
      </c>
      <c r="E198" s="56">
        <v>45937.0</v>
      </c>
      <c r="F198" s="56">
        <v>45938.0</v>
      </c>
      <c r="G198" s="54"/>
      <c r="H198" s="54"/>
      <c r="I198" s="54"/>
      <c r="J198" s="57"/>
      <c r="K198" s="9"/>
      <c r="L198" s="9"/>
      <c r="M198" s="58"/>
      <c r="N198" s="59"/>
    </row>
    <row r="199" ht="22.5" customHeight="1">
      <c r="A199" s="53">
        <v>9.0</v>
      </c>
      <c r="B199" s="54" t="s">
        <v>247</v>
      </c>
      <c r="C199" s="55"/>
      <c r="D199" s="54" t="s">
        <v>308</v>
      </c>
      <c r="E199" s="56">
        <v>45937.0</v>
      </c>
      <c r="F199" s="56">
        <v>45938.0</v>
      </c>
      <c r="G199" s="54"/>
      <c r="H199" s="54"/>
      <c r="I199" s="54"/>
      <c r="J199" s="57"/>
      <c r="K199" s="9"/>
      <c r="L199" s="9"/>
      <c r="M199" s="58"/>
      <c r="N199" s="59"/>
    </row>
    <row r="200" ht="22.5" customHeight="1">
      <c r="A200" s="53">
        <v>9.0</v>
      </c>
      <c r="B200" s="54" t="s">
        <v>247</v>
      </c>
      <c r="C200" s="55"/>
      <c r="D200" s="54" t="s">
        <v>309</v>
      </c>
      <c r="E200" s="56">
        <v>45937.0</v>
      </c>
      <c r="F200" s="56">
        <v>45938.0</v>
      </c>
      <c r="G200" s="54"/>
      <c r="H200" s="54"/>
      <c r="I200" s="54"/>
      <c r="J200" s="57"/>
      <c r="K200" s="9"/>
      <c r="L200" s="9"/>
      <c r="M200" s="58"/>
      <c r="N200" s="59"/>
    </row>
    <row r="201" ht="22.5" customHeight="1">
      <c r="A201" s="53">
        <v>9.0</v>
      </c>
      <c r="B201" s="54" t="s">
        <v>247</v>
      </c>
      <c r="C201" s="55"/>
      <c r="D201" s="54" t="s">
        <v>310</v>
      </c>
      <c r="E201" s="56">
        <v>45937.0</v>
      </c>
      <c r="F201" s="56">
        <v>45938.0</v>
      </c>
      <c r="G201" s="54"/>
      <c r="H201" s="54"/>
      <c r="I201" s="54"/>
      <c r="J201" s="57"/>
      <c r="K201" s="9"/>
      <c r="L201" s="9"/>
      <c r="M201" s="58"/>
      <c r="N201" s="59"/>
    </row>
    <row r="202" ht="22.5" customHeight="1">
      <c r="A202" s="53">
        <v>9.0</v>
      </c>
      <c r="B202" s="54" t="s">
        <v>247</v>
      </c>
      <c r="C202" s="55"/>
      <c r="D202" s="54" t="s">
        <v>311</v>
      </c>
      <c r="E202" s="56">
        <v>45937.0</v>
      </c>
      <c r="F202" s="56">
        <v>45938.0</v>
      </c>
      <c r="G202" s="54"/>
      <c r="H202" s="54"/>
      <c r="I202" s="54"/>
      <c r="J202" s="57"/>
      <c r="K202" s="9"/>
      <c r="L202" s="9"/>
      <c r="M202" s="58"/>
      <c r="N202" s="59"/>
    </row>
    <row r="203" ht="22.5" customHeight="1">
      <c r="A203" s="53">
        <v>10.0</v>
      </c>
      <c r="B203" s="54" t="s">
        <v>312</v>
      </c>
      <c r="C203" s="54" t="s">
        <v>313</v>
      </c>
      <c r="D203" s="54" t="s">
        <v>314</v>
      </c>
      <c r="E203" s="56">
        <v>45937.0</v>
      </c>
      <c r="F203" s="56">
        <v>45938.0</v>
      </c>
      <c r="G203" s="54"/>
      <c r="H203" s="54"/>
      <c r="I203" s="54"/>
      <c r="J203" s="57"/>
      <c r="K203" s="9"/>
      <c r="L203" s="9"/>
      <c r="M203" s="58"/>
      <c r="N203" s="59"/>
    </row>
    <row r="204" ht="22.5" customHeight="1">
      <c r="A204" s="53">
        <v>10.0</v>
      </c>
      <c r="B204" s="54" t="s">
        <v>312</v>
      </c>
      <c r="C204" s="54" t="s">
        <v>315</v>
      </c>
      <c r="D204" s="54" t="s">
        <v>316</v>
      </c>
      <c r="E204" s="56">
        <v>45937.0</v>
      </c>
      <c r="F204" s="56">
        <v>45938.0</v>
      </c>
      <c r="G204" s="54"/>
      <c r="H204" s="54"/>
      <c r="I204" s="54"/>
      <c r="J204" s="57"/>
      <c r="K204" s="9"/>
      <c r="L204" s="9"/>
      <c r="M204" s="58"/>
      <c r="N204" s="59"/>
    </row>
    <row r="205" ht="22.5" customHeight="1">
      <c r="A205" s="53">
        <v>10.0</v>
      </c>
      <c r="B205" s="54" t="s">
        <v>312</v>
      </c>
      <c r="C205" s="54" t="s">
        <v>317</v>
      </c>
      <c r="D205" s="54" t="s">
        <v>318</v>
      </c>
      <c r="E205" s="56">
        <v>45937.0</v>
      </c>
      <c r="F205" s="56">
        <v>45938.0</v>
      </c>
      <c r="G205" s="54"/>
      <c r="H205" s="54"/>
      <c r="I205" s="54"/>
      <c r="J205" s="57"/>
      <c r="K205" s="9"/>
      <c r="L205" s="9"/>
      <c r="M205" s="58"/>
      <c r="N205" s="59"/>
    </row>
    <row r="206" ht="22.5" customHeight="1">
      <c r="A206" s="53">
        <v>10.0</v>
      </c>
      <c r="B206" s="54" t="s">
        <v>312</v>
      </c>
      <c r="C206" s="54" t="s">
        <v>319</v>
      </c>
      <c r="D206" s="54" t="s">
        <v>320</v>
      </c>
      <c r="E206" s="56">
        <v>45937.0</v>
      </c>
      <c r="F206" s="56">
        <v>45938.0</v>
      </c>
      <c r="G206" s="54"/>
      <c r="H206" s="54"/>
      <c r="I206" s="54"/>
      <c r="J206" s="57"/>
      <c r="K206" s="9"/>
      <c r="L206" s="9"/>
      <c r="M206" s="58"/>
      <c r="N206" s="59"/>
    </row>
    <row r="207" ht="22.5" customHeight="1">
      <c r="A207" s="53">
        <v>10.0</v>
      </c>
      <c r="B207" s="54" t="s">
        <v>312</v>
      </c>
      <c r="C207" s="54" t="s">
        <v>321</v>
      </c>
      <c r="D207" s="54" t="s">
        <v>322</v>
      </c>
      <c r="E207" s="56">
        <v>45937.0</v>
      </c>
      <c r="F207" s="56">
        <v>45938.0</v>
      </c>
      <c r="G207" s="54"/>
      <c r="H207" s="54"/>
      <c r="I207" s="54"/>
      <c r="J207" s="57"/>
      <c r="K207" s="9"/>
      <c r="L207" s="9"/>
      <c r="M207" s="58"/>
      <c r="N207" s="59"/>
    </row>
    <row r="208" ht="22.5" customHeight="1">
      <c r="A208" s="53">
        <v>10.0</v>
      </c>
      <c r="B208" s="54" t="s">
        <v>312</v>
      </c>
      <c r="C208" s="54" t="s">
        <v>323</v>
      </c>
      <c r="D208" s="54" t="s">
        <v>324</v>
      </c>
      <c r="E208" s="56">
        <v>45937.0</v>
      </c>
      <c r="F208" s="56">
        <v>45938.0</v>
      </c>
      <c r="G208" s="54"/>
      <c r="H208" s="54"/>
      <c r="I208" s="54"/>
      <c r="J208" s="57"/>
      <c r="K208" s="9"/>
      <c r="L208" s="9"/>
      <c r="M208" s="58"/>
      <c r="N208" s="59"/>
    </row>
    <row r="209" ht="22.5" customHeight="1">
      <c r="A209" s="53">
        <v>10.0</v>
      </c>
      <c r="B209" s="54" t="s">
        <v>312</v>
      </c>
      <c r="C209" s="54" t="s">
        <v>325</v>
      </c>
      <c r="D209" s="54" t="s">
        <v>326</v>
      </c>
      <c r="E209" s="56">
        <v>45937.0</v>
      </c>
      <c r="F209" s="56">
        <v>45938.0</v>
      </c>
      <c r="G209" s="54"/>
      <c r="H209" s="54"/>
      <c r="I209" s="54"/>
      <c r="J209" s="57"/>
      <c r="K209" s="9"/>
      <c r="L209" s="9"/>
      <c r="M209" s="58"/>
      <c r="N209" s="59"/>
    </row>
    <row r="210" ht="22.5" customHeight="1">
      <c r="A210" s="53">
        <v>10.0</v>
      </c>
      <c r="B210" s="54" t="s">
        <v>312</v>
      </c>
      <c r="C210" s="54" t="s">
        <v>327</v>
      </c>
      <c r="D210" s="54" t="s">
        <v>328</v>
      </c>
      <c r="E210" s="56">
        <v>45937.0</v>
      </c>
      <c r="F210" s="56">
        <v>45938.0</v>
      </c>
      <c r="G210" s="54"/>
      <c r="H210" s="54"/>
      <c r="I210" s="54"/>
      <c r="J210" s="57"/>
      <c r="K210" s="9"/>
      <c r="L210" s="9"/>
      <c r="M210" s="58"/>
      <c r="N210" s="59"/>
    </row>
    <row r="211" ht="22.5" customHeight="1">
      <c r="A211" s="53">
        <v>10.0</v>
      </c>
      <c r="B211" s="54" t="s">
        <v>312</v>
      </c>
      <c r="C211" s="54" t="s">
        <v>329</v>
      </c>
      <c r="D211" s="54" t="s">
        <v>330</v>
      </c>
      <c r="E211" s="56">
        <v>45937.0</v>
      </c>
      <c r="F211" s="56">
        <v>45938.0</v>
      </c>
      <c r="G211" s="54"/>
      <c r="H211" s="54"/>
      <c r="I211" s="54"/>
      <c r="J211" s="57"/>
      <c r="K211" s="9"/>
      <c r="L211" s="9"/>
      <c r="M211" s="58"/>
      <c r="N211" s="59"/>
    </row>
    <row r="212" ht="22.5" customHeight="1">
      <c r="A212" s="53">
        <v>10.0</v>
      </c>
      <c r="B212" s="54" t="s">
        <v>312</v>
      </c>
      <c r="C212" s="54" t="s">
        <v>331</v>
      </c>
      <c r="D212" s="54" t="s">
        <v>332</v>
      </c>
      <c r="E212" s="56">
        <v>45937.0</v>
      </c>
      <c r="F212" s="56">
        <v>45938.0</v>
      </c>
      <c r="G212" s="54"/>
      <c r="H212" s="54"/>
      <c r="I212" s="54"/>
      <c r="J212" s="57"/>
      <c r="K212" s="9"/>
      <c r="L212" s="9"/>
      <c r="M212" s="58"/>
      <c r="N212" s="59"/>
    </row>
    <row r="213" ht="22.5" customHeight="1">
      <c r="A213" s="53">
        <v>10.0</v>
      </c>
      <c r="B213" s="54" t="s">
        <v>312</v>
      </c>
      <c r="C213" s="54" t="s">
        <v>333</v>
      </c>
      <c r="D213" s="54" t="s">
        <v>334</v>
      </c>
      <c r="E213" s="56">
        <v>45937.0</v>
      </c>
      <c r="F213" s="56">
        <v>45938.0</v>
      </c>
      <c r="G213" s="54"/>
      <c r="H213" s="54"/>
      <c r="I213" s="54"/>
      <c r="J213" s="57"/>
      <c r="K213" s="9"/>
      <c r="L213" s="9"/>
      <c r="M213" s="58"/>
      <c r="N213" s="59"/>
    </row>
    <row r="214" ht="22.5" customHeight="1">
      <c r="A214" s="53">
        <v>10.0</v>
      </c>
      <c r="B214" s="54" t="s">
        <v>312</v>
      </c>
      <c r="C214" s="54" t="s">
        <v>335</v>
      </c>
      <c r="D214" s="54" t="s">
        <v>336</v>
      </c>
      <c r="E214" s="56">
        <v>45937.0</v>
      </c>
      <c r="F214" s="56">
        <v>45938.0</v>
      </c>
      <c r="G214" s="54"/>
      <c r="H214" s="54"/>
      <c r="I214" s="54"/>
      <c r="J214" s="57"/>
      <c r="K214" s="9"/>
      <c r="L214" s="9"/>
      <c r="M214" s="58"/>
      <c r="N214" s="59"/>
    </row>
    <row r="215" ht="22.5" customHeight="1">
      <c r="A215" s="53">
        <v>10.0</v>
      </c>
      <c r="B215" s="54" t="s">
        <v>312</v>
      </c>
      <c r="C215" s="54" t="s">
        <v>337</v>
      </c>
      <c r="D215" s="54" t="s">
        <v>338</v>
      </c>
      <c r="E215" s="56">
        <v>45937.0</v>
      </c>
      <c r="F215" s="56">
        <v>45938.0</v>
      </c>
      <c r="G215" s="54"/>
      <c r="H215" s="54"/>
      <c r="I215" s="54"/>
      <c r="J215" s="57"/>
      <c r="K215" s="9"/>
      <c r="L215" s="9"/>
      <c r="M215" s="58"/>
      <c r="N215" s="59"/>
    </row>
    <row r="216" ht="22.5" customHeight="1">
      <c r="A216" s="53">
        <v>10.0</v>
      </c>
      <c r="B216" s="54" t="s">
        <v>312</v>
      </c>
      <c r="C216" s="54" t="s">
        <v>339</v>
      </c>
      <c r="D216" s="54" t="s">
        <v>340</v>
      </c>
      <c r="E216" s="56">
        <v>45937.0</v>
      </c>
      <c r="F216" s="56">
        <v>45938.0</v>
      </c>
      <c r="G216" s="54"/>
      <c r="H216" s="54"/>
      <c r="I216" s="54"/>
      <c r="J216" s="57"/>
      <c r="K216" s="9"/>
      <c r="L216" s="9"/>
      <c r="M216" s="58"/>
      <c r="N216" s="59"/>
    </row>
    <row r="217" ht="22.5" customHeight="1">
      <c r="A217" s="53">
        <v>10.0</v>
      </c>
      <c r="B217" s="54" t="s">
        <v>312</v>
      </c>
      <c r="C217" s="54" t="s">
        <v>341</v>
      </c>
      <c r="D217" s="54" t="s">
        <v>342</v>
      </c>
      <c r="E217" s="56">
        <v>45937.0</v>
      </c>
      <c r="F217" s="56">
        <v>45938.0</v>
      </c>
      <c r="G217" s="54"/>
      <c r="H217" s="54"/>
      <c r="I217" s="54"/>
      <c r="J217" s="57"/>
      <c r="K217" s="9"/>
      <c r="L217" s="9"/>
      <c r="M217" s="58"/>
      <c r="N217" s="59"/>
    </row>
    <row r="218" ht="22.5" customHeight="1">
      <c r="A218" s="53">
        <v>10.0</v>
      </c>
      <c r="B218" s="54" t="s">
        <v>312</v>
      </c>
      <c r="C218" s="54" t="s">
        <v>343</v>
      </c>
      <c r="D218" s="54" t="s">
        <v>344</v>
      </c>
      <c r="E218" s="56">
        <v>45937.0</v>
      </c>
      <c r="F218" s="56">
        <v>45938.0</v>
      </c>
      <c r="G218" s="54"/>
      <c r="H218" s="54"/>
      <c r="I218" s="54"/>
      <c r="J218" s="57"/>
      <c r="K218" s="9"/>
      <c r="L218" s="9"/>
      <c r="M218" s="58"/>
      <c r="N218" s="59"/>
    </row>
    <row r="219" ht="22.5" customHeight="1">
      <c r="A219" s="53">
        <v>10.0</v>
      </c>
      <c r="B219" s="54" t="s">
        <v>312</v>
      </c>
      <c r="C219" s="54" t="s">
        <v>345</v>
      </c>
      <c r="D219" s="54" t="s">
        <v>346</v>
      </c>
      <c r="E219" s="56">
        <v>45937.0</v>
      </c>
      <c r="F219" s="56">
        <v>45938.0</v>
      </c>
      <c r="G219" s="54"/>
      <c r="H219" s="54"/>
      <c r="I219" s="54"/>
      <c r="J219" s="57"/>
      <c r="K219" s="9"/>
      <c r="L219" s="9"/>
      <c r="M219" s="58"/>
      <c r="N219" s="59"/>
    </row>
    <row r="220" ht="22.5" customHeight="1">
      <c r="A220" s="53">
        <v>10.0</v>
      </c>
      <c r="B220" s="54" t="s">
        <v>312</v>
      </c>
      <c r="C220" s="54" t="s">
        <v>347</v>
      </c>
      <c r="D220" s="54" t="s">
        <v>348</v>
      </c>
      <c r="E220" s="56">
        <v>45937.0</v>
      </c>
      <c r="F220" s="56">
        <v>45938.0</v>
      </c>
      <c r="G220" s="54"/>
      <c r="H220" s="54"/>
      <c r="I220" s="54"/>
      <c r="J220" s="57"/>
      <c r="K220" s="9"/>
      <c r="L220" s="9"/>
      <c r="M220" s="58"/>
      <c r="N220" s="59"/>
    </row>
    <row r="221" ht="22.5" customHeight="1">
      <c r="A221" s="53">
        <v>10.0</v>
      </c>
      <c r="B221" s="54" t="s">
        <v>312</v>
      </c>
      <c r="C221" s="54" t="s">
        <v>349</v>
      </c>
      <c r="D221" s="54" t="s">
        <v>350</v>
      </c>
      <c r="E221" s="56">
        <v>45937.0</v>
      </c>
      <c r="F221" s="56">
        <v>45938.0</v>
      </c>
      <c r="G221" s="54"/>
      <c r="H221" s="54"/>
      <c r="I221" s="54"/>
      <c r="J221" s="57"/>
      <c r="K221" s="9"/>
      <c r="L221" s="9"/>
      <c r="M221" s="58"/>
      <c r="N221" s="59"/>
    </row>
    <row r="222" ht="22.5" customHeight="1">
      <c r="A222" s="53">
        <v>10.0</v>
      </c>
      <c r="B222" s="54" t="s">
        <v>312</v>
      </c>
      <c r="C222" s="54" t="s">
        <v>351</v>
      </c>
      <c r="D222" s="54" t="s">
        <v>352</v>
      </c>
      <c r="E222" s="56">
        <v>45937.0</v>
      </c>
      <c r="F222" s="56">
        <v>45938.0</v>
      </c>
      <c r="G222" s="54"/>
      <c r="H222" s="54"/>
      <c r="I222" s="54"/>
      <c r="J222" s="57"/>
      <c r="K222" s="9"/>
      <c r="L222" s="9"/>
      <c r="M222" s="58"/>
      <c r="N222" s="59"/>
    </row>
    <row r="223" ht="22.5" customHeight="1">
      <c r="A223" s="53">
        <v>10.0</v>
      </c>
      <c r="B223" s="54" t="s">
        <v>312</v>
      </c>
      <c r="C223" s="54" t="s">
        <v>353</v>
      </c>
      <c r="D223" s="54" t="s">
        <v>354</v>
      </c>
      <c r="E223" s="56">
        <v>45937.0</v>
      </c>
      <c r="F223" s="56">
        <v>45938.0</v>
      </c>
      <c r="G223" s="54"/>
      <c r="H223" s="54"/>
      <c r="I223" s="54"/>
      <c r="J223" s="57"/>
      <c r="K223" s="9"/>
      <c r="L223" s="9"/>
      <c r="M223" s="58"/>
      <c r="N223" s="59"/>
    </row>
    <row r="224" ht="22.5" customHeight="1">
      <c r="A224" s="53">
        <v>10.0</v>
      </c>
      <c r="B224" s="54" t="s">
        <v>312</v>
      </c>
      <c r="C224" s="54" t="s">
        <v>355</v>
      </c>
      <c r="D224" s="54" t="s">
        <v>356</v>
      </c>
      <c r="E224" s="56">
        <v>45937.0</v>
      </c>
      <c r="F224" s="56">
        <v>45938.0</v>
      </c>
      <c r="G224" s="54"/>
      <c r="H224" s="54"/>
      <c r="I224" s="54"/>
      <c r="J224" s="57"/>
      <c r="K224" s="9"/>
      <c r="L224" s="9"/>
      <c r="M224" s="58"/>
      <c r="N224" s="59"/>
    </row>
    <row r="225" ht="22.5" customHeight="1">
      <c r="A225" s="53">
        <v>10.0</v>
      </c>
      <c r="B225" s="54" t="s">
        <v>312</v>
      </c>
      <c r="C225" s="54" t="s">
        <v>357</v>
      </c>
      <c r="D225" s="54" t="s">
        <v>358</v>
      </c>
      <c r="E225" s="56">
        <v>45937.0</v>
      </c>
      <c r="F225" s="56">
        <v>45938.0</v>
      </c>
      <c r="G225" s="54"/>
      <c r="H225" s="54"/>
      <c r="I225" s="54"/>
      <c r="J225" s="57"/>
      <c r="K225" s="9"/>
      <c r="L225" s="9"/>
      <c r="M225" s="58"/>
      <c r="N225" s="59"/>
    </row>
    <row r="226" ht="22.5" customHeight="1">
      <c r="A226" s="53">
        <v>10.0</v>
      </c>
      <c r="B226" s="54" t="s">
        <v>312</v>
      </c>
      <c r="C226" s="54" t="s">
        <v>359</v>
      </c>
      <c r="D226" s="54" t="s">
        <v>360</v>
      </c>
      <c r="E226" s="56">
        <v>45937.0</v>
      </c>
      <c r="F226" s="56">
        <v>45938.0</v>
      </c>
      <c r="G226" s="54"/>
      <c r="H226" s="54"/>
      <c r="I226" s="54"/>
      <c r="J226" s="57"/>
      <c r="K226" s="9"/>
      <c r="L226" s="9"/>
      <c r="M226" s="58"/>
      <c r="N226" s="59"/>
    </row>
    <row r="227" ht="22.5" customHeight="1">
      <c r="A227" s="53">
        <v>10.0</v>
      </c>
      <c r="B227" s="54" t="s">
        <v>312</v>
      </c>
      <c r="C227" s="54" t="s">
        <v>361</v>
      </c>
      <c r="D227" s="54" t="s">
        <v>362</v>
      </c>
      <c r="E227" s="56">
        <v>45937.0</v>
      </c>
      <c r="F227" s="56">
        <v>45938.0</v>
      </c>
      <c r="G227" s="54"/>
      <c r="H227" s="54"/>
      <c r="I227" s="54"/>
      <c r="J227" s="57"/>
      <c r="K227" s="9"/>
      <c r="L227" s="9"/>
      <c r="M227" s="58"/>
      <c r="N227" s="59"/>
    </row>
    <row r="228" ht="22.5" customHeight="1">
      <c r="A228" s="53">
        <v>10.0</v>
      </c>
      <c r="B228" s="54" t="s">
        <v>312</v>
      </c>
      <c r="C228" s="54" t="s">
        <v>363</v>
      </c>
      <c r="D228" s="54" t="s">
        <v>364</v>
      </c>
      <c r="E228" s="56">
        <v>45937.0</v>
      </c>
      <c r="F228" s="56">
        <v>45938.0</v>
      </c>
      <c r="G228" s="54"/>
      <c r="H228" s="54"/>
      <c r="I228" s="54"/>
      <c r="J228" s="57"/>
      <c r="K228" s="9"/>
      <c r="L228" s="9"/>
      <c r="M228" s="58"/>
      <c r="N228" s="59"/>
    </row>
    <row r="229" ht="22.5" customHeight="1">
      <c r="A229" s="53">
        <v>10.0</v>
      </c>
      <c r="B229" s="54" t="s">
        <v>312</v>
      </c>
      <c r="C229" s="54" t="s">
        <v>365</v>
      </c>
      <c r="D229" s="54" t="s">
        <v>366</v>
      </c>
      <c r="E229" s="56">
        <v>45937.0</v>
      </c>
      <c r="F229" s="56">
        <v>45938.0</v>
      </c>
      <c r="G229" s="54"/>
      <c r="H229" s="54"/>
      <c r="I229" s="54"/>
      <c r="J229" s="57"/>
      <c r="K229" s="9"/>
      <c r="L229" s="9"/>
      <c r="M229" s="58"/>
      <c r="N229" s="59"/>
    </row>
    <row r="230" ht="22.5" customHeight="1">
      <c r="A230" s="53">
        <v>10.0</v>
      </c>
      <c r="B230" s="54" t="s">
        <v>312</v>
      </c>
      <c r="C230" s="54" t="s">
        <v>367</v>
      </c>
      <c r="D230" s="54" t="s">
        <v>368</v>
      </c>
      <c r="E230" s="56">
        <v>45937.0</v>
      </c>
      <c r="F230" s="56">
        <v>45938.0</v>
      </c>
      <c r="G230" s="54"/>
      <c r="H230" s="54"/>
      <c r="I230" s="54"/>
      <c r="J230" s="57"/>
      <c r="K230" s="9"/>
      <c r="L230" s="9"/>
      <c r="M230" s="58"/>
      <c r="N230" s="59"/>
    </row>
    <row r="231" ht="22.5" customHeight="1">
      <c r="A231" s="53">
        <v>10.0</v>
      </c>
      <c r="B231" s="54" t="s">
        <v>312</v>
      </c>
      <c r="C231" s="54" t="s">
        <v>369</v>
      </c>
      <c r="D231" s="54" t="s">
        <v>370</v>
      </c>
      <c r="E231" s="56">
        <v>45937.0</v>
      </c>
      <c r="F231" s="56">
        <v>45938.0</v>
      </c>
      <c r="G231" s="54"/>
      <c r="H231" s="54"/>
      <c r="I231" s="54"/>
      <c r="J231" s="57"/>
      <c r="K231" s="9"/>
      <c r="L231" s="9"/>
      <c r="M231" s="58"/>
      <c r="N231" s="59"/>
    </row>
    <row r="232" ht="22.5" customHeight="1">
      <c r="A232" s="53">
        <v>10.0</v>
      </c>
      <c r="B232" s="54" t="s">
        <v>312</v>
      </c>
      <c r="C232" s="54" t="s">
        <v>371</v>
      </c>
      <c r="D232" s="54" t="s">
        <v>372</v>
      </c>
      <c r="E232" s="56">
        <v>45937.0</v>
      </c>
      <c r="F232" s="56">
        <v>45938.0</v>
      </c>
      <c r="G232" s="54"/>
      <c r="H232" s="54"/>
      <c r="I232" s="54"/>
      <c r="J232" s="57"/>
      <c r="K232" s="9"/>
      <c r="L232" s="9"/>
      <c r="M232" s="58"/>
      <c r="N232" s="59"/>
    </row>
    <row r="233" ht="22.5" customHeight="1">
      <c r="A233" s="53">
        <v>10.0</v>
      </c>
      <c r="B233" s="54" t="s">
        <v>312</v>
      </c>
      <c r="C233" s="54" t="s">
        <v>373</v>
      </c>
      <c r="D233" s="54" t="s">
        <v>374</v>
      </c>
      <c r="E233" s="56">
        <v>45937.0</v>
      </c>
      <c r="F233" s="56">
        <v>45938.0</v>
      </c>
      <c r="G233" s="54"/>
      <c r="H233" s="54"/>
      <c r="I233" s="54"/>
      <c r="J233" s="57"/>
      <c r="K233" s="9"/>
      <c r="L233" s="9"/>
      <c r="M233" s="58"/>
      <c r="N233" s="59"/>
    </row>
    <row r="234" ht="22.5" customHeight="1">
      <c r="A234" s="53">
        <v>10.0</v>
      </c>
      <c r="B234" s="54" t="s">
        <v>312</v>
      </c>
      <c r="C234" s="54" t="s">
        <v>375</v>
      </c>
      <c r="D234" s="54" t="s">
        <v>376</v>
      </c>
      <c r="E234" s="56">
        <v>45937.0</v>
      </c>
      <c r="F234" s="56">
        <v>45938.0</v>
      </c>
      <c r="G234" s="54"/>
      <c r="H234" s="54"/>
      <c r="I234" s="54"/>
      <c r="J234" s="57"/>
      <c r="K234" s="9"/>
      <c r="L234" s="9"/>
      <c r="M234" s="58"/>
      <c r="N234" s="59"/>
    </row>
    <row r="235" ht="22.5" customHeight="1">
      <c r="A235" s="53">
        <v>10.0</v>
      </c>
      <c r="B235" s="54" t="s">
        <v>312</v>
      </c>
      <c r="C235" s="54" t="s">
        <v>377</v>
      </c>
      <c r="D235" s="54" t="s">
        <v>378</v>
      </c>
      <c r="E235" s="56">
        <v>45937.0</v>
      </c>
      <c r="F235" s="56">
        <v>45938.0</v>
      </c>
      <c r="G235" s="54"/>
      <c r="H235" s="54"/>
      <c r="I235" s="54"/>
      <c r="J235" s="57"/>
      <c r="K235" s="9"/>
      <c r="L235" s="9"/>
      <c r="M235" s="58"/>
      <c r="N235" s="59"/>
    </row>
    <row r="236" ht="22.5" customHeight="1">
      <c r="A236" s="53">
        <v>10.0</v>
      </c>
      <c r="B236" s="54" t="s">
        <v>312</v>
      </c>
      <c r="C236" s="54" t="s">
        <v>379</v>
      </c>
      <c r="D236" s="54" t="s">
        <v>380</v>
      </c>
      <c r="E236" s="56">
        <v>45937.0</v>
      </c>
      <c r="F236" s="56">
        <v>45938.0</v>
      </c>
      <c r="G236" s="54"/>
      <c r="H236" s="54"/>
      <c r="I236" s="54"/>
      <c r="J236" s="57"/>
      <c r="K236" s="9"/>
      <c r="L236" s="9"/>
      <c r="M236" s="58"/>
      <c r="N236" s="59"/>
    </row>
    <row r="237" ht="22.5" customHeight="1">
      <c r="A237" s="53">
        <v>10.0</v>
      </c>
      <c r="B237" s="54" t="s">
        <v>312</v>
      </c>
      <c r="C237" s="54" t="s">
        <v>381</v>
      </c>
      <c r="D237" s="54" t="s">
        <v>382</v>
      </c>
      <c r="E237" s="56">
        <v>45937.0</v>
      </c>
      <c r="F237" s="56">
        <v>45938.0</v>
      </c>
      <c r="G237" s="54"/>
      <c r="H237" s="54"/>
      <c r="I237" s="54"/>
      <c r="J237" s="57"/>
      <c r="K237" s="9"/>
      <c r="L237" s="9"/>
      <c r="M237" s="58"/>
      <c r="N237" s="59"/>
    </row>
    <row r="238" ht="22.5" customHeight="1">
      <c r="A238" s="53">
        <v>10.0</v>
      </c>
      <c r="B238" s="54" t="s">
        <v>312</v>
      </c>
      <c r="C238" s="54" t="s">
        <v>383</v>
      </c>
      <c r="D238" s="54" t="s">
        <v>384</v>
      </c>
      <c r="E238" s="56">
        <v>45937.0</v>
      </c>
      <c r="F238" s="56">
        <v>45938.0</v>
      </c>
      <c r="G238" s="54"/>
      <c r="H238" s="54"/>
      <c r="I238" s="54"/>
      <c r="J238" s="57"/>
      <c r="K238" s="9"/>
      <c r="L238" s="9"/>
      <c r="M238" s="58"/>
      <c r="N238" s="59"/>
    </row>
    <row r="239" ht="22.5" customHeight="1">
      <c r="A239" s="53">
        <v>10.0</v>
      </c>
      <c r="B239" s="54" t="s">
        <v>312</v>
      </c>
      <c r="C239" s="54" t="s">
        <v>385</v>
      </c>
      <c r="D239" s="54" t="s">
        <v>386</v>
      </c>
      <c r="E239" s="56">
        <v>45937.0</v>
      </c>
      <c r="F239" s="56">
        <v>45938.0</v>
      </c>
      <c r="G239" s="54"/>
      <c r="H239" s="54"/>
      <c r="I239" s="54"/>
      <c r="J239" s="57"/>
      <c r="K239" s="9"/>
      <c r="L239" s="9"/>
      <c r="M239" s="58"/>
      <c r="N239" s="59"/>
    </row>
    <row r="240" ht="22.5" customHeight="1">
      <c r="A240" s="53">
        <v>10.0</v>
      </c>
      <c r="B240" s="54" t="s">
        <v>312</v>
      </c>
      <c r="C240" s="54" t="s">
        <v>387</v>
      </c>
      <c r="D240" s="54" t="s">
        <v>388</v>
      </c>
      <c r="E240" s="56">
        <v>45937.0</v>
      </c>
      <c r="F240" s="56">
        <v>45938.0</v>
      </c>
      <c r="G240" s="54"/>
      <c r="H240" s="54"/>
      <c r="I240" s="54"/>
      <c r="J240" s="57"/>
      <c r="K240" s="9"/>
      <c r="L240" s="9"/>
      <c r="M240" s="58"/>
      <c r="N240" s="59"/>
    </row>
    <row r="241" ht="22.5" customHeight="1">
      <c r="A241" s="53">
        <v>10.0</v>
      </c>
      <c r="B241" s="54" t="s">
        <v>312</v>
      </c>
      <c r="C241" s="54" t="s">
        <v>389</v>
      </c>
      <c r="D241" s="54" t="s">
        <v>390</v>
      </c>
      <c r="E241" s="56">
        <v>45937.0</v>
      </c>
      <c r="F241" s="56">
        <v>45938.0</v>
      </c>
      <c r="G241" s="54"/>
      <c r="H241" s="54"/>
      <c r="I241" s="54"/>
      <c r="J241" s="57"/>
      <c r="K241" s="9"/>
      <c r="L241" s="9"/>
      <c r="M241" s="58"/>
      <c r="N241" s="59"/>
    </row>
    <row r="242" ht="22.5" customHeight="1">
      <c r="A242" s="53">
        <v>10.0</v>
      </c>
      <c r="B242" s="54" t="s">
        <v>312</v>
      </c>
      <c r="C242" s="54" t="s">
        <v>391</v>
      </c>
      <c r="D242" s="54" t="s">
        <v>392</v>
      </c>
      <c r="E242" s="56">
        <v>45937.0</v>
      </c>
      <c r="F242" s="56">
        <v>45938.0</v>
      </c>
      <c r="G242" s="54"/>
      <c r="H242" s="54"/>
      <c r="I242" s="54"/>
      <c r="J242" s="57"/>
      <c r="K242" s="9"/>
      <c r="L242" s="9"/>
      <c r="M242" s="58"/>
      <c r="N242" s="59"/>
    </row>
    <row r="243" ht="22.5" customHeight="1">
      <c r="A243" s="53">
        <v>10.0</v>
      </c>
      <c r="B243" s="54" t="s">
        <v>312</v>
      </c>
      <c r="C243" s="54" t="s">
        <v>393</v>
      </c>
      <c r="D243" s="54" t="s">
        <v>394</v>
      </c>
      <c r="E243" s="56">
        <v>45937.0</v>
      </c>
      <c r="F243" s="56">
        <v>45938.0</v>
      </c>
      <c r="G243" s="54"/>
      <c r="H243" s="54"/>
      <c r="I243" s="54"/>
      <c r="J243" s="57"/>
      <c r="K243" s="9"/>
      <c r="L243" s="9"/>
      <c r="M243" s="58"/>
      <c r="N243" s="59"/>
    </row>
    <row r="244" ht="22.5" customHeight="1">
      <c r="A244" s="53">
        <v>11.0</v>
      </c>
      <c r="B244" s="54" t="s">
        <v>247</v>
      </c>
      <c r="C244" s="55"/>
      <c r="D244" s="54" t="s">
        <v>395</v>
      </c>
      <c r="E244" s="56">
        <v>45937.0</v>
      </c>
      <c r="F244" s="56">
        <v>45938.0</v>
      </c>
      <c r="G244" s="54"/>
      <c r="H244" s="54"/>
      <c r="I244" s="54"/>
      <c r="J244" s="57"/>
      <c r="K244" s="9"/>
      <c r="L244" s="9"/>
      <c r="M244" s="58"/>
      <c r="N244" s="59"/>
    </row>
    <row r="245" ht="22.5" customHeight="1">
      <c r="A245" s="53">
        <v>11.0</v>
      </c>
      <c r="B245" s="54" t="s">
        <v>247</v>
      </c>
      <c r="C245" s="55"/>
      <c r="D245" s="54" t="s">
        <v>396</v>
      </c>
      <c r="E245" s="56">
        <v>45937.0</v>
      </c>
      <c r="F245" s="56">
        <v>45938.0</v>
      </c>
      <c r="G245" s="54"/>
      <c r="H245" s="54"/>
      <c r="I245" s="54"/>
      <c r="J245" s="57"/>
      <c r="K245" s="9"/>
      <c r="L245" s="9"/>
      <c r="M245" s="58"/>
      <c r="N245" s="59"/>
    </row>
    <row r="246" ht="22.5" customHeight="1">
      <c r="A246" s="53">
        <v>11.0</v>
      </c>
      <c r="B246" s="54" t="s">
        <v>247</v>
      </c>
      <c r="C246" s="55"/>
      <c r="D246" s="54" t="s">
        <v>397</v>
      </c>
      <c r="E246" s="56">
        <v>45937.0</v>
      </c>
      <c r="F246" s="56">
        <v>45938.0</v>
      </c>
      <c r="G246" s="54"/>
      <c r="H246" s="54"/>
      <c r="I246" s="54"/>
      <c r="J246" s="57"/>
      <c r="K246" s="9"/>
      <c r="L246" s="9"/>
      <c r="M246" s="58"/>
      <c r="N246" s="59"/>
    </row>
    <row r="247" ht="22.5" customHeight="1">
      <c r="A247" s="53">
        <v>11.0</v>
      </c>
      <c r="B247" s="54" t="s">
        <v>247</v>
      </c>
      <c r="C247" s="55"/>
      <c r="D247" s="54" t="s">
        <v>398</v>
      </c>
      <c r="E247" s="56">
        <v>45937.0</v>
      </c>
      <c r="F247" s="56">
        <v>45938.0</v>
      </c>
      <c r="G247" s="54"/>
      <c r="H247" s="54"/>
      <c r="I247" s="54"/>
      <c r="J247" s="57"/>
      <c r="K247" s="9"/>
      <c r="L247" s="9"/>
      <c r="M247" s="58"/>
      <c r="N247" s="59"/>
    </row>
    <row r="248" ht="22.5" customHeight="1">
      <c r="A248" s="53">
        <v>11.0</v>
      </c>
      <c r="B248" s="54" t="s">
        <v>247</v>
      </c>
      <c r="C248" s="55"/>
      <c r="D248" s="54" t="s">
        <v>399</v>
      </c>
      <c r="E248" s="56">
        <v>45937.0</v>
      </c>
      <c r="F248" s="56">
        <v>45938.0</v>
      </c>
      <c r="G248" s="54"/>
      <c r="H248" s="54"/>
      <c r="I248" s="54"/>
      <c r="J248" s="57"/>
      <c r="K248" s="9"/>
      <c r="L248" s="9"/>
      <c r="M248" s="58"/>
      <c r="N248" s="59"/>
    </row>
    <row r="249" ht="22.5" customHeight="1">
      <c r="A249" s="53">
        <v>11.0</v>
      </c>
      <c r="B249" s="54" t="s">
        <v>247</v>
      </c>
      <c r="C249" s="55"/>
      <c r="D249" s="54" t="s">
        <v>400</v>
      </c>
      <c r="E249" s="56">
        <v>45937.0</v>
      </c>
      <c r="F249" s="56">
        <v>45938.0</v>
      </c>
      <c r="G249" s="54"/>
      <c r="H249" s="54"/>
      <c r="I249" s="54"/>
      <c r="J249" s="57"/>
      <c r="K249" s="9"/>
      <c r="L249" s="9"/>
      <c r="M249" s="58"/>
      <c r="N249" s="59"/>
    </row>
    <row r="250" ht="22.5" customHeight="1">
      <c r="A250" s="53">
        <v>11.0</v>
      </c>
      <c r="B250" s="54" t="s">
        <v>247</v>
      </c>
      <c r="C250" s="55"/>
      <c r="D250" s="54" t="s">
        <v>401</v>
      </c>
      <c r="E250" s="56">
        <v>45937.0</v>
      </c>
      <c r="F250" s="56">
        <v>45938.0</v>
      </c>
      <c r="G250" s="54"/>
      <c r="H250" s="54"/>
      <c r="I250" s="54"/>
      <c r="J250" s="57"/>
      <c r="K250" s="9"/>
      <c r="L250" s="9"/>
      <c r="M250" s="58"/>
      <c r="N250" s="59"/>
    </row>
    <row r="251" ht="22.5" customHeight="1">
      <c r="A251" s="53">
        <v>11.0</v>
      </c>
      <c r="B251" s="54" t="s">
        <v>247</v>
      </c>
      <c r="C251" s="55"/>
      <c r="D251" s="54" t="s">
        <v>402</v>
      </c>
      <c r="E251" s="56">
        <v>45937.0</v>
      </c>
      <c r="F251" s="56">
        <v>45938.0</v>
      </c>
      <c r="G251" s="54"/>
      <c r="H251" s="54"/>
      <c r="I251" s="54"/>
      <c r="J251" s="57"/>
      <c r="K251" s="9"/>
      <c r="L251" s="9"/>
      <c r="M251" s="58"/>
      <c r="N251" s="59"/>
    </row>
    <row r="252" ht="22.5" customHeight="1">
      <c r="A252" s="53">
        <v>11.0</v>
      </c>
      <c r="B252" s="54" t="s">
        <v>247</v>
      </c>
      <c r="C252" s="55"/>
      <c r="D252" s="54" t="s">
        <v>403</v>
      </c>
      <c r="E252" s="56">
        <v>45937.0</v>
      </c>
      <c r="F252" s="56">
        <v>45938.0</v>
      </c>
      <c r="G252" s="54"/>
      <c r="H252" s="54"/>
      <c r="I252" s="54"/>
      <c r="J252" s="57"/>
      <c r="K252" s="9"/>
      <c r="L252" s="9"/>
      <c r="M252" s="58"/>
      <c r="N252" s="59"/>
    </row>
    <row r="253" ht="22.5" customHeight="1">
      <c r="A253" s="53">
        <v>11.0</v>
      </c>
      <c r="B253" s="54" t="s">
        <v>247</v>
      </c>
      <c r="C253" s="55"/>
      <c r="D253" s="54" t="s">
        <v>404</v>
      </c>
      <c r="E253" s="56">
        <v>45937.0</v>
      </c>
      <c r="F253" s="56">
        <v>45938.0</v>
      </c>
      <c r="G253" s="54"/>
      <c r="H253" s="54"/>
      <c r="I253" s="54"/>
      <c r="J253" s="57"/>
      <c r="K253" s="9"/>
      <c r="L253" s="9"/>
      <c r="M253" s="58"/>
      <c r="N253" s="59"/>
    </row>
    <row r="254" ht="22.5" customHeight="1">
      <c r="A254" s="53">
        <v>11.0</v>
      </c>
      <c r="B254" s="54" t="s">
        <v>247</v>
      </c>
      <c r="C254" s="55"/>
      <c r="D254" s="54" t="s">
        <v>405</v>
      </c>
      <c r="E254" s="56">
        <v>45937.0</v>
      </c>
      <c r="F254" s="56">
        <v>45938.0</v>
      </c>
      <c r="G254" s="54"/>
      <c r="H254" s="54"/>
      <c r="I254" s="54"/>
      <c r="J254" s="57"/>
      <c r="K254" s="9"/>
      <c r="L254" s="9"/>
      <c r="M254" s="58"/>
      <c r="N254" s="59"/>
    </row>
    <row r="255" ht="22.5" customHeight="1">
      <c r="A255" s="53">
        <v>11.0</v>
      </c>
      <c r="B255" s="54" t="s">
        <v>247</v>
      </c>
      <c r="C255" s="55"/>
      <c r="D255" s="54" t="s">
        <v>406</v>
      </c>
      <c r="E255" s="56">
        <v>45937.0</v>
      </c>
      <c r="F255" s="56">
        <v>45938.0</v>
      </c>
      <c r="G255" s="54"/>
      <c r="H255" s="54"/>
      <c r="I255" s="54"/>
      <c r="J255" s="57"/>
      <c r="K255" s="9"/>
      <c r="L255" s="9"/>
      <c r="M255" s="58"/>
      <c r="N255" s="59"/>
    </row>
    <row r="256" ht="22.5" customHeight="1">
      <c r="A256" s="53">
        <v>11.0</v>
      </c>
      <c r="B256" s="54" t="s">
        <v>247</v>
      </c>
      <c r="C256" s="55"/>
      <c r="D256" s="54" t="s">
        <v>407</v>
      </c>
      <c r="E256" s="56">
        <v>45937.0</v>
      </c>
      <c r="F256" s="56">
        <v>45938.0</v>
      </c>
      <c r="G256" s="54"/>
      <c r="H256" s="54"/>
      <c r="I256" s="54"/>
      <c r="J256" s="57"/>
      <c r="K256" s="9"/>
      <c r="L256" s="9"/>
      <c r="M256" s="58"/>
      <c r="N256" s="59"/>
    </row>
    <row r="257" ht="22.5" customHeight="1">
      <c r="A257" s="53">
        <v>11.0</v>
      </c>
      <c r="B257" s="54" t="s">
        <v>247</v>
      </c>
      <c r="C257" s="55"/>
      <c r="D257" s="54" t="s">
        <v>408</v>
      </c>
      <c r="E257" s="56">
        <v>45937.0</v>
      </c>
      <c r="F257" s="56">
        <v>45938.0</v>
      </c>
      <c r="G257" s="54"/>
      <c r="H257" s="54"/>
      <c r="I257" s="54"/>
      <c r="J257" s="57"/>
      <c r="K257" s="9"/>
      <c r="L257" s="9"/>
      <c r="M257" s="58"/>
      <c r="N257" s="59"/>
    </row>
    <row r="258" ht="22.5" customHeight="1">
      <c r="A258" s="53">
        <v>11.0</v>
      </c>
      <c r="B258" s="54" t="s">
        <v>247</v>
      </c>
      <c r="C258" s="55"/>
      <c r="D258" s="54" t="s">
        <v>409</v>
      </c>
      <c r="E258" s="56">
        <v>45937.0</v>
      </c>
      <c r="F258" s="56">
        <v>45938.0</v>
      </c>
      <c r="G258" s="54"/>
      <c r="H258" s="54"/>
      <c r="I258" s="54"/>
      <c r="J258" s="57"/>
      <c r="K258" s="9"/>
      <c r="L258" s="9"/>
      <c r="M258" s="58"/>
      <c r="N258" s="59"/>
    </row>
    <row r="259" ht="22.5" customHeight="1">
      <c r="A259" s="53">
        <v>11.0</v>
      </c>
      <c r="B259" s="54" t="s">
        <v>247</v>
      </c>
      <c r="C259" s="55"/>
      <c r="D259" s="54" t="s">
        <v>410</v>
      </c>
      <c r="E259" s="56">
        <v>45937.0</v>
      </c>
      <c r="F259" s="56">
        <v>45938.0</v>
      </c>
      <c r="G259" s="54"/>
      <c r="H259" s="54"/>
      <c r="I259" s="54"/>
      <c r="J259" s="57"/>
      <c r="K259" s="9"/>
      <c r="L259" s="9"/>
      <c r="M259" s="58"/>
      <c r="N259" s="59"/>
    </row>
    <row r="260" ht="22.5" customHeight="1">
      <c r="A260" s="53">
        <v>11.0</v>
      </c>
      <c r="B260" s="54" t="s">
        <v>247</v>
      </c>
      <c r="C260" s="55"/>
      <c r="D260" s="54" t="s">
        <v>411</v>
      </c>
      <c r="E260" s="56">
        <v>45937.0</v>
      </c>
      <c r="F260" s="56">
        <v>45938.0</v>
      </c>
      <c r="G260" s="54"/>
      <c r="H260" s="54"/>
      <c r="I260" s="54"/>
      <c r="J260" s="57"/>
      <c r="K260" s="9"/>
      <c r="L260" s="9"/>
      <c r="M260" s="58"/>
      <c r="N260" s="59"/>
    </row>
    <row r="261" ht="22.5" customHeight="1">
      <c r="A261" s="53">
        <v>11.0</v>
      </c>
      <c r="B261" s="54" t="s">
        <v>247</v>
      </c>
      <c r="C261" s="55"/>
      <c r="D261" s="54" t="s">
        <v>412</v>
      </c>
      <c r="E261" s="56">
        <v>45937.0</v>
      </c>
      <c r="F261" s="56">
        <v>45938.0</v>
      </c>
      <c r="G261" s="54"/>
      <c r="H261" s="54"/>
      <c r="I261" s="54"/>
      <c r="J261" s="57"/>
      <c r="K261" s="9"/>
      <c r="L261" s="9"/>
      <c r="M261" s="58"/>
      <c r="N261" s="59"/>
    </row>
    <row r="262" ht="22.5" customHeight="1">
      <c r="A262" s="53">
        <v>11.0</v>
      </c>
      <c r="B262" s="54" t="s">
        <v>247</v>
      </c>
      <c r="C262" s="55"/>
      <c r="D262" s="54" t="s">
        <v>413</v>
      </c>
      <c r="E262" s="56">
        <v>45937.0</v>
      </c>
      <c r="F262" s="56">
        <v>45938.0</v>
      </c>
      <c r="G262" s="54"/>
      <c r="H262" s="54"/>
      <c r="I262" s="54"/>
      <c r="J262" s="57"/>
      <c r="K262" s="9"/>
      <c r="L262" s="9"/>
      <c r="M262" s="58"/>
      <c r="N262" s="59"/>
    </row>
    <row r="263" ht="22.5" customHeight="1">
      <c r="A263" s="53">
        <v>11.0</v>
      </c>
      <c r="B263" s="54" t="s">
        <v>247</v>
      </c>
      <c r="C263" s="55"/>
      <c r="D263" s="54" t="s">
        <v>414</v>
      </c>
      <c r="E263" s="56">
        <v>45937.0</v>
      </c>
      <c r="F263" s="56">
        <v>45938.0</v>
      </c>
      <c r="G263" s="54"/>
      <c r="H263" s="54"/>
      <c r="I263" s="54"/>
      <c r="J263" s="57"/>
      <c r="K263" s="9"/>
      <c r="L263" s="9"/>
      <c r="M263" s="58"/>
      <c r="N263" s="59"/>
    </row>
    <row r="264" ht="22.5" customHeight="1">
      <c r="A264" s="53">
        <v>11.0</v>
      </c>
      <c r="B264" s="54" t="s">
        <v>247</v>
      </c>
      <c r="C264" s="55"/>
      <c r="D264" s="54" t="s">
        <v>415</v>
      </c>
      <c r="E264" s="56">
        <v>45937.0</v>
      </c>
      <c r="F264" s="56">
        <v>45938.0</v>
      </c>
      <c r="G264" s="54"/>
      <c r="H264" s="54"/>
      <c r="I264" s="54"/>
      <c r="J264" s="57"/>
      <c r="K264" s="9"/>
      <c r="L264" s="9"/>
      <c r="M264" s="58"/>
      <c r="N264" s="59"/>
    </row>
    <row r="265" ht="22.5" customHeight="1">
      <c r="A265" s="53">
        <v>11.0</v>
      </c>
      <c r="B265" s="54" t="s">
        <v>247</v>
      </c>
      <c r="C265" s="55"/>
      <c r="D265" s="54" t="s">
        <v>416</v>
      </c>
      <c r="E265" s="56">
        <v>45937.0</v>
      </c>
      <c r="F265" s="56">
        <v>45938.0</v>
      </c>
      <c r="G265" s="54"/>
      <c r="H265" s="54"/>
      <c r="I265" s="54"/>
      <c r="J265" s="57"/>
      <c r="K265" s="9"/>
      <c r="L265" s="9"/>
      <c r="M265" s="58"/>
      <c r="N265" s="59"/>
    </row>
    <row r="266" ht="22.5" customHeight="1">
      <c r="A266" s="53">
        <v>11.0</v>
      </c>
      <c r="B266" s="54" t="s">
        <v>247</v>
      </c>
      <c r="C266" s="55"/>
      <c r="D266" s="54" t="s">
        <v>417</v>
      </c>
      <c r="E266" s="56">
        <v>45937.0</v>
      </c>
      <c r="F266" s="56">
        <v>45938.0</v>
      </c>
      <c r="G266" s="54"/>
      <c r="H266" s="54"/>
      <c r="I266" s="54"/>
      <c r="J266" s="57"/>
      <c r="K266" s="9"/>
      <c r="L266" s="9"/>
      <c r="M266" s="58"/>
      <c r="N266" s="59"/>
    </row>
    <row r="267" ht="22.5" customHeight="1">
      <c r="A267" s="53">
        <v>11.0</v>
      </c>
      <c r="B267" s="54" t="s">
        <v>247</v>
      </c>
      <c r="C267" s="55"/>
      <c r="D267" s="54" t="s">
        <v>418</v>
      </c>
      <c r="E267" s="56">
        <v>45937.0</v>
      </c>
      <c r="F267" s="56">
        <v>45938.0</v>
      </c>
      <c r="G267" s="54"/>
      <c r="H267" s="54"/>
      <c r="I267" s="54"/>
      <c r="J267" s="57"/>
      <c r="K267" s="9"/>
      <c r="L267" s="9"/>
      <c r="M267" s="58"/>
      <c r="N267" s="59"/>
    </row>
    <row r="268" ht="22.5" customHeight="1">
      <c r="A268" s="53">
        <v>11.0</v>
      </c>
      <c r="B268" s="54" t="s">
        <v>247</v>
      </c>
      <c r="C268" s="55"/>
      <c r="D268" s="54" t="s">
        <v>419</v>
      </c>
      <c r="E268" s="56">
        <v>45937.0</v>
      </c>
      <c r="F268" s="56">
        <v>45938.0</v>
      </c>
      <c r="G268" s="54"/>
      <c r="H268" s="54"/>
      <c r="I268" s="54"/>
      <c r="J268" s="57"/>
      <c r="K268" s="9"/>
      <c r="L268" s="9"/>
      <c r="M268" s="58"/>
      <c r="N268" s="59"/>
    </row>
    <row r="269" ht="22.5" customHeight="1">
      <c r="A269" s="53">
        <v>11.0</v>
      </c>
      <c r="B269" s="54" t="s">
        <v>247</v>
      </c>
      <c r="C269" s="55"/>
      <c r="D269" s="54" t="s">
        <v>420</v>
      </c>
      <c r="E269" s="56">
        <v>45937.0</v>
      </c>
      <c r="F269" s="56">
        <v>45938.0</v>
      </c>
      <c r="G269" s="54"/>
      <c r="H269" s="54"/>
      <c r="I269" s="54"/>
      <c r="J269" s="57"/>
      <c r="K269" s="9"/>
      <c r="L269" s="9"/>
      <c r="M269" s="58"/>
      <c r="N269" s="59"/>
    </row>
    <row r="270" ht="22.5" customHeight="1">
      <c r="A270" s="53">
        <v>11.0</v>
      </c>
      <c r="B270" s="54" t="s">
        <v>247</v>
      </c>
      <c r="C270" s="55"/>
      <c r="D270" s="54" t="s">
        <v>421</v>
      </c>
      <c r="E270" s="56">
        <v>45937.0</v>
      </c>
      <c r="F270" s="56">
        <v>45938.0</v>
      </c>
      <c r="G270" s="54"/>
      <c r="H270" s="54"/>
      <c r="I270" s="54"/>
      <c r="J270" s="57"/>
      <c r="K270" s="9"/>
      <c r="L270" s="9"/>
      <c r="M270" s="58"/>
      <c r="N270" s="59"/>
    </row>
    <row r="271" ht="22.5" customHeight="1">
      <c r="A271" s="53">
        <v>11.0</v>
      </c>
      <c r="B271" s="54" t="s">
        <v>247</v>
      </c>
      <c r="C271" s="55"/>
      <c r="D271" s="54" t="s">
        <v>422</v>
      </c>
      <c r="E271" s="56">
        <v>45937.0</v>
      </c>
      <c r="F271" s="56">
        <v>45938.0</v>
      </c>
      <c r="G271" s="54"/>
      <c r="H271" s="54"/>
      <c r="I271" s="54"/>
      <c r="J271" s="57"/>
      <c r="K271" s="9"/>
      <c r="L271" s="9"/>
      <c r="M271" s="58"/>
      <c r="N271" s="59"/>
    </row>
    <row r="272" ht="22.5" customHeight="1">
      <c r="A272" s="53">
        <v>11.0</v>
      </c>
      <c r="B272" s="54" t="s">
        <v>247</v>
      </c>
      <c r="C272" s="55"/>
      <c r="D272" s="54" t="s">
        <v>423</v>
      </c>
      <c r="E272" s="56">
        <v>45937.0</v>
      </c>
      <c r="F272" s="56">
        <v>45938.0</v>
      </c>
      <c r="G272" s="54"/>
      <c r="H272" s="54"/>
      <c r="I272" s="54"/>
      <c r="J272" s="57"/>
      <c r="K272" s="9"/>
      <c r="L272" s="9"/>
      <c r="M272" s="58"/>
      <c r="N272" s="59"/>
    </row>
    <row r="273" ht="22.5" customHeight="1">
      <c r="A273" s="53">
        <v>11.0</v>
      </c>
      <c r="B273" s="54" t="s">
        <v>247</v>
      </c>
      <c r="C273" s="55"/>
      <c r="D273" s="54" t="s">
        <v>424</v>
      </c>
      <c r="E273" s="56">
        <v>45937.0</v>
      </c>
      <c r="F273" s="56">
        <v>45938.0</v>
      </c>
      <c r="G273" s="54"/>
      <c r="H273" s="54"/>
      <c r="I273" s="54"/>
      <c r="J273" s="57"/>
      <c r="K273" s="9"/>
      <c r="L273" s="9"/>
      <c r="M273" s="58"/>
      <c r="N273" s="59"/>
    </row>
    <row r="274" ht="22.5" customHeight="1">
      <c r="A274" s="53">
        <v>11.0</v>
      </c>
      <c r="B274" s="54" t="s">
        <v>247</v>
      </c>
      <c r="C274" s="55"/>
      <c r="D274" s="54" t="s">
        <v>425</v>
      </c>
      <c r="E274" s="56">
        <v>45937.0</v>
      </c>
      <c r="F274" s="56">
        <v>45938.0</v>
      </c>
      <c r="G274" s="54"/>
      <c r="H274" s="54"/>
      <c r="I274" s="54"/>
      <c r="J274" s="57"/>
      <c r="K274" s="9"/>
      <c r="L274" s="9"/>
      <c r="M274" s="58"/>
      <c r="N274" s="59"/>
    </row>
    <row r="275" ht="22.5" customHeight="1">
      <c r="A275" s="53">
        <v>11.0</v>
      </c>
      <c r="B275" s="54" t="s">
        <v>247</v>
      </c>
      <c r="C275" s="55"/>
      <c r="D275" s="54" t="s">
        <v>426</v>
      </c>
      <c r="E275" s="56">
        <v>45937.0</v>
      </c>
      <c r="F275" s="56">
        <v>45938.0</v>
      </c>
      <c r="G275" s="54"/>
      <c r="H275" s="54"/>
      <c r="I275" s="54"/>
      <c r="J275" s="57"/>
      <c r="K275" s="9"/>
      <c r="L275" s="9"/>
      <c r="M275" s="58"/>
      <c r="N275" s="59"/>
    </row>
    <row r="276" ht="22.5" customHeight="1">
      <c r="A276" s="53">
        <v>11.0</v>
      </c>
      <c r="B276" s="54" t="s">
        <v>247</v>
      </c>
      <c r="C276" s="55"/>
      <c r="D276" s="54" t="s">
        <v>427</v>
      </c>
      <c r="E276" s="56">
        <v>45937.0</v>
      </c>
      <c r="F276" s="56">
        <v>45938.0</v>
      </c>
      <c r="G276" s="54"/>
      <c r="H276" s="54"/>
      <c r="I276" s="54"/>
      <c r="J276" s="57"/>
      <c r="K276" s="9"/>
      <c r="L276" s="9"/>
      <c r="M276" s="58"/>
      <c r="N276" s="59"/>
    </row>
    <row r="277" ht="22.5" customHeight="1">
      <c r="A277" s="53">
        <v>11.0</v>
      </c>
      <c r="B277" s="54" t="s">
        <v>247</v>
      </c>
      <c r="C277" s="55"/>
      <c r="D277" s="54" t="s">
        <v>428</v>
      </c>
      <c r="E277" s="56">
        <v>45937.0</v>
      </c>
      <c r="F277" s="56">
        <v>45938.0</v>
      </c>
      <c r="G277" s="54"/>
      <c r="H277" s="54"/>
      <c r="I277" s="54"/>
      <c r="J277" s="57"/>
      <c r="K277" s="9"/>
      <c r="L277" s="9"/>
      <c r="M277" s="58"/>
      <c r="N277" s="59"/>
    </row>
    <row r="278" ht="22.5" customHeight="1">
      <c r="A278" s="53">
        <v>11.0</v>
      </c>
      <c r="B278" s="54" t="s">
        <v>247</v>
      </c>
      <c r="C278" s="55"/>
      <c r="D278" s="54" t="s">
        <v>429</v>
      </c>
      <c r="E278" s="56">
        <v>45937.0</v>
      </c>
      <c r="F278" s="56">
        <v>45938.0</v>
      </c>
      <c r="G278" s="54"/>
      <c r="H278" s="54"/>
      <c r="I278" s="54"/>
      <c r="J278" s="57"/>
      <c r="K278" s="9"/>
      <c r="L278" s="9"/>
      <c r="M278" s="58"/>
      <c r="N278" s="59"/>
    </row>
    <row r="279" ht="22.5" customHeight="1">
      <c r="A279" s="53">
        <v>11.0</v>
      </c>
      <c r="B279" s="54" t="s">
        <v>247</v>
      </c>
      <c r="C279" s="55"/>
      <c r="D279" s="54" t="s">
        <v>430</v>
      </c>
      <c r="E279" s="56">
        <v>45937.0</v>
      </c>
      <c r="F279" s="56">
        <v>45938.0</v>
      </c>
      <c r="G279" s="54"/>
      <c r="H279" s="54"/>
      <c r="I279" s="54"/>
      <c r="J279" s="57"/>
      <c r="K279" s="9"/>
      <c r="L279" s="9"/>
      <c r="M279" s="58"/>
      <c r="N279" s="59"/>
    </row>
    <row r="280" ht="22.5" customHeight="1">
      <c r="A280" s="53">
        <v>11.0</v>
      </c>
      <c r="B280" s="54" t="s">
        <v>247</v>
      </c>
      <c r="C280" s="55"/>
      <c r="D280" s="54" t="s">
        <v>431</v>
      </c>
      <c r="E280" s="56">
        <v>45937.0</v>
      </c>
      <c r="F280" s="56">
        <v>45938.0</v>
      </c>
      <c r="G280" s="54"/>
      <c r="H280" s="54"/>
      <c r="I280" s="54"/>
      <c r="J280" s="57"/>
      <c r="K280" s="9"/>
      <c r="L280" s="9"/>
      <c r="M280" s="58"/>
      <c r="N280" s="59"/>
    </row>
    <row r="281" ht="22.5" customHeight="1">
      <c r="A281" s="53">
        <v>11.0</v>
      </c>
      <c r="B281" s="54" t="s">
        <v>247</v>
      </c>
      <c r="C281" s="55"/>
      <c r="D281" s="54" t="s">
        <v>432</v>
      </c>
      <c r="E281" s="56">
        <v>45937.0</v>
      </c>
      <c r="F281" s="56">
        <v>45938.0</v>
      </c>
      <c r="G281" s="54"/>
      <c r="H281" s="54"/>
      <c r="I281" s="54"/>
      <c r="J281" s="57"/>
      <c r="K281" s="9"/>
      <c r="L281" s="9"/>
      <c r="M281" s="58"/>
      <c r="N281" s="59"/>
    </row>
    <row r="282" ht="22.5" customHeight="1">
      <c r="A282" s="53">
        <v>11.0</v>
      </c>
      <c r="B282" s="54" t="s">
        <v>247</v>
      </c>
      <c r="C282" s="55"/>
      <c r="D282" s="54" t="s">
        <v>433</v>
      </c>
      <c r="E282" s="56">
        <v>45937.0</v>
      </c>
      <c r="F282" s="56">
        <v>45938.0</v>
      </c>
      <c r="G282" s="54"/>
      <c r="H282" s="54"/>
      <c r="I282" s="54"/>
      <c r="J282" s="57"/>
      <c r="K282" s="9"/>
      <c r="L282" s="9"/>
      <c r="M282" s="58"/>
      <c r="N282" s="59"/>
    </row>
    <row r="283" ht="22.5" customHeight="1">
      <c r="A283" s="53">
        <v>11.0</v>
      </c>
      <c r="B283" s="54" t="s">
        <v>247</v>
      </c>
      <c r="C283" s="55"/>
      <c r="D283" s="54" t="s">
        <v>434</v>
      </c>
      <c r="E283" s="56">
        <v>45937.0</v>
      </c>
      <c r="F283" s="56">
        <v>45938.0</v>
      </c>
      <c r="G283" s="54"/>
      <c r="H283" s="54"/>
      <c r="I283" s="54"/>
      <c r="J283" s="57"/>
      <c r="K283" s="9"/>
      <c r="L283" s="9"/>
      <c r="M283" s="58"/>
      <c r="N283" s="59"/>
    </row>
    <row r="284" ht="22.5" customHeight="1">
      <c r="A284" s="53">
        <v>11.0</v>
      </c>
      <c r="B284" s="54" t="s">
        <v>247</v>
      </c>
      <c r="C284" s="55"/>
      <c r="D284" s="54" t="s">
        <v>435</v>
      </c>
      <c r="E284" s="56">
        <v>45937.0</v>
      </c>
      <c r="F284" s="56">
        <v>45938.0</v>
      </c>
      <c r="G284" s="54"/>
      <c r="H284" s="54"/>
      <c r="I284" s="54"/>
      <c r="J284" s="57"/>
      <c r="K284" s="9"/>
      <c r="L284" s="9"/>
      <c r="M284" s="58"/>
      <c r="N284" s="59"/>
    </row>
    <row r="285" ht="22.5" customHeight="1">
      <c r="A285" s="53">
        <v>11.0</v>
      </c>
      <c r="B285" s="54" t="s">
        <v>247</v>
      </c>
      <c r="C285" s="55"/>
      <c r="D285" s="54" t="s">
        <v>436</v>
      </c>
      <c r="E285" s="56">
        <v>45937.0</v>
      </c>
      <c r="F285" s="56">
        <v>45938.0</v>
      </c>
      <c r="G285" s="54"/>
      <c r="H285" s="54"/>
      <c r="I285" s="54"/>
      <c r="J285" s="57"/>
      <c r="K285" s="9"/>
      <c r="L285" s="9"/>
      <c r="M285" s="58"/>
      <c r="N285" s="59"/>
    </row>
    <row r="286" ht="22.5" customHeight="1">
      <c r="A286" s="53">
        <v>11.0</v>
      </c>
      <c r="B286" s="54" t="s">
        <v>247</v>
      </c>
      <c r="C286" s="55"/>
      <c r="D286" s="54" t="s">
        <v>437</v>
      </c>
      <c r="E286" s="56">
        <v>45937.0</v>
      </c>
      <c r="F286" s="56">
        <v>45938.0</v>
      </c>
      <c r="G286" s="54"/>
      <c r="H286" s="54"/>
      <c r="I286" s="54"/>
      <c r="J286" s="57"/>
      <c r="K286" s="9"/>
      <c r="L286" s="9"/>
      <c r="M286" s="58"/>
      <c r="N286" s="59"/>
    </row>
    <row r="287" ht="22.5" customHeight="1">
      <c r="A287" s="53">
        <v>11.0</v>
      </c>
      <c r="B287" s="54" t="s">
        <v>247</v>
      </c>
      <c r="C287" s="55"/>
      <c r="D287" s="54" t="s">
        <v>438</v>
      </c>
      <c r="E287" s="56">
        <v>45937.0</v>
      </c>
      <c r="F287" s="56">
        <v>45938.0</v>
      </c>
      <c r="G287" s="54"/>
      <c r="H287" s="54"/>
      <c r="I287" s="54"/>
      <c r="J287" s="57"/>
      <c r="K287" s="9"/>
      <c r="L287" s="9"/>
      <c r="M287" s="58"/>
      <c r="N287" s="59"/>
    </row>
    <row r="288" ht="22.5" customHeight="1">
      <c r="A288" s="53">
        <v>11.0</v>
      </c>
      <c r="B288" s="54" t="s">
        <v>247</v>
      </c>
      <c r="C288" s="55"/>
      <c r="D288" s="54" t="s">
        <v>439</v>
      </c>
      <c r="E288" s="56">
        <v>45937.0</v>
      </c>
      <c r="F288" s="56">
        <v>45938.0</v>
      </c>
      <c r="G288" s="54"/>
      <c r="H288" s="54"/>
      <c r="I288" s="54"/>
      <c r="J288" s="57"/>
      <c r="K288" s="9"/>
      <c r="L288" s="9"/>
      <c r="M288" s="58"/>
      <c r="N288" s="59"/>
    </row>
    <row r="289" ht="22.5" customHeight="1">
      <c r="A289" s="53">
        <v>11.0</v>
      </c>
      <c r="B289" s="54" t="s">
        <v>247</v>
      </c>
      <c r="C289" s="55"/>
      <c r="D289" s="54" t="s">
        <v>440</v>
      </c>
      <c r="E289" s="56">
        <v>45937.0</v>
      </c>
      <c r="F289" s="56">
        <v>45938.0</v>
      </c>
      <c r="G289" s="54"/>
      <c r="H289" s="54"/>
      <c r="I289" s="54"/>
      <c r="J289" s="57"/>
      <c r="K289" s="9"/>
      <c r="L289" s="9"/>
      <c r="M289" s="58"/>
      <c r="N289" s="59"/>
    </row>
    <row r="290" ht="22.5" customHeight="1">
      <c r="A290" s="53">
        <v>11.0</v>
      </c>
      <c r="B290" s="54" t="s">
        <v>247</v>
      </c>
      <c r="C290" s="55"/>
      <c r="D290" s="54" t="s">
        <v>441</v>
      </c>
      <c r="E290" s="56">
        <v>45937.0</v>
      </c>
      <c r="F290" s="56">
        <v>45938.0</v>
      </c>
      <c r="G290" s="54"/>
      <c r="H290" s="54"/>
      <c r="I290" s="54"/>
      <c r="J290" s="57"/>
      <c r="K290" s="9"/>
      <c r="L290" s="9"/>
      <c r="M290" s="58"/>
      <c r="N290" s="59"/>
    </row>
    <row r="291" ht="22.5" customHeight="1">
      <c r="A291" s="53">
        <v>11.0</v>
      </c>
      <c r="B291" s="54" t="s">
        <v>247</v>
      </c>
      <c r="C291" s="55"/>
      <c r="D291" s="54" t="s">
        <v>442</v>
      </c>
      <c r="E291" s="56">
        <v>45937.0</v>
      </c>
      <c r="F291" s="56">
        <v>45938.0</v>
      </c>
      <c r="G291" s="54"/>
      <c r="H291" s="54"/>
      <c r="I291" s="54"/>
      <c r="J291" s="57"/>
      <c r="K291" s="9"/>
      <c r="L291" s="9"/>
      <c r="M291" s="58"/>
      <c r="N291" s="59"/>
    </row>
    <row r="292" ht="22.5" customHeight="1">
      <c r="A292" s="53">
        <v>11.0</v>
      </c>
      <c r="B292" s="54" t="s">
        <v>247</v>
      </c>
      <c r="C292" s="55"/>
      <c r="D292" s="54" t="s">
        <v>443</v>
      </c>
      <c r="E292" s="56">
        <v>45937.0</v>
      </c>
      <c r="F292" s="56">
        <v>45938.0</v>
      </c>
      <c r="G292" s="54"/>
      <c r="H292" s="54"/>
      <c r="I292" s="54"/>
      <c r="J292" s="57"/>
      <c r="K292" s="9"/>
      <c r="L292" s="9"/>
      <c r="M292" s="58"/>
      <c r="N292" s="59"/>
    </row>
    <row r="293" ht="22.5" customHeight="1">
      <c r="A293" s="53">
        <v>11.0</v>
      </c>
      <c r="B293" s="54" t="s">
        <v>247</v>
      </c>
      <c r="C293" s="55"/>
      <c r="D293" s="54" t="s">
        <v>444</v>
      </c>
      <c r="E293" s="56">
        <v>45937.0</v>
      </c>
      <c r="F293" s="56">
        <v>45938.0</v>
      </c>
      <c r="G293" s="54"/>
      <c r="H293" s="54"/>
      <c r="I293" s="54"/>
      <c r="J293" s="57"/>
      <c r="K293" s="9"/>
      <c r="L293" s="9"/>
      <c r="M293" s="58"/>
      <c r="N293" s="59"/>
    </row>
    <row r="294" ht="22.5" customHeight="1">
      <c r="A294" s="53">
        <v>11.0</v>
      </c>
      <c r="B294" s="54" t="s">
        <v>247</v>
      </c>
      <c r="C294" s="55"/>
      <c r="D294" s="54" t="s">
        <v>445</v>
      </c>
      <c r="E294" s="56">
        <v>45937.0</v>
      </c>
      <c r="F294" s="56">
        <v>45938.0</v>
      </c>
      <c r="G294" s="54"/>
      <c r="H294" s="54"/>
      <c r="I294" s="54"/>
      <c r="J294" s="57"/>
      <c r="K294" s="9"/>
      <c r="L294" s="9"/>
      <c r="M294" s="58"/>
      <c r="N294" s="59"/>
    </row>
    <row r="295" ht="22.5" customHeight="1">
      <c r="A295" s="53">
        <v>11.0</v>
      </c>
      <c r="B295" s="54" t="s">
        <v>247</v>
      </c>
      <c r="C295" s="55"/>
      <c r="D295" s="54" t="s">
        <v>446</v>
      </c>
      <c r="E295" s="56">
        <v>45937.0</v>
      </c>
      <c r="F295" s="56">
        <v>45938.0</v>
      </c>
      <c r="G295" s="54"/>
      <c r="H295" s="54"/>
      <c r="I295" s="54"/>
      <c r="J295" s="57"/>
      <c r="K295" s="9"/>
      <c r="L295" s="9"/>
      <c r="M295" s="58"/>
      <c r="N295" s="59"/>
    </row>
    <row r="296" ht="22.5" customHeight="1">
      <c r="A296" s="53">
        <v>11.0</v>
      </c>
      <c r="B296" s="54" t="s">
        <v>247</v>
      </c>
      <c r="C296" s="55"/>
      <c r="D296" s="54" t="s">
        <v>447</v>
      </c>
      <c r="E296" s="56">
        <v>45937.0</v>
      </c>
      <c r="F296" s="56">
        <v>45938.0</v>
      </c>
      <c r="G296" s="54"/>
      <c r="H296" s="54"/>
      <c r="I296" s="54"/>
      <c r="J296" s="57"/>
      <c r="K296" s="9"/>
      <c r="L296" s="9"/>
      <c r="M296" s="58"/>
      <c r="N296" s="59"/>
    </row>
    <row r="297" ht="22.5" customHeight="1">
      <c r="A297" s="53">
        <v>11.0</v>
      </c>
      <c r="B297" s="54" t="s">
        <v>247</v>
      </c>
      <c r="C297" s="55"/>
      <c r="D297" s="54" t="s">
        <v>448</v>
      </c>
      <c r="E297" s="56">
        <v>45937.0</v>
      </c>
      <c r="F297" s="56">
        <v>45938.0</v>
      </c>
      <c r="G297" s="54"/>
      <c r="H297" s="54"/>
      <c r="I297" s="54"/>
      <c r="J297" s="57"/>
      <c r="K297" s="9"/>
      <c r="L297" s="9"/>
      <c r="M297" s="58"/>
      <c r="N297" s="59"/>
    </row>
    <row r="298" ht="22.5" customHeight="1">
      <c r="A298" s="53">
        <v>11.0</v>
      </c>
      <c r="B298" s="54" t="s">
        <v>247</v>
      </c>
      <c r="C298" s="55"/>
      <c r="D298" s="54" t="s">
        <v>449</v>
      </c>
      <c r="E298" s="56">
        <v>45937.0</v>
      </c>
      <c r="F298" s="56">
        <v>45938.0</v>
      </c>
      <c r="G298" s="54"/>
      <c r="H298" s="54"/>
      <c r="I298" s="54"/>
      <c r="J298" s="57"/>
      <c r="K298" s="9"/>
      <c r="L298" s="9"/>
      <c r="M298" s="58"/>
      <c r="N298" s="59"/>
    </row>
    <row r="299" ht="22.5" customHeight="1">
      <c r="A299" s="53">
        <v>11.0</v>
      </c>
      <c r="B299" s="54" t="s">
        <v>247</v>
      </c>
      <c r="C299" s="55"/>
      <c r="D299" s="54" t="s">
        <v>450</v>
      </c>
      <c r="E299" s="56">
        <v>45937.0</v>
      </c>
      <c r="F299" s="56">
        <v>45938.0</v>
      </c>
      <c r="G299" s="54"/>
      <c r="H299" s="54"/>
      <c r="I299" s="54"/>
      <c r="J299" s="57"/>
      <c r="K299" s="9"/>
      <c r="L299" s="9"/>
      <c r="M299" s="58"/>
      <c r="N299" s="59"/>
    </row>
    <row r="300" ht="22.5" customHeight="1">
      <c r="A300" s="53">
        <v>11.0</v>
      </c>
      <c r="B300" s="54" t="s">
        <v>247</v>
      </c>
      <c r="C300" s="55"/>
      <c r="D300" s="54" t="s">
        <v>451</v>
      </c>
      <c r="E300" s="56">
        <v>45937.0</v>
      </c>
      <c r="F300" s="56">
        <v>45938.0</v>
      </c>
      <c r="G300" s="54"/>
      <c r="H300" s="54"/>
      <c r="I300" s="54"/>
      <c r="J300" s="57"/>
      <c r="K300" s="9"/>
      <c r="L300" s="9"/>
      <c r="M300" s="58"/>
      <c r="N300" s="59"/>
    </row>
    <row r="301" ht="22.5" customHeight="1">
      <c r="A301" s="53">
        <v>11.0</v>
      </c>
      <c r="B301" s="54" t="s">
        <v>247</v>
      </c>
      <c r="C301" s="55"/>
      <c r="D301" s="54" t="s">
        <v>452</v>
      </c>
      <c r="E301" s="56">
        <v>45937.0</v>
      </c>
      <c r="F301" s="56">
        <v>45938.0</v>
      </c>
      <c r="G301" s="54"/>
      <c r="H301" s="54"/>
      <c r="I301" s="54"/>
      <c r="J301" s="57"/>
      <c r="K301" s="9"/>
      <c r="L301" s="9"/>
      <c r="M301" s="58"/>
      <c r="N301" s="59"/>
    </row>
    <row r="302" ht="22.5" customHeight="1">
      <c r="A302" s="53">
        <v>11.0</v>
      </c>
      <c r="B302" s="54" t="s">
        <v>247</v>
      </c>
      <c r="C302" s="55"/>
      <c r="D302" s="54" t="s">
        <v>453</v>
      </c>
      <c r="E302" s="56">
        <v>45937.0</v>
      </c>
      <c r="F302" s="56">
        <v>45938.0</v>
      </c>
      <c r="G302" s="54"/>
      <c r="H302" s="54"/>
      <c r="I302" s="54"/>
      <c r="J302" s="57"/>
      <c r="K302" s="9"/>
      <c r="L302" s="9"/>
      <c r="M302" s="58"/>
      <c r="N302" s="59"/>
    </row>
    <row r="303" ht="22.5" customHeight="1">
      <c r="A303" s="53">
        <v>11.0</v>
      </c>
      <c r="B303" s="54" t="s">
        <v>247</v>
      </c>
      <c r="C303" s="55"/>
      <c r="D303" s="54" t="s">
        <v>454</v>
      </c>
      <c r="E303" s="56">
        <v>45937.0</v>
      </c>
      <c r="F303" s="56">
        <v>45938.0</v>
      </c>
      <c r="G303" s="54"/>
      <c r="H303" s="54"/>
      <c r="I303" s="54"/>
      <c r="J303" s="57"/>
      <c r="K303" s="9"/>
      <c r="L303" s="9"/>
      <c r="M303" s="58"/>
      <c r="N303" s="59"/>
    </row>
    <row r="304" ht="22.5" customHeight="1">
      <c r="A304" s="53">
        <v>11.0</v>
      </c>
      <c r="B304" s="54" t="s">
        <v>247</v>
      </c>
      <c r="C304" s="55"/>
      <c r="D304" s="54" t="s">
        <v>455</v>
      </c>
      <c r="E304" s="56">
        <v>45937.0</v>
      </c>
      <c r="F304" s="56">
        <v>45938.0</v>
      </c>
      <c r="G304" s="54"/>
      <c r="H304" s="54"/>
      <c r="I304" s="54"/>
      <c r="J304" s="57"/>
      <c r="K304" s="9"/>
      <c r="L304" s="9"/>
      <c r="M304" s="58"/>
      <c r="N304" s="59"/>
    </row>
    <row r="305" ht="22.5" customHeight="1">
      <c r="A305" s="53">
        <v>11.0</v>
      </c>
      <c r="B305" s="54" t="s">
        <v>247</v>
      </c>
      <c r="C305" s="55"/>
      <c r="D305" s="54" t="s">
        <v>456</v>
      </c>
      <c r="E305" s="56">
        <v>45937.0</v>
      </c>
      <c r="F305" s="56">
        <v>45938.0</v>
      </c>
      <c r="G305" s="54"/>
      <c r="H305" s="54"/>
      <c r="I305" s="54"/>
      <c r="J305" s="57"/>
      <c r="K305" s="9"/>
      <c r="L305" s="9"/>
      <c r="M305" s="58"/>
      <c r="N305" s="59"/>
    </row>
    <row r="306" ht="22.5" customHeight="1">
      <c r="A306" s="53">
        <v>11.0</v>
      </c>
      <c r="B306" s="54" t="s">
        <v>247</v>
      </c>
      <c r="C306" s="55"/>
      <c r="D306" s="54" t="s">
        <v>457</v>
      </c>
      <c r="E306" s="56">
        <v>45937.0</v>
      </c>
      <c r="F306" s="56">
        <v>45938.0</v>
      </c>
      <c r="G306" s="54"/>
      <c r="H306" s="54"/>
      <c r="I306" s="54"/>
      <c r="J306" s="57"/>
      <c r="K306" s="9"/>
      <c r="L306" s="9"/>
      <c r="M306" s="58"/>
      <c r="N306" s="59"/>
    </row>
    <row r="307" ht="22.5" customHeight="1">
      <c r="A307" s="53">
        <v>11.0</v>
      </c>
      <c r="B307" s="54" t="s">
        <v>247</v>
      </c>
      <c r="C307" s="55"/>
      <c r="D307" s="54" t="s">
        <v>458</v>
      </c>
      <c r="E307" s="56">
        <v>45937.0</v>
      </c>
      <c r="F307" s="56">
        <v>45938.0</v>
      </c>
      <c r="G307" s="54"/>
      <c r="H307" s="54"/>
      <c r="I307" s="54"/>
      <c r="J307" s="57"/>
      <c r="K307" s="9"/>
      <c r="L307" s="9"/>
      <c r="M307" s="58"/>
      <c r="N307" s="59"/>
    </row>
    <row r="308" ht="22.5" customHeight="1">
      <c r="A308" s="53">
        <v>11.0</v>
      </c>
      <c r="B308" s="54" t="s">
        <v>247</v>
      </c>
      <c r="C308" s="55"/>
      <c r="D308" s="54" t="s">
        <v>459</v>
      </c>
      <c r="E308" s="56">
        <v>45937.0</v>
      </c>
      <c r="F308" s="56">
        <v>45938.0</v>
      </c>
      <c r="G308" s="54"/>
      <c r="H308" s="54"/>
      <c r="I308" s="54"/>
      <c r="J308" s="57"/>
      <c r="K308" s="9"/>
      <c r="L308" s="9"/>
      <c r="M308" s="58"/>
      <c r="N308" s="59"/>
    </row>
    <row r="309" ht="22.5" customHeight="1">
      <c r="A309" s="53">
        <v>11.0</v>
      </c>
      <c r="B309" s="54" t="s">
        <v>247</v>
      </c>
      <c r="C309" s="55"/>
      <c r="D309" s="54" t="s">
        <v>460</v>
      </c>
      <c r="E309" s="56">
        <v>45937.0</v>
      </c>
      <c r="F309" s="56">
        <v>45938.0</v>
      </c>
      <c r="G309" s="54"/>
      <c r="H309" s="54"/>
      <c r="I309" s="54"/>
      <c r="J309" s="57"/>
      <c r="K309" s="9"/>
      <c r="L309" s="9"/>
      <c r="M309" s="58"/>
      <c r="N309" s="59"/>
    </row>
    <row r="310" ht="22.5" customHeight="1">
      <c r="A310" s="53">
        <v>11.0</v>
      </c>
      <c r="B310" s="54" t="s">
        <v>247</v>
      </c>
      <c r="C310" s="55"/>
      <c r="D310" s="54" t="s">
        <v>461</v>
      </c>
      <c r="E310" s="56">
        <v>45937.0</v>
      </c>
      <c r="F310" s="56">
        <v>45938.0</v>
      </c>
      <c r="G310" s="54"/>
      <c r="H310" s="54"/>
      <c r="I310" s="54"/>
      <c r="J310" s="57"/>
      <c r="K310" s="9"/>
      <c r="L310" s="9"/>
      <c r="M310" s="58"/>
      <c r="N310" s="59"/>
    </row>
    <row r="311" ht="22.5" customHeight="1">
      <c r="A311" s="53">
        <v>11.0</v>
      </c>
      <c r="B311" s="54" t="s">
        <v>247</v>
      </c>
      <c r="C311" s="55"/>
      <c r="D311" s="54" t="s">
        <v>462</v>
      </c>
      <c r="E311" s="56">
        <v>45937.0</v>
      </c>
      <c r="F311" s="56">
        <v>45938.0</v>
      </c>
      <c r="G311" s="54"/>
      <c r="H311" s="54"/>
      <c r="I311" s="54"/>
      <c r="J311" s="57"/>
      <c r="K311" s="9"/>
      <c r="L311" s="9"/>
      <c r="M311" s="58"/>
      <c r="N311" s="59"/>
    </row>
    <row r="312" ht="22.5" customHeight="1">
      <c r="A312" s="53">
        <v>11.0</v>
      </c>
      <c r="B312" s="54" t="s">
        <v>247</v>
      </c>
      <c r="C312" s="55"/>
      <c r="D312" s="54" t="s">
        <v>463</v>
      </c>
      <c r="E312" s="56">
        <v>45937.0</v>
      </c>
      <c r="F312" s="56">
        <v>45938.0</v>
      </c>
      <c r="G312" s="54"/>
      <c r="H312" s="54"/>
      <c r="I312" s="54"/>
      <c r="J312" s="57"/>
      <c r="K312" s="9"/>
      <c r="L312" s="9"/>
      <c r="M312" s="58"/>
      <c r="N312" s="59"/>
    </row>
    <row r="313" ht="22.5" customHeight="1">
      <c r="A313" s="53">
        <v>11.0</v>
      </c>
      <c r="B313" s="54" t="s">
        <v>247</v>
      </c>
      <c r="C313" s="55"/>
      <c r="D313" s="54" t="s">
        <v>464</v>
      </c>
      <c r="E313" s="56">
        <v>45937.0</v>
      </c>
      <c r="F313" s="56">
        <v>45938.0</v>
      </c>
      <c r="G313" s="54"/>
      <c r="H313" s="54"/>
      <c r="I313" s="54"/>
      <c r="J313" s="57"/>
      <c r="K313" s="9"/>
      <c r="L313" s="9"/>
      <c r="M313" s="58"/>
      <c r="N313" s="59"/>
    </row>
    <row r="314" ht="22.5" customHeight="1">
      <c r="A314" s="53">
        <v>11.0</v>
      </c>
      <c r="B314" s="54" t="s">
        <v>247</v>
      </c>
      <c r="C314" s="55"/>
      <c r="D314" s="54" t="s">
        <v>465</v>
      </c>
      <c r="E314" s="56">
        <v>45937.0</v>
      </c>
      <c r="F314" s="56">
        <v>45938.0</v>
      </c>
      <c r="G314" s="54"/>
      <c r="H314" s="54"/>
      <c r="I314" s="54"/>
      <c r="J314" s="57"/>
      <c r="K314" s="9"/>
      <c r="L314" s="9"/>
      <c r="M314" s="58"/>
      <c r="N314" s="59"/>
    </row>
    <row r="315" ht="22.5" customHeight="1">
      <c r="A315" s="53">
        <v>11.0</v>
      </c>
      <c r="B315" s="54" t="s">
        <v>247</v>
      </c>
      <c r="C315" s="55"/>
      <c r="D315" s="54" t="s">
        <v>466</v>
      </c>
      <c r="E315" s="56">
        <v>45937.0</v>
      </c>
      <c r="F315" s="56">
        <v>45938.0</v>
      </c>
      <c r="G315" s="54"/>
      <c r="H315" s="54"/>
      <c r="I315" s="54"/>
      <c r="J315" s="57"/>
      <c r="K315" s="9"/>
      <c r="L315" s="9"/>
      <c r="M315" s="58"/>
      <c r="N315" s="59"/>
    </row>
    <row r="316" ht="22.5" customHeight="1">
      <c r="A316" s="53">
        <v>11.0</v>
      </c>
      <c r="B316" s="54" t="s">
        <v>247</v>
      </c>
      <c r="C316" s="55"/>
      <c r="D316" s="54" t="s">
        <v>467</v>
      </c>
      <c r="E316" s="56">
        <v>45937.0</v>
      </c>
      <c r="F316" s="56">
        <v>45938.0</v>
      </c>
      <c r="G316" s="54"/>
      <c r="H316" s="54"/>
      <c r="I316" s="54"/>
      <c r="J316" s="57"/>
      <c r="K316" s="9"/>
      <c r="L316" s="9"/>
      <c r="M316" s="58"/>
      <c r="N316" s="59"/>
    </row>
    <row r="317" ht="22.5" customHeight="1">
      <c r="A317" s="53">
        <v>13.0</v>
      </c>
      <c r="B317" s="54" t="s">
        <v>468</v>
      </c>
      <c r="C317" s="54" t="s">
        <v>469</v>
      </c>
      <c r="D317" s="54" t="s">
        <v>470</v>
      </c>
      <c r="E317" s="56">
        <v>45944.0</v>
      </c>
      <c r="F317" s="56">
        <v>45945.0</v>
      </c>
      <c r="G317" s="54"/>
      <c r="H317" s="54"/>
      <c r="I317" s="54"/>
      <c r="J317" s="57"/>
      <c r="K317" s="9"/>
      <c r="L317" s="9"/>
      <c r="M317" s="58"/>
      <c r="N317" s="59"/>
    </row>
    <row r="318" ht="22.5" customHeight="1">
      <c r="A318" s="53">
        <v>13.0</v>
      </c>
      <c r="B318" s="54" t="s">
        <v>468</v>
      </c>
      <c r="C318" s="54" t="s">
        <v>471</v>
      </c>
      <c r="D318" s="54" t="s">
        <v>472</v>
      </c>
      <c r="E318" s="56">
        <v>45944.0</v>
      </c>
      <c r="F318" s="56">
        <v>45945.0</v>
      </c>
      <c r="G318" s="54"/>
      <c r="H318" s="54"/>
      <c r="I318" s="54"/>
      <c r="J318" s="57"/>
      <c r="K318" s="9"/>
      <c r="L318" s="9"/>
      <c r="M318" s="58"/>
      <c r="N318" s="59"/>
    </row>
    <row r="319" ht="22.5" customHeight="1">
      <c r="A319" s="53">
        <v>13.0</v>
      </c>
      <c r="B319" s="54" t="s">
        <v>468</v>
      </c>
      <c r="C319" s="54" t="s">
        <v>473</v>
      </c>
      <c r="D319" s="54" t="s">
        <v>474</v>
      </c>
      <c r="E319" s="56">
        <v>45944.0</v>
      </c>
      <c r="F319" s="56">
        <v>45945.0</v>
      </c>
      <c r="G319" s="54"/>
      <c r="H319" s="54"/>
      <c r="I319" s="54"/>
      <c r="J319" s="57"/>
      <c r="K319" s="9"/>
      <c r="L319" s="9"/>
      <c r="M319" s="58"/>
      <c r="N319" s="59"/>
    </row>
    <row r="320" ht="22.5" customHeight="1">
      <c r="A320" s="53">
        <v>13.0</v>
      </c>
      <c r="B320" s="54" t="s">
        <v>468</v>
      </c>
      <c r="C320" s="54" t="s">
        <v>475</v>
      </c>
      <c r="D320" s="54" t="s">
        <v>476</v>
      </c>
      <c r="E320" s="56">
        <v>45944.0</v>
      </c>
      <c r="F320" s="56">
        <v>45945.0</v>
      </c>
      <c r="G320" s="54"/>
      <c r="H320" s="54"/>
      <c r="I320" s="54"/>
      <c r="J320" s="57"/>
      <c r="K320" s="9"/>
      <c r="L320" s="9"/>
      <c r="M320" s="58"/>
      <c r="N320" s="59"/>
    </row>
    <row r="321" ht="22.5" customHeight="1">
      <c r="A321" s="53">
        <v>13.0</v>
      </c>
      <c r="B321" s="54" t="s">
        <v>468</v>
      </c>
      <c r="C321" s="54" t="s">
        <v>477</v>
      </c>
      <c r="D321" s="54" t="s">
        <v>478</v>
      </c>
      <c r="E321" s="56">
        <v>45944.0</v>
      </c>
      <c r="F321" s="56">
        <v>45945.0</v>
      </c>
      <c r="G321" s="54"/>
      <c r="H321" s="54"/>
      <c r="I321" s="54"/>
      <c r="J321" s="57"/>
      <c r="K321" s="9"/>
      <c r="L321" s="9"/>
      <c r="M321" s="58"/>
      <c r="N321" s="59"/>
    </row>
    <row r="322" ht="22.5" customHeight="1">
      <c r="A322" s="53">
        <v>13.0</v>
      </c>
      <c r="B322" s="54" t="s">
        <v>468</v>
      </c>
      <c r="C322" s="54" t="s">
        <v>479</v>
      </c>
      <c r="D322" s="54" t="s">
        <v>480</v>
      </c>
      <c r="E322" s="56">
        <v>45944.0</v>
      </c>
      <c r="F322" s="56">
        <v>45945.0</v>
      </c>
      <c r="G322" s="54"/>
      <c r="H322" s="54"/>
      <c r="I322" s="54"/>
      <c r="J322" s="57"/>
      <c r="K322" s="9"/>
      <c r="L322" s="9"/>
      <c r="M322" s="58"/>
      <c r="N322" s="59"/>
    </row>
    <row r="323" ht="22.5" customHeight="1">
      <c r="A323" s="53">
        <v>13.0</v>
      </c>
      <c r="B323" s="54" t="s">
        <v>468</v>
      </c>
      <c r="C323" s="54" t="s">
        <v>481</v>
      </c>
      <c r="D323" s="54" t="s">
        <v>482</v>
      </c>
      <c r="E323" s="56">
        <v>45944.0</v>
      </c>
      <c r="F323" s="56">
        <v>45945.0</v>
      </c>
      <c r="G323" s="54"/>
      <c r="H323" s="54"/>
      <c r="I323" s="54"/>
      <c r="J323" s="57"/>
      <c r="K323" s="9"/>
      <c r="L323" s="9"/>
      <c r="M323" s="58"/>
      <c r="N323" s="59"/>
    </row>
    <row r="324" ht="22.5" customHeight="1">
      <c r="A324" s="53">
        <v>13.0</v>
      </c>
      <c r="B324" s="54" t="s">
        <v>468</v>
      </c>
      <c r="C324" s="54" t="s">
        <v>483</v>
      </c>
      <c r="D324" s="54" t="s">
        <v>484</v>
      </c>
      <c r="E324" s="56">
        <v>45944.0</v>
      </c>
      <c r="F324" s="56">
        <v>45945.0</v>
      </c>
      <c r="G324" s="54"/>
      <c r="H324" s="54"/>
      <c r="I324" s="54"/>
      <c r="J324" s="57"/>
      <c r="K324" s="9"/>
      <c r="L324" s="9"/>
      <c r="M324" s="58"/>
      <c r="N324" s="59"/>
    </row>
    <row r="325" ht="22.5" customHeight="1">
      <c r="A325" s="53">
        <v>13.0</v>
      </c>
      <c r="B325" s="54" t="s">
        <v>468</v>
      </c>
      <c r="C325" s="54" t="s">
        <v>485</v>
      </c>
      <c r="D325" s="54" t="s">
        <v>486</v>
      </c>
      <c r="E325" s="56">
        <v>45944.0</v>
      </c>
      <c r="F325" s="56">
        <v>45945.0</v>
      </c>
      <c r="G325" s="54"/>
      <c r="H325" s="54"/>
      <c r="I325" s="54"/>
      <c r="J325" s="57"/>
      <c r="K325" s="9"/>
      <c r="L325" s="9"/>
      <c r="M325" s="58"/>
      <c r="N325" s="59"/>
    </row>
    <row r="326" ht="22.5" customHeight="1">
      <c r="A326" s="53">
        <v>13.0</v>
      </c>
      <c r="B326" s="54" t="s">
        <v>468</v>
      </c>
      <c r="C326" s="54" t="s">
        <v>487</v>
      </c>
      <c r="D326" s="54" t="s">
        <v>488</v>
      </c>
      <c r="E326" s="56">
        <v>45944.0</v>
      </c>
      <c r="F326" s="56">
        <v>45945.0</v>
      </c>
      <c r="G326" s="54"/>
      <c r="H326" s="54"/>
      <c r="I326" s="54"/>
      <c r="J326" s="57"/>
      <c r="K326" s="9"/>
      <c r="L326" s="9"/>
      <c r="M326" s="58"/>
      <c r="N326" s="59"/>
    </row>
    <row r="327" ht="22.5" customHeight="1">
      <c r="A327" s="53">
        <v>13.0</v>
      </c>
      <c r="B327" s="54" t="s">
        <v>468</v>
      </c>
      <c r="C327" s="54" t="s">
        <v>489</v>
      </c>
      <c r="D327" s="54" t="s">
        <v>490</v>
      </c>
      <c r="E327" s="56">
        <v>45944.0</v>
      </c>
      <c r="F327" s="56">
        <v>45945.0</v>
      </c>
      <c r="G327" s="54"/>
      <c r="H327" s="54"/>
      <c r="I327" s="54"/>
      <c r="J327" s="57"/>
      <c r="K327" s="9"/>
      <c r="L327" s="9"/>
      <c r="M327" s="58"/>
      <c r="N327" s="59"/>
    </row>
    <row r="328" ht="22.5" customHeight="1">
      <c r="A328" s="53">
        <v>13.0</v>
      </c>
      <c r="B328" s="54" t="s">
        <v>468</v>
      </c>
      <c r="C328" s="54" t="s">
        <v>491</v>
      </c>
      <c r="D328" s="54" t="s">
        <v>492</v>
      </c>
      <c r="E328" s="56">
        <v>45944.0</v>
      </c>
      <c r="F328" s="56">
        <v>45945.0</v>
      </c>
      <c r="G328" s="54"/>
      <c r="H328" s="54"/>
      <c r="I328" s="54"/>
      <c r="J328" s="57"/>
      <c r="K328" s="9"/>
      <c r="L328" s="9"/>
      <c r="M328" s="58"/>
      <c r="N328" s="59"/>
    </row>
    <row r="329" ht="22.5" customHeight="1">
      <c r="A329" s="53">
        <v>13.0</v>
      </c>
      <c r="B329" s="54" t="s">
        <v>468</v>
      </c>
      <c r="C329" s="54" t="s">
        <v>493</v>
      </c>
      <c r="D329" s="54" t="s">
        <v>494</v>
      </c>
      <c r="E329" s="56">
        <v>45944.0</v>
      </c>
      <c r="F329" s="56">
        <v>45945.0</v>
      </c>
      <c r="G329" s="54"/>
      <c r="H329" s="54"/>
      <c r="I329" s="54"/>
      <c r="J329" s="57"/>
      <c r="K329" s="9"/>
      <c r="L329" s="9"/>
      <c r="M329" s="58"/>
      <c r="N329" s="59"/>
    </row>
    <row r="330" ht="22.5" customHeight="1">
      <c r="A330" s="53">
        <v>13.0</v>
      </c>
      <c r="B330" s="54" t="s">
        <v>468</v>
      </c>
      <c r="C330" s="54" t="s">
        <v>495</v>
      </c>
      <c r="D330" s="54" t="s">
        <v>496</v>
      </c>
      <c r="E330" s="56">
        <v>45944.0</v>
      </c>
      <c r="F330" s="56">
        <v>45945.0</v>
      </c>
      <c r="G330" s="54"/>
      <c r="H330" s="54"/>
      <c r="I330" s="54"/>
      <c r="J330" s="57"/>
      <c r="K330" s="9"/>
      <c r="L330" s="9"/>
      <c r="M330" s="58"/>
      <c r="N330" s="59"/>
    </row>
    <row r="331" ht="22.5" customHeight="1">
      <c r="A331" s="53">
        <v>13.0</v>
      </c>
      <c r="B331" s="54" t="s">
        <v>468</v>
      </c>
      <c r="C331" s="54" t="s">
        <v>497</v>
      </c>
      <c r="D331" s="54" t="s">
        <v>498</v>
      </c>
      <c r="E331" s="56">
        <v>45944.0</v>
      </c>
      <c r="F331" s="56">
        <v>45945.0</v>
      </c>
      <c r="G331" s="54"/>
      <c r="H331" s="54"/>
      <c r="I331" s="54"/>
      <c r="J331" s="57"/>
      <c r="K331" s="9"/>
      <c r="L331" s="9"/>
      <c r="M331" s="58"/>
      <c r="N331" s="59"/>
    </row>
    <row r="332" ht="22.5" customHeight="1">
      <c r="A332" s="53">
        <v>13.0</v>
      </c>
      <c r="B332" s="54" t="s">
        <v>468</v>
      </c>
      <c r="C332" s="54" t="s">
        <v>499</v>
      </c>
      <c r="D332" s="54" t="s">
        <v>500</v>
      </c>
      <c r="E332" s="56">
        <v>45944.0</v>
      </c>
      <c r="F332" s="56">
        <v>45945.0</v>
      </c>
      <c r="G332" s="54"/>
      <c r="H332" s="54"/>
      <c r="I332" s="54"/>
      <c r="J332" s="57"/>
      <c r="K332" s="9"/>
      <c r="L332" s="9"/>
      <c r="M332" s="58"/>
      <c r="N332" s="59"/>
    </row>
    <row r="333" ht="22.5" customHeight="1">
      <c r="A333" s="53">
        <v>13.0</v>
      </c>
      <c r="B333" s="54" t="s">
        <v>468</v>
      </c>
      <c r="C333" s="54" t="s">
        <v>501</v>
      </c>
      <c r="D333" s="54" t="s">
        <v>502</v>
      </c>
      <c r="E333" s="56">
        <v>45944.0</v>
      </c>
      <c r="F333" s="56">
        <v>45945.0</v>
      </c>
      <c r="G333" s="54"/>
      <c r="H333" s="54"/>
      <c r="I333" s="54"/>
      <c r="J333" s="57"/>
      <c r="K333" s="9"/>
      <c r="L333" s="9"/>
      <c r="M333" s="58"/>
      <c r="N333" s="59"/>
    </row>
    <row r="334" ht="22.5" customHeight="1">
      <c r="A334" s="53">
        <v>13.0</v>
      </c>
      <c r="B334" s="54" t="s">
        <v>468</v>
      </c>
      <c r="C334" s="54" t="s">
        <v>503</v>
      </c>
      <c r="D334" s="54" t="s">
        <v>504</v>
      </c>
      <c r="E334" s="56">
        <v>45944.0</v>
      </c>
      <c r="F334" s="56">
        <v>45945.0</v>
      </c>
      <c r="G334" s="54"/>
      <c r="H334" s="54"/>
      <c r="I334" s="54"/>
      <c r="J334" s="57"/>
      <c r="K334" s="9"/>
      <c r="L334" s="9"/>
      <c r="M334" s="58"/>
      <c r="N334" s="59"/>
    </row>
    <row r="335" ht="22.5" customHeight="1">
      <c r="A335" s="53">
        <v>13.0</v>
      </c>
      <c r="B335" s="54" t="s">
        <v>468</v>
      </c>
      <c r="C335" s="54" t="s">
        <v>505</v>
      </c>
      <c r="D335" s="54" t="s">
        <v>506</v>
      </c>
      <c r="E335" s="56">
        <v>45944.0</v>
      </c>
      <c r="F335" s="56">
        <v>45945.0</v>
      </c>
      <c r="G335" s="54"/>
      <c r="H335" s="54"/>
      <c r="I335" s="54"/>
      <c r="J335" s="57"/>
      <c r="K335" s="9"/>
      <c r="L335" s="9"/>
      <c r="M335" s="58"/>
      <c r="N335" s="59"/>
    </row>
    <row r="336" ht="22.5" customHeight="1">
      <c r="A336" s="53">
        <v>13.0</v>
      </c>
      <c r="B336" s="54" t="s">
        <v>468</v>
      </c>
      <c r="C336" s="54" t="s">
        <v>507</v>
      </c>
      <c r="D336" s="54" t="s">
        <v>508</v>
      </c>
      <c r="E336" s="56">
        <v>45944.0</v>
      </c>
      <c r="F336" s="56">
        <v>45945.0</v>
      </c>
      <c r="G336" s="54"/>
      <c r="H336" s="54"/>
      <c r="I336" s="54"/>
      <c r="J336" s="57"/>
      <c r="K336" s="9"/>
      <c r="L336" s="9"/>
      <c r="M336" s="58"/>
      <c r="N336" s="59"/>
    </row>
    <row r="337" ht="22.5" customHeight="1">
      <c r="A337" s="53">
        <v>13.0</v>
      </c>
      <c r="B337" s="54" t="s">
        <v>468</v>
      </c>
      <c r="C337" s="54" t="s">
        <v>509</v>
      </c>
      <c r="D337" s="54" t="s">
        <v>510</v>
      </c>
      <c r="E337" s="56">
        <v>45944.0</v>
      </c>
      <c r="F337" s="56">
        <v>45945.0</v>
      </c>
      <c r="G337" s="54"/>
      <c r="H337" s="54"/>
      <c r="I337" s="54"/>
      <c r="J337" s="57"/>
      <c r="K337" s="9"/>
      <c r="L337" s="9"/>
      <c r="M337" s="58"/>
      <c r="N337" s="59"/>
    </row>
    <row r="338" ht="22.5" customHeight="1">
      <c r="A338" s="53">
        <v>13.0</v>
      </c>
      <c r="B338" s="54" t="s">
        <v>468</v>
      </c>
      <c r="C338" s="54" t="s">
        <v>511</v>
      </c>
      <c r="D338" s="54" t="s">
        <v>512</v>
      </c>
      <c r="E338" s="56">
        <v>45944.0</v>
      </c>
      <c r="F338" s="56">
        <v>45945.0</v>
      </c>
      <c r="G338" s="54"/>
      <c r="H338" s="54"/>
      <c r="I338" s="54"/>
      <c r="J338" s="57"/>
      <c r="K338" s="9"/>
      <c r="L338" s="9"/>
      <c r="M338" s="58"/>
      <c r="N338" s="59"/>
    </row>
    <row r="339" ht="22.5" customHeight="1">
      <c r="A339" s="53">
        <v>13.0</v>
      </c>
      <c r="B339" s="54" t="s">
        <v>468</v>
      </c>
      <c r="C339" s="54" t="s">
        <v>513</v>
      </c>
      <c r="D339" s="54" t="s">
        <v>514</v>
      </c>
      <c r="E339" s="56">
        <v>45944.0</v>
      </c>
      <c r="F339" s="56">
        <v>45945.0</v>
      </c>
      <c r="G339" s="54"/>
      <c r="H339" s="54"/>
      <c r="I339" s="54"/>
      <c r="J339" s="57"/>
      <c r="K339" s="9"/>
      <c r="L339" s="9"/>
      <c r="M339" s="58"/>
      <c r="N339" s="59"/>
    </row>
    <row r="340" ht="22.5" customHeight="1">
      <c r="A340" s="53">
        <v>13.0</v>
      </c>
      <c r="B340" s="54" t="s">
        <v>468</v>
      </c>
      <c r="C340" s="54" t="s">
        <v>515</v>
      </c>
      <c r="D340" s="54" t="s">
        <v>516</v>
      </c>
      <c r="E340" s="56">
        <v>45944.0</v>
      </c>
      <c r="F340" s="56">
        <v>45945.0</v>
      </c>
      <c r="G340" s="54"/>
      <c r="H340" s="54"/>
      <c r="I340" s="54"/>
      <c r="J340" s="57"/>
      <c r="K340" s="9"/>
      <c r="L340" s="9"/>
      <c r="M340" s="58"/>
      <c r="N340" s="59"/>
    </row>
    <row r="341" ht="22.5" customHeight="1">
      <c r="A341" s="53">
        <v>13.0</v>
      </c>
      <c r="B341" s="54" t="s">
        <v>468</v>
      </c>
      <c r="C341" s="54" t="s">
        <v>517</v>
      </c>
      <c r="D341" s="54" t="s">
        <v>518</v>
      </c>
      <c r="E341" s="56">
        <v>45944.0</v>
      </c>
      <c r="F341" s="56">
        <v>45945.0</v>
      </c>
      <c r="G341" s="54"/>
      <c r="H341" s="54"/>
      <c r="I341" s="54"/>
      <c r="J341" s="57"/>
      <c r="K341" s="9"/>
      <c r="L341" s="9"/>
      <c r="M341" s="58"/>
      <c r="N341" s="59"/>
    </row>
    <row r="342" ht="22.5" customHeight="1">
      <c r="A342" s="53">
        <v>13.0</v>
      </c>
      <c r="B342" s="54" t="s">
        <v>468</v>
      </c>
      <c r="C342" s="54" t="s">
        <v>519</v>
      </c>
      <c r="D342" s="54" t="s">
        <v>520</v>
      </c>
      <c r="E342" s="56">
        <v>45944.0</v>
      </c>
      <c r="F342" s="56">
        <v>45945.0</v>
      </c>
      <c r="G342" s="54"/>
      <c r="H342" s="54"/>
      <c r="I342" s="54"/>
      <c r="J342" s="57"/>
      <c r="K342" s="9"/>
      <c r="L342" s="9"/>
      <c r="M342" s="58"/>
      <c r="N342" s="59"/>
    </row>
    <row r="343" ht="22.5" customHeight="1">
      <c r="A343" s="53">
        <v>13.0</v>
      </c>
      <c r="B343" s="54" t="s">
        <v>468</v>
      </c>
      <c r="C343" s="54" t="s">
        <v>521</v>
      </c>
      <c r="D343" s="54" t="s">
        <v>522</v>
      </c>
      <c r="E343" s="56">
        <v>45944.0</v>
      </c>
      <c r="F343" s="56">
        <v>45945.0</v>
      </c>
      <c r="G343" s="54"/>
      <c r="H343" s="54"/>
      <c r="I343" s="54"/>
      <c r="J343" s="57"/>
      <c r="K343" s="9"/>
      <c r="L343" s="9"/>
      <c r="M343" s="58"/>
      <c r="N343" s="59"/>
    </row>
    <row r="344" ht="22.5" customHeight="1">
      <c r="A344" s="53">
        <v>13.0</v>
      </c>
      <c r="B344" s="54" t="s">
        <v>468</v>
      </c>
      <c r="C344" s="54" t="s">
        <v>523</v>
      </c>
      <c r="D344" s="54" t="s">
        <v>524</v>
      </c>
      <c r="E344" s="56">
        <v>45944.0</v>
      </c>
      <c r="F344" s="56">
        <v>45945.0</v>
      </c>
      <c r="G344" s="54"/>
      <c r="H344" s="54"/>
      <c r="I344" s="54"/>
      <c r="J344" s="57"/>
      <c r="K344" s="9"/>
      <c r="L344" s="9"/>
      <c r="M344" s="58"/>
      <c r="N344" s="59"/>
    </row>
    <row r="345" ht="22.5" customHeight="1">
      <c r="A345" s="53">
        <v>13.0</v>
      </c>
      <c r="B345" s="54" t="s">
        <v>468</v>
      </c>
      <c r="C345" s="54" t="s">
        <v>525</v>
      </c>
      <c r="D345" s="54" t="s">
        <v>526</v>
      </c>
      <c r="E345" s="56">
        <v>45944.0</v>
      </c>
      <c r="F345" s="56">
        <v>45945.0</v>
      </c>
      <c r="G345" s="54"/>
      <c r="H345" s="54"/>
      <c r="I345" s="54"/>
      <c r="J345" s="57"/>
      <c r="K345" s="9"/>
      <c r="L345" s="9"/>
      <c r="M345" s="58"/>
      <c r="N345" s="59"/>
    </row>
    <row r="346" ht="22.5" customHeight="1">
      <c r="A346" s="53">
        <v>13.0</v>
      </c>
      <c r="B346" s="54" t="s">
        <v>468</v>
      </c>
      <c r="C346" s="54" t="s">
        <v>527</v>
      </c>
      <c r="D346" s="54" t="s">
        <v>528</v>
      </c>
      <c r="E346" s="56">
        <v>45944.0</v>
      </c>
      <c r="F346" s="56">
        <v>45945.0</v>
      </c>
      <c r="G346" s="54"/>
      <c r="H346" s="54"/>
      <c r="I346" s="54"/>
      <c r="J346" s="57"/>
      <c r="K346" s="9"/>
      <c r="L346" s="9"/>
      <c r="M346" s="58"/>
      <c r="N346" s="59"/>
    </row>
    <row r="347" ht="22.5" customHeight="1">
      <c r="A347" s="53">
        <v>14.0</v>
      </c>
      <c r="B347" s="54" t="s">
        <v>247</v>
      </c>
      <c r="C347" s="55"/>
      <c r="D347" s="54" t="s">
        <v>529</v>
      </c>
      <c r="E347" s="56">
        <v>45947.0</v>
      </c>
      <c r="F347" s="56">
        <v>45938.0</v>
      </c>
      <c r="G347" s="54"/>
      <c r="H347" s="54"/>
      <c r="I347" s="54"/>
      <c r="J347" s="57"/>
      <c r="K347" s="9"/>
      <c r="L347" s="9"/>
      <c r="M347" s="58"/>
      <c r="N347" s="59"/>
    </row>
    <row r="348" ht="22.5" customHeight="1">
      <c r="A348" s="53">
        <v>14.0</v>
      </c>
      <c r="B348" s="54" t="s">
        <v>247</v>
      </c>
      <c r="C348" s="55"/>
      <c r="D348" s="54" t="s">
        <v>530</v>
      </c>
      <c r="E348" s="56">
        <v>45947.0</v>
      </c>
      <c r="F348" s="56">
        <v>45938.0</v>
      </c>
      <c r="G348" s="54"/>
      <c r="H348" s="54"/>
      <c r="I348" s="54"/>
      <c r="J348" s="57"/>
      <c r="K348" s="9"/>
      <c r="L348" s="9"/>
      <c r="M348" s="58"/>
      <c r="N348" s="59"/>
    </row>
    <row r="349" ht="22.5" customHeight="1">
      <c r="A349" s="53">
        <v>14.0</v>
      </c>
      <c r="B349" s="54" t="s">
        <v>247</v>
      </c>
      <c r="C349" s="55"/>
      <c r="D349" s="54" t="s">
        <v>531</v>
      </c>
      <c r="E349" s="56">
        <v>45947.0</v>
      </c>
      <c r="F349" s="56">
        <v>45938.0</v>
      </c>
      <c r="G349" s="54"/>
      <c r="H349" s="54"/>
      <c r="I349" s="54"/>
      <c r="J349" s="57"/>
      <c r="K349" s="9"/>
      <c r="L349" s="9"/>
      <c r="M349" s="58"/>
      <c r="N349" s="59"/>
    </row>
    <row r="350" ht="22.5" customHeight="1">
      <c r="A350" s="53">
        <v>14.0</v>
      </c>
      <c r="B350" s="54" t="s">
        <v>247</v>
      </c>
      <c r="C350" s="55"/>
      <c r="D350" s="54" t="s">
        <v>532</v>
      </c>
      <c r="E350" s="56">
        <v>45947.0</v>
      </c>
      <c r="F350" s="56">
        <v>45938.0</v>
      </c>
      <c r="G350" s="54"/>
      <c r="H350" s="54"/>
      <c r="I350" s="54"/>
      <c r="J350" s="57"/>
      <c r="K350" s="9"/>
      <c r="L350" s="9"/>
      <c r="M350" s="58"/>
      <c r="N350" s="59"/>
    </row>
    <row r="351" ht="22.5" customHeight="1">
      <c r="A351" s="53">
        <v>14.0</v>
      </c>
      <c r="B351" s="54" t="s">
        <v>247</v>
      </c>
      <c r="C351" s="55"/>
      <c r="D351" s="54" t="s">
        <v>533</v>
      </c>
      <c r="E351" s="56">
        <v>45947.0</v>
      </c>
      <c r="F351" s="56">
        <v>45938.0</v>
      </c>
      <c r="G351" s="54"/>
      <c r="H351" s="54"/>
      <c r="I351" s="54"/>
      <c r="J351" s="57"/>
      <c r="K351" s="9"/>
      <c r="L351" s="9"/>
      <c r="M351" s="58"/>
      <c r="N351" s="59"/>
    </row>
    <row r="352" ht="22.5" customHeight="1">
      <c r="A352" s="53">
        <v>14.0</v>
      </c>
      <c r="B352" s="54" t="s">
        <v>247</v>
      </c>
      <c r="C352" s="55"/>
      <c r="D352" s="54" t="s">
        <v>534</v>
      </c>
      <c r="E352" s="56">
        <v>45947.0</v>
      </c>
      <c r="F352" s="56">
        <v>45938.0</v>
      </c>
      <c r="G352" s="54"/>
      <c r="H352" s="54"/>
      <c r="I352" s="54"/>
      <c r="J352" s="57"/>
      <c r="K352" s="9"/>
      <c r="L352" s="9"/>
      <c r="M352" s="58"/>
      <c r="N352" s="59"/>
    </row>
    <row r="353" ht="22.5" customHeight="1">
      <c r="A353" s="53">
        <v>14.0</v>
      </c>
      <c r="B353" s="54" t="s">
        <v>247</v>
      </c>
      <c r="C353" s="55"/>
      <c r="D353" s="54" t="s">
        <v>535</v>
      </c>
      <c r="E353" s="56">
        <v>45947.0</v>
      </c>
      <c r="F353" s="56">
        <v>45938.0</v>
      </c>
      <c r="G353" s="54"/>
      <c r="H353" s="54"/>
      <c r="I353" s="54"/>
      <c r="J353" s="57"/>
      <c r="K353" s="9"/>
      <c r="L353" s="9"/>
      <c r="M353" s="58"/>
      <c r="N353" s="59"/>
    </row>
    <row r="354" ht="22.5" customHeight="1">
      <c r="A354" s="53">
        <v>14.0</v>
      </c>
      <c r="B354" s="54" t="s">
        <v>247</v>
      </c>
      <c r="C354" s="55"/>
      <c r="D354" s="54" t="s">
        <v>536</v>
      </c>
      <c r="E354" s="56">
        <v>45947.0</v>
      </c>
      <c r="F354" s="56">
        <v>45938.0</v>
      </c>
      <c r="G354" s="54"/>
      <c r="H354" s="54"/>
      <c r="I354" s="54"/>
      <c r="J354" s="57"/>
      <c r="K354" s="9"/>
      <c r="L354" s="9"/>
      <c r="M354" s="58"/>
      <c r="N354" s="59"/>
    </row>
    <row r="355" ht="22.5" customHeight="1">
      <c r="A355" s="53">
        <v>14.0</v>
      </c>
      <c r="B355" s="54" t="s">
        <v>247</v>
      </c>
      <c r="C355" s="55"/>
      <c r="D355" s="54" t="s">
        <v>537</v>
      </c>
      <c r="E355" s="56">
        <v>45947.0</v>
      </c>
      <c r="F355" s="56">
        <v>45938.0</v>
      </c>
      <c r="G355" s="54"/>
      <c r="H355" s="54"/>
      <c r="I355" s="54"/>
      <c r="J355" s="57"/>
      <c r="K355" s="9"/>
      <c r="L355" s="9"/>
      <c r="M355" s="58"/>
      <c r="N355" s="59"/>
    </row>
    <row r="356" ht="22.5" customHeight="1">
      <c r="A356" s="53">
        <v>14.0</v>
      </c>
      <c r="B356" s="54" t="s">
        <v>247</v>
      </c>
      <c r="C356" s="55"/>
      <c r="D356" s="54" t="s">
        <v>538</v>
      </c>
      <c r="E356" s="56">
        <v>45947.0</v>
      </c>
      <c r="F356" s="56">
        <v>45938.0</v>
      </c>
      <c r="G356" s="54"/>
      <c r="H356" s="54"/>
      <c r="I356" s="54"/>
      <c r="J356" s="57"/>
      <c r="K356" s="9"/>
      <c r="L356" s="9"/>
      <c r="M356" s="58"/>
      <c r="N356" s="59"/>
    </row>
    <row r="357" ht="22.5" customHeight="1">
      <c r="A357" s="53">
        <v>14.0</v>
      </c>
      <c r="B357" s="54" t="s">
        <v>247</v>
      </c>
      <c r="C357" s="55"/>
      <c r="D357" s="54" t="s">
        <v>539</v>
      </c>
      <c r="E357" s="56">
        <v>45947.0</v>
      </c>
      <c r="F357" s="56">
        <v>45938.0</v>
      </c>
      <c r="G357" s="54"/>
      <c r="H357" s="54"/>
      <c r="I357" s="54"/>
      <c r="J357" s="57"/>
      <c r="K357" s="9"/>
      <c r="L357" s="9"/>
      <c r="M357" s="58"/>
      <c r="N357" s="59"/>
    </row>
    <row r="358" ht="22.5" customHeight="1">
      <c r="A358" s="53">
        <v>14.0</v>
      </c>
      <c r="B358" s="54" t="s">
        <v>247</v>
      </c>
      <c r="C358" s="55"/>
      <c r="D358" s="54" t="s">
        <v>540</v>
      </c>
      <c r="E358" s="56">
        <v>45947.0</v>
      </c>
      <c r="F358" s="56">
        <v>45938.0</v>
      </c>
      <c r="G358" s="54"/>
      <c r="H358" s="54"/>
      <c r="I358" s="54"/>
      <c r="J358" s="57"/>
      <c r="K358" s="9"/>
      <c r="L358" s="9"/>
      <c r="M358" s="58"/>
      <c r="N358" s="59"/>
    </row>
    <row r="359" ht="22.5" customHeight="1">
      <c r="A359" s="53">
        <v>14.0</v>
      </c>
      <c r="B359" s="54" t="s">
        <v>247</v>
      </c>
      <c r="C359" s="55"/>
      <c r="D359" s="54" t="s">
        <v>541</v>
      </c>
      <c r="E359" s="56">
        <v>45947.0</v>
      </c>
      <c r="F359" s="56">
        <v>45938.0</v>
      </c>
      <c r="G359" s="54"/>
      <c r="H359" s="54"/>
      <c r="I359" s="54"/>
      <c r="J359" s="57"/>
      <c r="K359" s="9"/>
      <c r="L359" s="9"/>
      <c r="M359" s="58"/>
      <c r="N359" s="59"/>
    </row>
    <row r="360" ht="22.5" customHeight="1">
      <c r="A360" s="53">
        <v>14.0</v>
      </c>
      <c r="B360" s="54" t="s">
        <v>247</v>
      </c>
      <c r="C360" s="55"/>
      <c r="D360" s="54" t="s">
        <v>542</v>
      </c>
      <c r="E360" s="56">
        <v>45947.0</v>
      </c>
      <c r="F360" s="56">
        <v>45938.0</v>
      </c>
      <c r="G360" s="54"/>
      <c r="H360" s="54"/>
      <c r="I360" s="54"/>
      <c r="J360" s="57"/>
      <c r="K360" s="9"/>
      <c r="L360" s="9"/>
      <c r="M360" s="58"/>
      <c r="N360" s="59"/>
    </row>
    <row r="361" ht="22.5" customHeight="1">
      <c r="A361" s="53">
        <v>14.0</v>
      </c>
      <c r="B361" s="54" t="s">
        <v>247</v>
      </c>
      <c r="C361" s="55"/>
      <c r="D361" s="54" t="s">
        <v>543</v>
      </c>
      <c r="E361" s="56">
        <v>45947.0</v>
      </c>
      <c r="F361" s="56">
        <v>45938.0</v>
      </c>
      <c r="G361" s="54"/>
      <c r="H361" s="54"/>
      <c r="I361" s="54"/>
      <c r="J361" s="57"/>
      <c r="K361" s="9"/>
      <c r="L361" s="9"/>
      <c r="M361" s="58"/>
      <c r="N361" s="59"/>
    </row>
    <row r="362" ht="22.5" customHeight="1">
      <c r="A362" s="53">
        <v>14.0</v>
      </c>
      <c r="B362" s="54" t="s">
        <v>247</v>
      </c>
      <c r="C362" s="55"/>
      <c r="D362" s="54" t="s">
        <v>544</v>
      </c>
      <c r="E362" s="56">
        <v>45947.0</v>
      </c>
      <c r="F362" s="56">
        <v>45938.0</v>
      </c>
      <c r="G362" s="54"/>
      <c r="H362" s="54"/>
      <c r="I362" s="54"/>
      <c r="J362" s="57"/>
      <c r="K362" s="9"/>
      <c r="L362" s="9"/>
      <c r="M362" s="58"/>
      <c r="N362" s="59"/>
    </row>
    <row r="363" ht="22.5" customHeight="1">
      <c r="A363" s="53">
        <v>14.0</v>
      </c>
      <c r="B363" s="54" t="s">
        <v>247</v>
      </c>
      <c r="C363" s="55"/>
      <c r="D363" s="54" t="s">
        <v>545</v>
      </c>
      <c r="E363" s="56">
        <v>45947.0</v>
      </c>
      <c r="F363" s="56">
        <v>45938.0</v>
      </c>
      <c r="G363" s="54"/>
      <c r="H363" s="54"/>
      <c r="I363" s="54"/>
      <c r="J363" s="57"/>
      <c r="K363" s="9"/>
      <c r="L363" s="9"/>
      <c r="M363" s="58"/>
      <c r="N363" s="59"/>
    </row>
    <row r="364" ht="22.5" customHeight="1">
      <c r="A364" s="53">
        <v>14.0</v>
      </c>
      <c r="B364" s="54" t="s">
        <v>247</v>
      </c>
      <c r="C364" s="55"/>
      <c r="D364" s="54" t="s">
        <v>546</v>
      </c>
      <c r="E364" s="56">
        <v>45947.0</v>
      </c>
      <c r="F364" s="56">
        <v>45938.0</v>
      </c>
      <c r="G364" s="54"/>
      <c r="H364" s="54"/>
      <c r="I364" s="54"/>
      <c r="J364" s="57"/>
      <c r="K364" s="9"/>
      <c r="L364" s="9"/>
      <c r="M364" s="58"/>
      <c r="N364" s="59"/>
    </row>
    <row r="365" ht="22.5" customHeight="1">
      <c r="A365" s="53">
        <v>14.0</v>
      </c>
      <c r="B365" s="54" t="s">
        <v>247</v>
      </c>
      <c r="C365" s="55"/>
      <c r="D365" s="54" t="s">
        <v>547</v>
      </c>
      <c r="E365" s="56">
        <v>45947.0</v>
      </c>
      <c r="F365" s="56">
        <v>45938.0</v>
      </c>
      <c r="G365" s="54"/>
      <c r="H365" s="54"/>
      <c r="I365" s="54"/>
      <c r="J365" s="57"/>
      <c r="K365" s="9"/>
      <c r="L365" s="9"/>
      <c r="M365" s="58"/>
      <c r="N365" s="59"/>
    </row>
    <row r="366" ht="22.5" customHeight="1">
      <c r="A366" s="53">
        <v>14.0</v>
      </c>
      <c r="B366" s="54" t="s">
        <v>247</v>
      </c>
      <c r="C366" s="55"/>
      <c r="D366" s="54" t="s">
        <v>548</v>
      </c>
      <c r="E366" s="56">
        <v>45947.0</v>
      </c>
      <c r="F366" s="56">
        <v>45938.0</v>
      </c>
      <c r="G366" s="54"/>
      <c r="H366" s="54"/>
      <c r="I366" s="54"/>
      <c r="J366" s="57"/>
      <c r="K366" s="9"/>
      <c r="L366" s="9"/>
      <c r="M366" s="58"/>
      <c r="N366" s="59"/>
    </row>
    <row r="367" ht="22.5" customHeight="1">
      <c r="A367" s="53">
        <v>14.0</v>
      </c>
      <c r="B367" s="54" t="s">
        <v>247</v>
      </c>
      <c r="C367" s="55"/>
      <c r="D367" s="54" t="s">
        <v>549</v>
      </c>
      <c r="E367" s="56">
        <v>45947.0</v>
      </c>
      <c r="F367" s="56">
        <v>45938.0</v>
      </c>
      <c r="G367" s="54"/>
      <c r="H367" s="54"/>
      <c r="I367" s="54"/>
      <c r="J367" s="57"/>
      <c r="K367" s="9"/>
      <c r="L367" s="9"/>
      <c r="M367" s="58"/>
      <c r="N367" s="59"/>
    </row>
    <row r="368" ht="22.5" customHeight="1">
      <c r="A368" s="53">
        <v>14.0</v>
      </c>
      <c r="B368" s="54" t="s">
        <v>247</v>
      </c>
      <c r="C368" s="55"/>
      <c r="D368" s="54" t="s">
        <v>550</v>
      </c>
      <c r="E368" s="56">
        <v>45947.0</v>
      </c>
      <c r="F368" s="56">
        <v>45938.0</v>
      </c>
      <c r="G368" s="54"/>
      <c r="H368" s="54"/>
      <c r="I368" s="54"/>
      <c r="J368" s="57"/>
      <c r="K368" s="9"/>
      <c r="L368" s="9"/>
      <c r="M368" s="58"/>
      <c r="N368" s="59"/>
    </row>
    <row r="369" ht="22.5" customHeight="1">
      <c r="A369" s="53">
        <v>14.0</v>
      </c>
      <c r="B369" s="54" t="s">
        <v>247</v>
      </c>
      <c r="C369" s="55"/>
      <c r="D369" s="54" t="s">
        <v>551</v>
      </c>
      <c r="E369" s="56">
        <v>45947.0</v>
      </c>
      <c r="F369" s="56">
        <v>45938.0</v>
      </c>
      <c r="G369" s="54"/>
      <c r="H369" s="54"/>
      <c r="I369" s="54"/>
      <c r="J369" s="57"/>
      <c r="K369" s="9"/>
      <c r="L369" s="9"/>
      <c r="M369" s="58"/>
      <c r="N369" s="59"/>
    </row>
    <row r="370" ht="22.5" customHeight="1">
      <c r="A370" s="53">
        <v>14.0</v>
      </c>
      <c r="B370" s="54" t="s">
        <v>247</v>
      </c>
      <c r="C370" s="55"/>
      <c r="D370" s="54" t="s">
        <v>552</v>
      </c>
      <c r="E370" s="56">
        <v>45947.0</v>
      </c>
      <c r="F370" s="56">
        <v>45938.0</v>
      </c>
      <c r="G370" s="54"/>
      <c r="H370" s="54"/>
      <c r="I370" s="54"/>
      <c r="J370" s="57"/>
      <c r="K370" s="9"/>
      <c r="L370" s="9"/>
      <c r="M370" s="58"/>
      <c r="N370" s="59"/>
    </row>
    <row r="371" ht="22.5" customHeight="1">
      <c r="A371" s="53">
        <v>14.0</v>
      </c>
      <c r="B371" s="54" t="s">
        <v>247</v>
      </c>
      <c r="C371" s="55"/>
      <c r="D371" s="54" t="s">
        <v>553</v>
      </c>
      <c r="E371" s="56">
        <v>45947.0</v>
      </c>
      <c r="F371" s="56">
        <v>45938.0</v>
      </c>
      <c r="G371" s="54"/>
      <c r="H371" s="54"/>
      <c r="I371" s="54"/>
      <c r="J371" s="57"/>
      <c r="K371" s="9"/>
      <c r="L371" s="9"/>
      <c r="M371" s="58"/>
      <c r="N371" s="59"/>
    </row>
    <row r="372" ht="22.5" customHeight="1">
      <c r="A372" s="53">
        <v>14.0</v>
      </c>
      <c r="B372" s="54" t="s">
        <v>247</v>
      </c>
      <c r="C372" s="55"/>
      <c r="D372" s="54" t="s">
        <v>554</v>
      </c>
      <c r="E372" s="56">
        <v>45947.0</v>
      </c>
      <c r="F372" s="56">
        <v>45938.0</v>
      </c>
      <c r="G372" s="54"/>
      <c r="H372" s="54"/>
      <c r="I372" s="54"/>
      <c r="J372" s="57"/>
      <c r="K372" s="9"/>
      <c r="L372" s="9"/>
      <c r="M372" s="58"/>
      <c r="N372" s="59"/>
    </row>
    <row r="373" ht="22.5" customHeight="1">
      <c r="A373" s="53">
        <v>14.0</v>
      </c>
      <c r="B373" s="54" t="s">
        <v>247</v>
      </c>
      <c r="C373" s="55"/>
      <c r="D373" s="54" t="s">
        <v>555</v>
      </c>
      <c r="E373" s="56">
        <v>45947.0</v>
      </c>
      <c r="F373" s="56">
        <v>45938.0</v>
      </c>
      <c r="G373" s="54"/>
      <c r="H373" s="54"/>
      <c r="I373" s="54"/>
      <c r="J373" s="57"/>
      <c r="K373" s="9"/>
      <c r="L373" s="9"/>
      <c r="M373" s="58"/>
      <c r="N373" s="59"/>
    </row>
    <row r="374" ht="22.5" customHeight="1">
      <c r="A374" s="53">
        <v>14.0</v>
      </c>
      <c r="B374" s="54" t="s">
        <v>247</v>
      </c>
      <c r="C374" s="55"/>
      <c r="D374" s="54" t="s">
        <v>556</v>
      </c>
      <c r="E374" s="56">
        <v>45947.0</v>
      </c>
      <c r="F374" s="56">
        <v>45938.0</v>
      </c>
      <c r="G374" s="54"/>
      <c r="H374" s="54"/>
      <c r="I374" s="54"/>
      <c r="J374" s="57"/>
      <c r="K374" s="9"/>
      <c r="L374" s="9"/>
      <c r="M374" s="58"/>
      <c r="N374" s="59"/>
    </row>
    <row r="375" ht="22.5" customHeight="1">
      <c r="A375" s="53">
        <v>14.0</v>
      </c>
      <c r="B375" s="54" t="s">
        <v>247</v>
      </c>
      <c r="C375" s="55"/>
      <c r="D375" s="54" t="s">
        <v>557</v>
      </c>
      <c r="E375" s="56">
        <v>45947.0</v>
      </c>
      <c r="F375" s="56">
        <v>45938.0</v>
      </c>
      <c r="G375" s="54"/>
      <c r="H375" s="54"/>
      <c r="I375" s="54"/>
      <c r="J375" s="57"/>
      <c r="K375" s="9"/>
      <c r="L375" s="9"/>
      <c r="M375" s="58"/>
      <c r="N375" s="59"/>
    </row>
    <row r="376" ht="22.5" customHeight="1">
      <c r="A376" s="53">
        <v>14.0</v>
      </c>
      <c r="B376" s="54" t="s">
        <v>247</v>
      </c>
      <c r="C376" s="55"/>
      <c r="D376" s="54" t="s">
        <v>558</v>
      </c>
      <c r="E376" s="56">
        <v>45947.0</v>
      </c>
      <c r="F376" s="56">
        <v>45938.0</v>
      </c>
      <c r="G376" s="54"/>
      <c r="H376" s="54"/>
      <c r="I376" s="54"/>
      <c r="J376" s="57"/>
      <c r="K376" s="9"/>
      <c r="L376" s="9"/>
      <c r="M376" s="58"/>
      <c r="N376" s="59"/>
    </row>
    <row r="377" ht="22.5" customHeight="1">
      <c r="A377" s="53">
        <v>14.0</v>
      </c>
      <c r="B377" s="54" t="s">
        <v>247</v>
      </c>
      <c r="C377" s="55"/>
      <c r="D377" s="54" t="s">
        <v>559</v>
      </c>
      <c r="E377" s="56">
        <v>45947.0</v>
      </c>
      <c r="F377" s="56">
        <v>45938.0</v>
      </c>
      <c r="G377" s="54"/>
      <c r="H377" s="54"/>
      <c r="I377" s="54"/>
      <c r="J377" s="57"/>
      <c r="K377" s="9"/>
      <c r="L377" s="9"/>
      <c r="M377" s="58"/>
      <c r="N377" s="59"/>
    </row>
    <row r="378" ht="22.5" customHeight="1">
      <c r="A378" s="53">
        <v>14.0</v>
      </c>
      <c r="B378" s="54" t="s">
        <v>247</v>
      </c>
      <c r="C378" s="55"/>
      <c r="D378" s="54" t="s">
        <v>560</v>
      </c>
      <c r="E378" s="56">
        <v>45947.0</v>
      </c>
      <c r="F378" s="56">
        <v>45938.0</v>
      </c>
      <c r="G378" s="54"/>
      <c r="H378" s="54"/>
      <c r="I378" s="54"/>
      <c r="J378" s="57"/>
      <c r="K378" s="9"/>
      <c r="L378" s="9"/>
      <c r="M378" s="58"/>
      <c r="N378" s="59"/>
    </row>
    <row r="379" ht="22.5" customHeight="1">
      <c r="A379" s="53">
        <v>14.0</v>
      </c>
      <c r="B379" s="54" t="s">
        <v>247</v>
      </c>
      <c r="C379" s="55"/>
      <c r="D379" s="54" t="s">
        <v>561</v>
      </c>
      <c r="E379" s="56">
        <v>45947.0</v>
      </c>
      <c r="F379" s="56">
        <v>45938.0</v>
      </c>
      <c r="G379" s="54"/>
      <c r="H379" s="54"/>
      <c r="I379" s="54"/>
      <c r="J379" s="57"/>
      <c r="K379" s="9"/>
      <c r="L379" s="9"/>
      <c r="M379" s="58"/>
      <c r="N379" s="59"/>
    </row>
    <row r="380" ht="22.5" customHeight="1">
      <c r="A380" s="53">
        <v>14.0</v>
      </c>
      <c r="B380" s="54" t="s">
        <v>247</v>
      </c>
      <c r="C380" s="55"/>
      <c r="D380" s="54" t="s">
        <v>562</v>
      </c>
      <c r="E380" s="56">
        <v>45947.0</v>
      </c>
      <c r="F380" s="56">
        <v>45938.0</v>
      </c>
      <c r="G380" s="54"/>
      <c r="H380" s="54"/>
      <c r="I380" s="54"/>
      <c r="J380" s="57"/>
      <c r="K380" s="9"/>
      <c r="L380" s="9"/>
      <c r="M380" s="58"/>
      <c r="N380" s="59"/>
    </row>
    <row r="381" ht="22.5" customHeight="1">
      <c r="A381" s="53">
        <v>14.0</v>
      </c>
      <c r="B381" s="54" t="s">
        <v>247</v>
      </c>
      <c r="C381" s="55"/>
      <c r="D381" s="54" t="s">
        <v>563</v>
      </c>
      <c r="E381" s="56">
        <v>45947.0</v>
      </c>
      <c r="F381" s="56">
        <v>45938.0</v>
      </c>
      <c r="G381" s="54"/>
      <c r="H381" s="54"/>
      <c r="I381" s="54"/>
      <c r="J381" s="57"/>
      <c r="K381" s="9"/>
      <c r="L381" s="9"/>
      <c r="M381" s="58"/>
      <c r="N381" s="59"/>
    </row>
    <row r="382" ht="22.5" customHeight="1">
      <c r="A382" s="53">
        <v>14.0</v>
      </c>
      <c r="B382" s="54" t="s">
        <v>247</v>
      </c>
      <c r="C382" s="55"/>
      <c r="D382" s="54" t="s">
        <v>564</v>
      </c>
      <c r="E382" s="56">
        <v>45947.0</v>
      </c>
      <c r="F382" s="56">
        <v>45938.0</v>
      </c>
      <c r="G382" s="54"/>
      <c r="H382" s="54"/>
      <c r="I382" s="54"/>
      <c r="J382" s="57"/>
      <c r="K382" s="9"/>
      <c r="L382" s="9"/>
      <c r="M382" s="58"/>
      <c r="N382" s="59"/>
    </row>
    <row r="383" ht="22.5" customHeight="1">
      <c r="A383" s="53">
        <v>14.0</v>
      </c>
      <c r="B383" s="54" t="s">
        <v>247</v>
      </c>
      <c r="C383" s="55"/>
      <c r="D383" s="54" t="s">
        <v>565</v>
      </c>
      <c r="E383" s="56">
        <v>45947.0</v>
      </c>
      <c r="F383" s="56">
        <v>45938.0</v>
      </c>
      <c r="G383" s="54"/>
      <c r="H383" s="54"/>
      <c r="I383" s="54"/>
      <c r="J383" s="57"/>
      <c r="K383" s="9"/>
      <c r="L383" s="9"/>
      <c r="M383" s="58"/>
      <c r="N383" s="59"/>
    </row>
    <row r="384" ht="22.5" customHeight="1">
      <c r="A384" s="53">
        <v>14.0</v>
      </c>
      <c r="B384" s="54" t="s">
        <v>247</v>
      </c>
      <c r="C384" s="55"/>
      <c r="D384" s="54" t="s">
        <v>566</v>
      </c>
      <c r="E384" s="56">
        <v>45947.0</v>
      </c>
      <c r="F384" s="56">
        <v>45938.0</v>
      </c>
      <c r="G384" s="54"/>
      <c r="H384" s="54"/>
      <c r="I384" s="54"/>
      <c r="J384" s="57"/>
      <c r="K384" s="9"/>
      <c r="L384" s="9"/>
      <c r="M384" s="58"/>
      <c r="N384" s="59"/>
    </row>
    <row r="385" ht="22.5" customHeight="1">
      <c r="A385" s="53">
        <v>14.0</v>
      </c>
      <c r="B385" s="54" t="s">
        <v>247</v>
      </c>
      <c r="C385" s="55"/>
      <c r="D385" s="54" t="s">
        <v>567</v>
      </c>
      <c r="E385" s="56">
        <v>45947.0</v>
      </c>
      <c r="F385" s="56">
        <v>45938.0</v>
      </c>
      <c r="G385" s="54"/>
      <c r="H385" s="54"/>
      <c r="I385" s="54"/>
      <c r="J385" s="57"/>
      <c r="K385" s="9"/>
      <c r="L385" s="9"/>
      <c r="M385" s="58"/>
      <c r="N385" s="59"/>
    </row>
    <row r="386" ht="22.5" customHeight="1">
      <c r="A386" s="53">
        <v>14.0</v>
      </c>
      <c r="B386" s="54" t="s">
        <v>247</v>
      </c>
      <c r="C386" s="55"/>
      <c r="D386" s="54" t="s">
        <v>568</v>
      </c>
      <c r="E386" s="56">
        <v>45947.0</v>
      </c>
      <c r="F386" s="56">
        <v>45938.0</v>
      </c>
      <c r="G386" s="54"/>
      <c r="H386" s="54"/>
      <c r="I386" s="54"/>
      <c r="J386" s="57"/>
      <c r="K386" s="9"/>
      <c r="L386" s="9"/>
      <c r="M386" s="58"/>
      <c r="N386" s="59"/>
    </row>
    <row r="387" ht="22.5" customHeight="1">
      <c r="A387" s="53">
        <v>14.0</v>
      </c>
      <c r="B387" s="54" t="s">
        <v>247</v>
      </c>
      <c r="C387" s="55"/>
      <c r="D387" s="54" t="s">
        <v>569</v>
      </c>
      <c r="E387" s="56">
        <v>45947.0</v>
      </c>
      <c r="F387" s="56">
        <v>45938.0</v>
      </c>
      <c r="G387" s="54"/>
      <c r="H387" s="54"/>
      <c r="I387" s="54"/>
      <c r="J387" s="57"/>
      <c r="K387" s="9"/>
      <c r="L387" s="9"/>
      <c r="M387" s="58"/>
      <c r="N387" s="59"/>
    </row>
    <row r="388" ht="22.5" customHeight="1">
      <c r="A388" s="53">
        <v>14.0</v>
      </c>
      <c r="B388" s="54" t="s">
        <v>247</v>
      </c>
      <c r="C388" s="55"/>
      <c r="D388" s="54" t="s">
        <v>570</v>
      </c>
      <c r="E388" s="56">
        <v>45947.0</v>
      </c>
      <c r="F388" s="56">
        <v>45938.0</v>
      </c>
      <c r="G388" s="54"/>
      <c r="H388" s="54"/>
      <c r="I388" s="54"/>
      <c r="J388" s="57"/>
      <c r="K388" s="9"/>
      <c r="L388" s="9"/>
      <c r="M388" s="58"/>
      <c r="N388" s="59"/>
    </row>
    <row r="389" ht="22.5" customHeight="1">
      <c r="A389" s="53">
        <v>14.0</v>
      </c>
      <c r="B389" s="54" t="s">
        <v>247</v>
      </c>
      <c r="C389" s="55"/>
      <c r="D389" s="54" t="s">
        <v>571</v>
      </c>
      <c r="E389" s="56">
        <v>45947.0</v>
      </c>
      <c r="F389" s="56">
        <v>45938.0</v>
      </c>
      <c r="G389" s="54"/>
      <c r="H389" s="54"/>
      <c r="I389" s="54"/>
      <c r="J389" s="57"/>
      <c r="K389" s="9"/>
      <c r="L389" s="9"/>
      <c r="M389" s="58"/>
      <c r="N389" s="59"/>
    </row>
    <row r="390" ht="22.5" customHeight="1">
      <c r="A390" s="53">
        <v>14.0</v>
      </c>
      <c r="B390" s="54" t="s">
        <v>247</v>
      </c>
      <c r="C390" s="55"/>
      <c r="D390" s="54" t="s">
        <v>572</v>
      </c>
      <c r="E390" s="56">
        <v>45947.0</v>
      </c>
      <c r="F390" s="56">
        <v>45938.0</v>
      </c>
      <c r="G390" s="54"/>
      <c r="H390" s="54"/>
      <c r="I390" s="54"/>
      <c r="J390" s="57"/>
      <c r="K390" s="9"/>
      <c r="L390" s="9"/>
      <c r="M390" s="58"/>
      <c r="N390" s="59"/>
    </row>
    <row r="391" ht="22.5" customHeight="1">
      <c r="A391" s="53">
        <v>14.0</v>
      </c>
      <c r="B391" s="54" t="s">
        <v>247</v>
      </c>
      <c r="C391" s="55"/>
      <c r="D391" s="54" t="s">
        <v>573</v>
      </c>
      <c r="E391" s="56">
        <v>45947.0</v>
      </c>
      <c r="F391" s="56">
        <v>45938.0</v>
      </c>
      <c r="G391" s="54"/>
      <c r="H391" s="54"/>
      <c r="I391" s="54"/>
      <c r="J391" s="57"/>
      <c r="K391" s="9"/>
      <c r="L391" s="9"/>
      <c r="M391" s="58"/>
      <c r="N391" s="59"/>
    </row>
    <row r="392" ht="22.5" customHeight="1">
      <c r="A392" s="53">
        <v>14.0</v>
      </c>
      <c r="B392" s="54" t="s">
        <v>247</v>
      </c>
      <c r="C392" s="55"/>
      <c r="D392" s="54" t="s">
        <v>574</v>
      </c>
      <c r="E392" s="56">
        <v>45947.0</v>
      </c>
      <c r="F392" s="56">
        <v>45938.0</v>
      </c>
      <c r="G392" s="54"/>
      <c r="H392" s="54"/>
      <c r="I392" s="54"/>
      <c r="J392" s="57"/>
      <c r="K392" s="9"/>
      <c r="L392" s="9"/>
      <c r="M392" s="58"/>
      <c r="N392" s="59"/>
    </row>
    <row r="393" ht="22.5" customHeight="1">
      <c r="A393" s="53">
        <v>14.0</v>
      </c>
      <c r="B393" s="54" t="s">
        <v>247</v>
      </c>
      <c r="C393" s="55"/>
      <c r="D393" s="54" t="s">
        <v>575</v>
      </c>
      <c r="E393" s="56">
        <v>45947.0</v>
      </c>
      <c r="F393" s="56">
        <v>45938.0</v>
      </c>
      <c r="G393" s="54"/>
      <c r="H393" s="54"/>
      <c r="I393" s="54"/>
      <c r="J393" s="57"/>
      <c r="K393" s="9"/>
      <c r="L393" s="9"/>
      <c r="M393" s="58"/>
      <c r="N393" s="59"/>
    </row>
    <row r="394" ht="22.5" customHeight="1">
      <c r="A394" s="53">
        <v>14.0</v>
      </c>
      <c r="B394" s="54" t="s">
        <v>247</v>
      </c>
      <c r="C394" s="55"/>
      <c r="D394" s="54" t="s">
        <v>576</v>
      </c>
      <c r="E394" s="56">
        <v>45947.0</v>
      </c>
      <c r="F394" s="56">
        <v>45938.0</v>
      </c>
      <c r="G394" s="54"/>
      <c r="H394" s="54"/>
      <c r="I394" s="54"/>
      <c r="J394" s="57"/>
      <c r="K394" s="9"/>
      <c r="L394" s="9"/>
      <c r="M394" s="58"/>
      <c r="N394" s="59"/>
    </row>
    <row r="395" ht="22.5" customHeight="1">
      <c r="A395" s="53">
        <v>14.0</v>
      </c>
      <c r="B395" s="54" t="s">
        <v>247</v>
      </c>
      <c r="C395" s="55"/>
      <c r="D395" s="54" t="s">
        <v>577</v>
      </c>
      <c r="E395" s="56">
        <v>45947.0</v>
      </c>
      <c r="F395" s="56">
        <v>45938.0</v>
      </c>
      <c r="G395" s="54"/>
      <c r="H395" s="54"/>
      <c r="I395" s="54"/>
      <c r="J395" s="57"/>
      <c r="K395" s="9"/>
      <c r="L395" s="9"/>
      <c r="M395" s="58"/>
      <c r="N395" s="59"/>
    </row>
    <row r="396" ht="22.5" customHeight="1">
      <c r="A396" s="53">
        <v>14.0</v>
      </c>
      <c r="B396" s="54" t="s">
        <v>247</v>
      </c>
      <c r="C396" s="55"/>
      <c r="D396" s="54" t="s">
        <v>578</v>
      </c>
      <c r="E396" s="56">
        <v>45947.0</v>
      </c>
      <c r="F396" s="56">
        <v>45938.0</v>
      </c>
      <c r="G396" s="54"/>
      <c r="H396" s="54"/>
      <c r="I396" s="54"/>
      <c r="J396" s="57"/>
      <c r="K396" s="9"/>
      <c r="L396" s="9"/>
      <c r="M396" s="58"/>
      <c r="N396" s="59"/>
    </row>
    <row r="397" ht="22.5" customHeight="1">
      <c r="A397" s="53">
        <v>14.0</v>
      </c>
      <c r="B397" s="54" t="s">
        <v>247</v>
      </c>
      <c r="C397" s="55"/>
      <c r="D397" s="54" t="s">
        <v>579</v>
      </c>
      <c r="E397" s="56">
        <v>45947.0</v>
      </c>
      <c r="F397" s="56">
        <v>45938.0</v>
      </c>
      <c r="G397" s="54"/>
      <c r="H397" s="54"/>
      <c r="I397" s="54"/>
      <c r="J397" s="57"/>
      <c r="K397" s="9"/>
      <c r="L397" s="9"/>
      <c r="M397" s="58"/>
      <c r="N397" s="59"/>
    </row>
    <row r="398" ht="22.5" customHeight="1">
      <c r="A398" s="53">
        <v>14.0</v>
      </c>
      <c r="B398" s="54" t="s">
        <v>247</v>
      </c>
      <c r="C398" s="55"/>
      <c r="D398" s="54" t="s">
        <v>580</v>
      </c>
      <c r="E398" s="56">
        <v>45947.0</v>
      </c>
      <c r="F398" s="56">
        <v>45938.0</v>
      </c>
      <c r="G398" s="54"/>
      <c r="H398" s="54"/>
      <c r="I398" s="54"/>
      <c r="J398" s="57"/>
      <c r="K398" s="9"/>
      <c r="L398" s="9"/>
      <c r="M398" s="58"/>
      <c r="N398" s="59"/>
    </row>
    <row r="399" ht="22.5" customHeight="1">
      <c r="A399" s="53">
        <v>14.0</v>
      </c>
      <c r="B399" s="54" t="s">
        <v>247</v>
      </c>
      <c r="C399" s="55"/>
      <c r="D399" s="54" t="s">
        <v>581</v>
      </c>
      <c r="E399" s="56">
        <v>45947.0</v>
      </c>
      <c r="F399" s="56">
        <v>45938.0</v>
      </c>
      <c r="G399" s="54"/>
      <c r="H399" s="54"/>
      <c r="I399" s="54"/>
      <c r="J399" s="57"/>
      <c r="K399" s="9"/>
      <c r="L399" s="9"/>
      <c r="M399" s="58"/>
      <c r="N399" s="59"/>
    </row>
    <row r="400" ht="22.5" customHeight="1">
      <c r="A400" s="53">
        <v>14.0</v>
      </c>
      <c r="B400" s="54" t="s">
        <v>247</v>
      </c>
      <c r="C400" s="55"/>
      <c r="D400" s="54" t="s">
        <v>582</v>
      </c>
      <c r="E400" s="56">
        <v>45947.0</v>
      </c>
      <c r="F400" s="56">
        <v>45938.0</v>
      </c>
      <c r="G400" s="54"/>
      <c r="H400" s="54"/>
      <c r="I400" s="54"/>
      <c r="J400" s="57"/>
      <c r="K400" s="9"/>
      <c r="L400" s="9"/>
      <c r="M400" s="58"/>
      <c r="N400" s="59"/>
    </row>
    <row r="401" ht="22.5" customHeight="1">
      <c r="A401" s="53">
        <v>14.0</v>
      </c>
      <c r="B401" s="54" t="s">
        <v>247</v>
      </c>
      <c r="C401" s="55"/>
      <c r="D401" s="54" t="s">
        <v>583</v>
      </c>
      <c r="E401" s="56">
        <v>45947.0</v>
      </c>
      <c r="F401" s="56">
        <v>45938.0</v>
      </c>
      <c r="G401" s="54"/>
      <c r="H401" s="54"/>
      <c r="I401" s="54"/>
      <c r="J401" s="57"/>
      <c r="K401" s="9"/>
      <c r="L401" s="9"/>
      <c r="M401" s="58"/>
      <c r="N401" s="59"/>
    </row>
    <row r="402" ht="22.5" customHeight="1">
      <c r="A402" s="53">
        <v>14.0</v>
      </c>
      <c r="B402" s="54" t="s">
        <v>247</v>
      </c>
      <c r="C402" s="55"/>
      <c r="D402" s="54" t="s">
        <v>584</v>
      </c>
      <c r="E402" s="56">
        <v>45947.0</v>
      </c>
      <c r="F402" s="56">
        <v>45938.0</v>
      </c>
      <c r="G402" s="54"/>
      <c r="H402" s="54"/>
      <c r="I402" s="54"/>
      <c r="J402" s="57"/>
      <c r="K402" s="9"/>
      <c r="L402" s="9"/>
      <c r="M402" s="58"/>
      <c r="N402" s="59"/>
    </row>
    <row r="403" ht="22.5" customHeight="1">
      <c r="A403" s="53">
        <v>14.0</v>
      </c>
      <c r="B403" s="54" t="s">
        <v>247</v>
      </c>
      <c r="C403" s="55"/>
      <c r="D403" s="54" t="s">
        <v>585</v>
      </c>
      <c r="E403" s="56">
        <v>45947.0</v>
      </c>
      <c r="F403" s="56">
        <v>45938.0</v>
      </c>
      <c r="G403" s="54"/>
      <c r="H403" s="54"/>
      <c r="I403" s="54"/>
      <c r="J403" s="57"/>
      <c r="K403" s="9"/>
      <c r="L403" s="9"/>
      <c r="M403" s="58"/>
      <c r="N403" s="59"/>
    </row>
    <row r="404" ht="22.5" customHeight="1">
      <c r="A404" s="53">
        <v>14.0</v>
      </c>
      <c r="B404" s="54" t="s">
        <v>247</v>
      </c>
      <c r="C404" s="55"/>
      <c r="D404" s="54" t="s">
        <v>586</v>
      </c>
      <c r="E404" s="56">
        <v>45947.0</v>
      </c>
      <c r="F404" s="56">
        <v>45938.0</v>
      </c>
      <c r="G404" s="54"/>
      <c r="H404" s="54"/>
      <c r="I404" s="54"/>
      <c r="J404" s="57"/>
      <c r="K404" s="9"/>
      <c r="L404" s="9"/>
      <c r="M404" s="58"/>
      <c r="N404" s="59"/>
    </row>
    <row r="405" ht="22.5" customHeight="1">
      <c r="A405" s="53">
        <v>14.0</v>
      </c>
      <c r="B405" s="54" t="s">
        <v>247</v>
      </c>
      <c r="C405" s="55"/>
      <c r="D405" s="54" t="s">
        <v>587</v>
      </c>
      <c r="E405" s="56">
        <v>45947.0</v>
      </c>
      <c r="F405" s="56">
        <v>45938.0</v>
      </c>
      <c r="G405" s="54"/>
      <c r="H405" s="54"/>
      <c r="I405" s="54"/>
      <c r="J405" s="57"/>
      <c r="K405" s="9"/>
      <c r="L405" s="9"/>
      <c r="M405" s="58"/>
      <c r="N405" s="59"/>
    </row>
    <row r="406" ht="22.5" customHeight="1">
      <c r="A406" s="53">
        <v>14.0</v>
      </c>
      <c r="B406" s="54" t="s">
        <v>247</v>
      </c>
      <c r="C406" s="55"/>
      <c r="D406" s="54" t="s">
        <v>588</v>
      </c>
      <c r="E406" s="56">
        <v>45947.0</v>
      </c>
      <c r="F406" s="56">
        <v>45938.0</v>
      </c>
      <c r="G406" s="54"/>
      <c r="H406" s="54"/>
      <c r="I406" s="54"/>
      <c r="J406" s="57"/>
      <c r="K406" s="9"/>
      <c r="L406" s="9"/>
      <c r="M406" s="58"/>
      <c r="N406" s="59"/>
    </row>
    <row r="407" ht="22.5" customHeight="1">
      <c r="A407" s="53">
        <v>14.0</v>
      </c>
      <c r="B407" s="54" t="s">
        <v>247</v>
      </c>
      <c r="C407" s="55"/>
      <c r="D407" s="54" t="s">
        <v>589</v>
      </c>
      <c r="E407" s="56">
        <v>45947.0</v>
      </c>
      <c r="F407" s="56">
        <v>45938.0</v>
      </c>
      <c r="G407" s="54"/>
      <c r="H407" s="54"/>
      <c r="I407" s="54"/>
      <c r="J407" s="57"/>
      <c r="K407" s="9"/>
      <c r="L407" s="9"/>
      <c r="M407" s="58"/>
      <c r="N407" s="59"/>
    </row>
    <row r="408" ht="22.5" customHeight="1">
      <c r="A408" s="53">
        <v>14.0</v>
      </c>
      <c r="B408" s="54" t="s">
        <v>247</v>
      </c>
      <c r="C408" s="55"/>
      <c r="D408" s="54" t="s">
        <v>590</v>
      </c>
      <c r="E408" s="56">
        <v>45947.0</v>
      </c>
      <c r="F408" s="56">
        <v>45938.0</v>
      </c>
      <c r="G408" s="54"/>
      <c r="H408" s="54"/>
      <c r="I408" s="54"/>
      <c r="J408" s="57"/>
      <c r="K408" s="9"/>
      <c r="L408" s="9"/>
      <c r="M408" s="58"/>
      <c r="N408" s="59"/>
    </row>
    <row r="409" ht="22.5" customHeight="1">
      <c r="A409" s="53">
        <v>14.0</v>
      </c>
      <c r="B409" s="54" t="s">
        <v>247</v>
      </c>
      <c r="C409" s="55"/>
      <c r="D409" s="54" t="s">
        <v>591</v>
      </c>
      <c r="E409" s="56">
        <v>45947.0</v>
      </c>
      <c r="F409" s="56">
        <v>45938.0</v>
      </c>
      <c r="G409" s="54"/>
      <c r="H409" s="54"/>
      <c r="I409" s="54"/>
      <c r="J409" s="57"/>
      <c r="K409" s="9"/>
      <c r="L409" s="9"/>
      <c r="M409" s="58"/>
      <c r="N409" s="59"/>
    </row>
    <row r="410" ht="22.5" customHeight="1">
      <c r="A410" s="53">
        <v>14.0</v>
      </c>
      <c r="B410" s="54" t="s">
        <v>247</v>
      </c>
      <c r="C410" s="55"/>
      <c r="D410" s="54" t="s">
        <v>592</v>
      </c>
      <c r="E410" s="56">
        <v>45947.0</v>
      </c>
      <c r="F410" s="56">
        <v>45938.0</v>
      </c>
      <c r="G410" s="54"/>
      <c r="H410" s="54"/>
      <c r="I410" s="54"/>
      <c r="J410" s="57"/>
      <c r="K410" s="9"/>
      <c r="L410" s="9"/>
      <c r="M410" s="58"/>
      <c r="N410" s="59"/>
    </row>
    <row r="411" ht="22.5" customHeight="1">
      <c r="A411" s="53">
        <v>14.0</v>
      </c>
      <c r="B411" s="54" t="s">
        <v>247</v>
      </c>
      <c r="C411" s="55"/>
      <c r="D411" s="54" t="s">
        <v>593</v>
      </c>
      <c r="E411" s="56">
        <v>45947.0</v>
      </c>
      <c r="F411" s="56">
        <v>45938.0</v>
      </c>
      <c r="G411" s="54"/>
      <c r="H411" s="54"/>
      <c r="I411" s="54"/>
      <c r="J411" s="57"/>
      <c r="K411" s="9"/>
      <c r="L411" s="9"/>
      <c r="M411" s="58"/>
      <c r="N411" s="59"/>
    </row>
    <row r="412" ht="22.5" customHeight="1">
      <c r="A412" s="53">
        <v>14.0</v>
      </c>
      <c r="B412" s="54" t="s">
        <v>247</v>
      </c>
      <c r="C412" s="55"/>
      <c r="D412" s="54" t="s">
        <v>594</v>
      </c>
      <c r="E412" s="56">
        <v>45947.0</v>
      </c>
      <c r="F412" s="56">
        <v>45938.0</v>
      </c>
      <c r="G412" s="54"/>
      <c r="H412" s="54"/>
      <c r="I412" s="54"/>
      <c r="J412" s="57"/>
      <c r="K412" s="9"/>
      <c r="L412" s="9"/>
      <c r="M412" s="58"/>
      <c r="N412" s="59"/>
    </row>
    <row r="413" ht="22.5" customHeight="1">
      <c r="A413" s="53">
        <v>14.0</v>
      </c>
      <c r="B413" s="54" t="s">
        <v>247</v>
      </c>
      <c r="C413" s="55"/>
      <c r="D413" s="54" t="s">
        <v>595</v>
      </c>
      <c r="E413" s="56">
        <v>45947.0</v>
      </c>
      <c r="F413" s="56">
        <v>45938.0</v>
      </c>
      <c r="G413" s="54"/>
      <c r="H413" s="54"/>
      <c r="I413" s="54"/>
      <c r="J413" s="57"/>
      <c r="K413" s="9"/>
      <c r="L413" s="9"/>
      <c r="M413" s="58"/>
      <c r="N413" s="59"/>
    </row>
    <row r="414" ht="22.5" customHeight="1">
      <c r="A414" s="53">
        <v>14.0</v>
      </c>
      <c r="B414" s="54" t="s">
        <v>247</v>
      </c>
      <c r="C414" s="55"/>
      <c r="D414" s="54" t="s">
        <v>596</v>
      </c>
      <c r="E414" s="56">
        <v>45947.0</v>
      </c>
      <c r="F414" s="56">
        <v>45938.0</v>
      </c>
      <c r="G414" s="54"/>
      <c r="H414" s="54"/>
      <c r="I414" s="54"/>
      <c r="J414" s="57"/>
      <c r="K414" s="9"/>
      <c r="L414" s="9"/>
      <c r="M414" s="58"/>
      <c r="N414" s="59"/>
    </row>
    <row r="415" ht="22.5" customHeight="1">
      <c r="A415" s="53">
        <v>14.0</v>
      </c>
      <c r="B415" s="54" t="s">
        <v>247</v>
      </c>
      <c r="C415" s="55"/>
      <c r="D415" s="54" t="s">
        <v>597</v>
      </c>
      <c r="E415" s="56">
        <v>45947.0</v>
      </c>
      <c r="F415" s="56">
        <v>45938.0</v>
      </c>
      <c r="G415" s="54"/>
      <c r="H415" s="54"/>
      <c r="I415" s="54"/>
      <c r="J415" s="57"/>
      <c r="K415" s="9"/>
      <c r="L415" s="9"/>
      <c r="M415" s="58"/>
      <c r="N415" s="59"/>
    </row>
    <row r="416" ht="22.5" customHeight="1">
      <c r="A416" s="53">
        <v>14.0</v>
      </c>
      <c r="B416" s="54" t="s">
        <v>247</v>
      </c>
      <c r="C416" s="55"/>
      <c r="D416" s="54" t="s">
        <v>598</v>
      </c>
      <c r="E416" s="56">
        <v>45947.0</v>
      </c>
      <c r="F416" s="56">
        <v>45938.0</v>
      </c>
      <c r="G416" s="54"/>
      <c r="H416" s="54"/>
      <c r="I416" s="54"/>
      <c r="J416" s="57"/>
      <c r="K416" s="9"/>
      <c r="L416" s="9"/>
      <c r="M416" s="58"/>
      <c r="N416" s="59"/>
    </row>
    <row r="417" ht="22.5" customHeight="1">
      <c r="A417" s="53">
        <v>14.0</v>
      </c>
      <c r="B417" s="54" t="s">
        <v>247</v>
      </c>
      <c r="C417" s="55"/>
      <c r="D417" s="54" t="s">
        <v>599</v>
      </c>
      <c r="E417" s="56">
        <v>45947.0</v>
      </c>
      <c r="F417" s="56">
        <v>45938.0</v>
      </c>
      <c r="G417" s="54"/>
      <c r="H417" s="54"/>
      <c r="I417" s="54"/>
      <c r="J417" s="57"/>
      <c r="K417" s="9"/>
      <c r="L417" s="9"/>
      <c r="M417" s="58"/>
      <c r="N417" s="59"/>
    </row>
    <row r="418" ht="22.5" customHeight="1">
      <c r="A418" s="53">
        <v>14.0</v>
      </c>
      <c r="B418" s="54" t="s">
        <v>247</v>
      </c>
      <c r="C418" s="55"/>
      <c r="D418" s="54" t="s">
        <v>600</v>
      </c>
      <c r="E418" s="56">
        <v>45947.0</v>
      </c>
      <c r="F418" s="56">
        <v>45938.0</v>
      </c>
      <c r="G418" s="54"/>
      <c r="H418" s="54"/>
      <c r="I418" s="54"/>
      <c r="J418" s="57"/>
      <c r="K418" s="9"/>
      <c r="L418" s="9"/>
      <c r="M418" s="58"/>
      <c r="N418" s="59"/>
    </row>
    <row r="419" ht="22.5" customHeight="1">
      <c r="A419" s="53">
        <v>14.0</v>
      </c>
      <c r="B419" s="54" t="s">
        <v>247</v>
      </c>
      <c r="C419" s="55"/>
      <c r="D419" s="54" t="s">
        <v>601</v>
      </c>
      <c r="E419" s="56">
        <v>45947.0</v>
      </c>
      <c r="F419" s="56">
        <v>45938.0</v>
      </c>
      <c r="G419" s="54"/>
      <c r="H419" s="54"/>
      <c r="I419" s="54"/>
      <c r="J419" s="57"/>
      <c r="K419" s="9"/>
      <c r="L419" s="9"/>
      <c r="M419" s="58"/>
      <c r="N419" s="59"/>
    </row>
    <row r="420" ht="22.5" customHeight="1">
      <c r="A420" s="53">
        <v>14.0</v>
      </c>
      <c r="B420" s="54" t="s">
        <v>247</v>
      </c>
      <c r="C420" s="55"/>
      <c r="D420" s="54" t="s">
        <v>602</v>
      </c>
      <c r="E420" s="56">
        <v>45947.0</v>
      </c>
      <c r="F420" s="56">
        <v>45938.0</v>
      </c>
      <c r="G420" s="54"/>
      <c r="H420" s="54"/>
      <c r="I420" s="54"/>
      <c r="J420" s="57"/>
      <c r="K420" s="9"/>
      <c r="L420" s="9"/>
      <c r="M420" s="58"/>
      <c r="N420" s="59"/>
    </row>
    <row r="421" ht="22.5" customHeight="1">
      <c r="A421" s="53">
        <v>14.0</v>
      </c>
      <c r="B421" s="54" t="s">
        <v>247</v>
      </c>
      <c r="C421" s="55"/>
      <c r="D421" s="54" t="s">
        <v>603</v>
      </c>
      <c r="E421" s="56">
        <v>45947.0</v>
      </c>
      <c r="F421" s="56">
        <v>45938.0</v>
      </c>
      <c r="G421" s="54"/>
      <c r="H421" s="54"/>
      <c r="I421" s="54"/>
      <c r="J421" s="57"/>
      <c r="K421" s="9"/>
      <c r="L421" s="9"/>
      <c r="M421" s="58"/>
      <c r="N421" s="59"/>
    </row>
    <row r="422" ht="22.5" customHeight="1">
      <c r="A422" s="53">
        <v>14.0</v>
      </c>
      <c r="B422" s="54" t="s">
        <v>247</v>
      </c>
      <c r="C422" s="55"/>
      <c r="D422" s="54" t="s">
        <v>604</v>
      </c>
      <c r="E422" s="56">
        <v>45947.0</v>
      </c>
      <c r="F422" s="56">
        <v>45938.0</v>
      </c>
      <c r="G422" s="54"/>
      <c r="H422" s="54"/>
      <c r="I422" s="54"/>
      <c r="J422" s="57"/>
      <c r="K422" s="9"/>
      <c r="L422" s="9"/>
      <c r="M422" s="58"/>
      <c r="N422" s="59"/>
    </row>
    <row r="423" ht="22.5" customHeight="1">
      <c r="A423" s="53">
        <v>14.0</v>
      </c>
      <c r="B423" s="54" t="s">
        <v>247</v>
      </c>
      <c r="C423" s="55"/>
      <c r="D423" s="54" t="s">
        <v>605</v>
      </c>
      <c r="E423" s="56">
        <v>45947.0</v>
      </c>
      <c r="F423" s="56">
        <v>45938.0</v>
      </c>
      <c r="G423" s="54"/>
      <c r="H423" s="54"/>
      <c r="I423" s="54"/>
      <c r="J423" s="57"/>
      <c r="K423" s="9"/>
      <c r="L423" s="9"/>
      <c r="M423" s="58"/>
      <c r="N423" s="59"/>
    </row>
    <row r="424" ht="22.5" customHeight="1">
      <c r="A424" s="53">
        <v>14.0</v>
      </c>
      <c r="B424" s="54" t="s">
        <v>247</v>
      </c>
      <c r="C424" s="55"/>
      <c r="D424" s="54" t="s">
        <v>606</v>
      </c>
      <c r="E424" s="56">
        <v>45947.0</v>
      </c>
      <c r="F424" s="56">
        <v>45938.0</v>
      </c>
      <c r="G424" s="54"/>
      <c r="H424" s="54"/>
      <c r="I424" s="54"/>
      <c r="J424" s="57"/>
      <c r="K424" s="9"/>
      <c r="L424" s="9"/>
      <c r="M424" s="58"/>
      <c r="N424" s="59"/>
    </row>
    <row r="425" ht="22.5" customHeight="1">
      <c r="A425" s="53">
        <v>14.0</v>
      </c>
      <c r="B425" s="54" t="s">
        <v>247</v>
      </c>
      <c r="C425" s="55"/>
      <c r="D425" s="54" t="s">
        <v>607</v>
      </c>
      <c r="E425" s="56">
        <v>45947.0</v>
      </c>
      <c r="F425" s="56">
        <v>45938.0</v>
      </c>
      <c r="G425" s="54"/>
      <c r="H425" s="54"/>
      <c r="I425" s="54"/>
      <c r="J425" s="57"/>
      <c r="K425" s="9"/>
      <c r="L425" s="9"/>
      <c r="M425" s="58"/>
      <c r="N425" s="59"/>
    </row>
    <row r="426" ht="22.5" customHeight="1">
      <c r="A426" s="53">
        <v>14.0</v>
      </c>
      <c r="B426" s="54" t="s">
        <v>247</v>
      </c>
      <c r="C426" s="55"/>
      <c r="D426" s="54" t="s">
        <v>608</v>
      </c>
      <c r="E426" s="56">
        <v>45947.0</v>
      </c>
      <c r="F426" s="56">
        <v>45938.0</v>
      </c>
      <c r="G426" s="54"/>
      <c r="H426" s="54"/>
      <c r="I426" s="54"/>
      <c r="J426" s="57"/>
      <c r="K426" s="9"/>
      <c r="L426" s="9"/>
      <c r="M426" s="58"/>
      <c r="N426" s="59"/>
    </row>
    <row r="427" ht="22.5" customHeight="1">
      <c r="A427" s="53">
        <v>14.0</v>
      </c>
      <c r="B427" s="54" t="s">
        <v>247</v>
      </c>
      <c r="C427" s="55"/>
      <c r="D427" s="54" t="s">
        <v>609</v>
      </c>
      <c r="E427" s="56">
        <v>45947.0</v>
      </c>
      <c r="F427" s="56">
        <v>45938.0</v>
      </c>
      <c r="G427" s="54"/>
      <c r="H427" s="54"/>
      <c r="I427" s="54"/>
      <c r="J427" s="57"/>
      <c r="K427" s="9"/>
      <c r="L427" s="9"/>
      <c r="M427" s="58"/>
      <c r="N427" s="59"/>
    </row>
    <row r="428" ht="22.5" customHeight="1">
      <c r="A428" s="53">
        <v>14.0</v>
      </c>
      <c r="B428" s="54" t="s">
        <v>247</v>
      </c>
      <c r="C428" s="55"/>
      <c r="D428" s="54" t="s">
        <v>610</v>
      </c>
      <c r="E428" s="56">
        <v>45947.0</v>
      </c>
      <c r="F428" s="56">
        <v>45938.0</v>
      </c>
      <c r="G428" s="54"/>
      <c r="H428" s="54"/>
      <c r="I428" s="54"/>
      <c r="J428" s="57"/>
      <c r="K428" s="9"/>
      <c r="L428" s="9"/>
      <c r="M428" s="58"/>
      <c r="N428" s="59"/>
    </row>
    <row r="429" ht="22.5" customHeight="1">
      <c r="A429" s="53">
        <v>14.0</v>
      </c>
      <c r="B429" s="54" t="s">
        <v>247</v>
      </c>
      <c r="C429" s="55"/>
      <c r="D429" s="54" t="s">
        <v>611</v>
      </c>
      <c r="E429" s="56">
        <v>45947.0</v>
      </c>
      <c r="F429" s="56">
        <v>45938.0</v>
      </c>
      <c r="G429" s="54"/>
      <c r="H429" s="54"/>
      <c r="I429" s="54"/>
      <c r="J429" s="57"/>
      <c r="K429" s="9"/>
      <c r="L429" s="9"/>
      <c r="M429" s="58"/>
      <c r="N429" s="59"/>
    </row>
    <row r="430" ht="22.5" customHeight="1">
      <c r="A430" s="53">
        <v>14.0</v>
      </c>
      <c r="B430" s="54" t="s">
        <v>247</v>
      </c>
      <c r="C430" s="55"/>
      <c r="D430" s="54" t="s">
        <v>612</v>
      </c>
      <c r="E430" s="56">
        <v>45947.0</v>
      </c>
      <c r="F430" s="56">
        <v>45938.0</v>
      </c>
      <c r="G430" s="54"/>
      <c r="H430" s="54"/>
      <c r="I430" s="54"/>
      <c r="J430" s="57"/>
      <c r="K430" s="9"/>
      <c r="L430" s="9"/>
      <c r="M430" s="58"/>
      <c r="N430" s="59"/>
    </row>
    <row r="431" ht="22.5" customHeight="1">
      <c r="A431" s="53">
        <v>14.0</v>
      </c>
      <c r="B431" s="54" t="s">
        <v>247</v>
      </c>
      <c r="C431" s="55"/>
      <c r="D431" s="54" t="s">
        <v>613</v>
      </c>
      <c r="E431" s="56">
        <v>45947.0</v>
      </c>
      <c r="F431" s="56">
        <v>45938.0</v>
      </c>
      <c r="G431" s="54"/>
      <c r="H431" s="54"/>
      <c r="I431" s="54"/>
      <c r="J431" s="57"/>
      <c r="K431" s="9"/>
      <c r="L431" s="9"/>
      <c r="M431" s="58"/>
      <c r="N431" s="59"/>
    </row>
    <row r="432" ht="22.5" customHeight="1">
      <c r="A432" s="53">
        <v>14.0</v>
      </c>
      <c r="B432" s="54" t="s">
        <v>247</v>
      </c>
      <c r="C432" s="55"/>
      <c r="D432" s="54" t="s">
        <v>614</v>
      </c>
      <c r="E432" s="56">
        <v>45947.0</v>
      </c>
      <c r="F432" s="56">
        <v>45938.0</v>
      </c>
      <c r="G432" s="54"/>
      <c r="H432" s="54"/>
      <c r="I432" s="54"/>
      <c r="J432" s="57"/>
      <c r="K432" s="9"/>
      <c r="L432" s="9"/>
      <c r="M432" s="58"/>
      <c r="N432" s="59"/>
    </row>
    <row r="433" ht="22.5" customHeight="1">
      <c r="A433" s="53">
        <v>14.0</v>
      </c>
      <c r="B433" s="54" t="s">
        <v>247</v>
      </c>
      <c r="C433" s="55"/>
      <c r="D433" s="54" t="s">
        <v>615</v>
      </c>
      <c r="E433" s="56">
        <v>45947.0</v>
      </c>
      <c r="F433" s="56">
        <v>45938.0</v>
      </c>
      <c r="G433" s="54"/>
      <c r="H433" s="54"/>
      <c r="I433" s="54"/>
      <c r="J433" s="57"/>
      <c r="K433" s="9"/>
      <c r="L433" s="9"/>
      <c r="M433" s="58"/>
      <c r="N433" s="59"/>
    </row>
    <row r="434" ht="22.5" customHeight="1">
      <c r="A434" s="53">
        <v>14.0</v>
      </c>
      <c r="B434" s="54" t="s">
        <v>247</v>
      </c>
      <c r="C434" s="55"/>
      <c r="D434" s="54" t="s">
        <v>616</v>
      </c>
      <c r="E434" s="56">
        <v>45947.0</v>
      </c>
      <c r="F434" s="56">
        <v>45938.0</v>
      </c>
      <c r="G434" s="54"/>
      <c r="H434" s="54"/>
      <c r="I434" s="54"/>
      <c r="J434" s="57"/>
      <c r="K434" s="9"/>
      <c r="L434" s="9"/>
      <c r="M434" s="58"/>
      <c r="N434" s="59"/>
    </row>
    <row r="435" ht="22.5" customHeight="1">
      <c r="A435" s="53">
        <v>14.0</v>
      </c>
      <c r="B435" s="54" t="s">
        <v>247</v>
      </c>
      <c r="C435" s="55"/>
      <c r="D435" s="54" t="s">
        <v>617</v>
      </c>
      <c r="E435" s="56">
        <v>45947.0</v>
      </c>
      <c r="F435" s="56">
        <v>45938.0</v>
      </c>
      <c r="G435" s="54"/>
      <c r="H435" s="54"/>
      <c r="I435" s="54"/>
      <c r="J435" s="57"/>
      <c r="K435" s="9"/>
      <c r="L435" s="9"/>
      <c r="M435" s="58"/>
      <c r="N435" s="59"/>
    </row>
    <row r="436" ht="22.5" customHeight="1">
      <c r="A436" s="53">
        <v>14.0</v>
      </c>
      <c r="B436" s="54" t="s">
        <v>247</v>
      </c>
      <c r="C436" s="55"/>
      <c r="D436" s="54" t="s">
        <v>618</v>
      </c>
      <c r="E436" s="56">
        <v>45947.0</v>
      </c>
      <c r="F436" s="56">
        <v>45938.0</v>
      </c>
      <c r="G436" s="54"/>
      <c r="H436" s="54"/>
      <c r="I436" s="54"/>
      <c r="J436" s="57"/>
      <c r="K436" s="9"/>
      <c r="L436" s="9"/>
      <c r="M436" s="58"/>
      <c r="N436" s="59"/>
    </row>
    <row r="437" ht="22.5" customHeight="1">
      <c r="A437" s="53">
        <v>14.0</v>
      </c>
      <c r="B437" s="54" t="s">
        <v>247</v>
      </c>
      <c r="C437" s="55"/>
      <c r="D437" s="54" t="s">
        <v>619</v>
      </c>
      <c r="E437" s="56">
        <v>45947.0</v>
      </c>
      <c r="F437" s="56">
        <v>45938.0</v>
      </c>
      <c r="G437" s="54"/>
      <c r="H437" s="54"/>
      <c r="I437" s="54"/>
      <c r="J437" s="57"/>
      <c r="K437" s="9"/>
      <c r="L437" s="9"/>
      <c r="M437" s="58"/>
      <c r="N437" s="59"/>
    </row>
    <row r="438" ht="22.5" customHeight="1">
      <c r="A438" s="53">
        <v>14.0</v>
      </c>
      <c r="B438" s="54" t="s">
        <v>247</v>
      </c>
      <c r="C438" s="55"/>
      <c r="D438" s="54" t="s">
        <v>620</v>
      </c>
      <c r="E438" s="56">
        <v>45947.0</v>
      </c>
      <c r="F438" s="56">
        <v>45938.0</v>
      </c>
      <c r="G438" s="54"/>
      <c r="H438" s="54"/>
      <c r="I438" s="54"/>
      <c r="J438" s="57"/>
      <c r="K438" s="9"/>
      <c r="L438" s="9"/>
      <c r="M438" s="58"/>
      <c r="N438" s="59"/>
    </row>
    <row r="439" ht="22.5" customHeight="1">
      <c r="A439" s="53">
        <v>14.0</v>
      </c>
      <c r="B439" s="54" t="s">
        <v>247</v>
      </c>
      <c r="C439" s="55"/>
      <c r="D439" s="54" t="s">
        <v>621</v>
      </c>
      <c r="E439" s="56">
        <v>45947.0</v>
      </c>
      <c r="F439" s="56">
        <v>45938.0</v>
      </c>
      <c r="G439" s="54"/>
      <c r="H439" s="54"/>
      <c r="I439" s="54"/>
      <c r="J439" s="57"/>
      <c r="K439" s="9"/>
      <c r="L439" s="9"/>
      <c r="M439" s="58"/>
      <c r="N439" s="59"/>
    </row>
    <row r="440" ht="22.5" customHeight="1">
      <c r="A440" s="53">
        <v>14.0</v>
      </c>
      <c r="B440" s="54" t="s">
        <v>247</v>
      </c>
      <c r="C440" s="55"/>
      <c r="D440" s="54" t="s">
        <v>622</v>
      </c>
      <c r="E440" s="56">
        <v>45947.0</v>
      </c>
      <c r="F440" s="56">
        <v>45938.0</v>
      </c>
      <c r="G440" s="54"/>
      <c r="H440" s="54"/>
      <c r="I440" s="54"/>
      <c r="J440" s="57"/>
      <c r="K440" s="9"/>
      <c r="L440" s="9"/>
      <c r="M440" s="58"/>
      <c r="N440" s="59"/>
    </row>
    <row r="441" ht="22.5" customHeight="1">
      <c r="A441" s="53">
        <v>14.0</v>
      </c>
      <c r="B441" s="54" t="s">
        <v>247</v>
      </c>
      <c r="C441" s="55"/>
      <c r="D441" s="54" t="s">
        <v>623</v>
      </c>
      <c r="E441" s="56">
        <v>45947.0</v>
      </c>
      <c r="F441" s="56">
        <v>45938.0</v>
      </c>
      <c r="G441" s="54"/>
      <c r="H441" s="54"/>
      <c r="I441" s="54"/>
      <c r="J441" s="57"/>
      <c r="K441" s="9"/>
      <c r="L441" s="9"/>
      <c r="M441" s="58"/>
      <c r="N441" s="59"/>
    </row>
    <row r="442" ht="22.5" customHeight="1">
      <c r="A442" s="53">
        <v>14.0</v>
      </c>
      <c r="B442" s="54" t="s">
        <v>247</v>
      </c>
      <c r="C442" s="55"/>
      <c r="D442" s="54" t="s">
        <v>624</v>
      </c>
      <c r="E442" s="56">
        <v>45947.0</v>
      </c>
      <c r="F442" s="56">
        <v>45938.0</v>
      </c>
      <c r="G442" s="54"/>
      <c r="H442" s="54"/>
      <c r="I442" s="54"/>
      <c r="J442" s="57"/>
      <c r="K442" s="9"/>
      <c r="L442" s="9"/>
      <c r="M442" s="58"/>
      <c r="N442" s="59"/>
    </row>
    <row r="443" ht="22.5" customHeight="1">
      <c r="A443" s="53">
        <v>14.0</v>
      </c>
      <c r="B443" s="54" t="s">
        <v>247</v>
      </c>
      <c r="C443" s="55"/>
      <c r="D443" s="54" t="s">
        <v>625</v>
      </c>
      <c r="E443" s="56">
        <v>45947.0</v>
      </c>
      <c r="F443" s="56">
        <v>45938.0</v>
      </c>
      <c r="G443" s="54"/>
      <c r="H443" s="54"/>
      <c r="I443" s="54"/>
      <c r="J443" s="57"/>
      <c r="K443" s="9"/>
      <c r="L443" s="9"/>
      <c r="M443" s="58"/>
      <c r="N443" s="59"/>
    </row>
    <row r="444" ht="22.5" customHeight="1">
      <c r="A444" s="53">
        <v>14.0</v>
      </c>
      <c r="B444" s="54" t="s">
        <v>247</v>
      </c>
      <c r="C444" s="55"/>
      <c r="D444" s="54" t="s">
        <v>626</v>
      </c>
      <c r="E444" s="56">
        <v>45947.0</v>
      </c>
      <c r="F444" s="56">
        <v>45938.0</v>
      </c>
      <c r="G444" s="54"/>
      <c r="H444" s="54"/>
      <c r="I444" s="54"/>
      <c r="J444" s="57"/>
      <c r="K444" s="9"/>
      <c r="L444" s="9"/>
      <c r="M444" s="58"/>
      <c r="N444" s="59"/>
    </row>
    <row r="445" ht="22.5" customHeight="1">
      <c r="A445" s="53">
        <v>14.0</v>
      </c>
      <c r="B445" s="54" t="s">
        <v>247</v>
      </c>
      <c r="C445" s="55"/>
      <c r="D445" s="54" t="s">
        <v>627</v>
      </c>
      <c r="E445" s="56">
        <v>45947.0</v>
      </c>
      <c r="F445" s="56">
        <v>45938.0</v>
      </c>
      <c r="G445" s="54"/>
      <c r="H445" s="54"/>
      <c r="I445" s="54"/>
      <c r="J445" s="57"/>
      <c r="K445" s="9"/>
      <c r="L445" s="9"/>
      <c r="M445" s="58"/>
      <c r="N445" s="59"/>
    </row>
    <row r="446" ht="22.5" customHeight="1">
      <c r="A446" s="53">
        <v>14.0</v>
      </c>
      <c r="B446" s="54" t="s">
        <v>247</v>
      </c>
      <c r="C446" s="55"/>
      <c r="D446" s="54" t="s">
        <v>628</v>
      </c>
      <c r="E446" s="56">
        <v>45947.0</v>
      </c>
      <c r="F446" s="56">
        <v>45938.0</v>
      </c>
      <c r="G446" s="54"/>
      <c r="H446" s="54"/>
      <c r="I446" s="54"/>
      <c r="J446" s="57"/>
      <c r="K446" s="9"/>
      <c r="L446" s="9"/>
      <c r="M446" s="58"/>
      <c r="N446" s="59"/>
    </row>
    <row r="447" ht="22.5" customHeight="1">
      <c r="A447" s="53">
        <v>7.0</v>
      </c>
      <c r="B447" s="54" t="s">
        <v>312</v>
      </c>
      <c r="C447" s="54" t="s">
        <v>629</v>
      </c>
      <c r="D447" s="54" t="s">
        <v>630</v>
      </c>
      <c r="E447" s="56">
        <v>45952.0</v>
      </c>
      <c r="F447" s="56">
        <v>45938.0</v>
      </c>
      <c r="G447" s="54"/>
      <c r="H447" s="54"/>
      <c r="I447" s="54"/>
      <c r="J447" s="57"/>
      <c r="K447" s="9"/>
      <c r="L447" s="9"/>
      <c r="M447" s="58"/>
      <c r="N447" s="59"/>
    </row>
    <row r="448" ht="22.5" customHeight="1">
      <c r="A448" s="53">
        <v>7.0</v>
      </c>
      <c r="B448" s="54" t="s">
        <v>312</v>
      </c>
      <c r="C448" s="54" t="s">
        <v>631</v>
      </c>
      <c r="D448" s="54" t="s">
        <v>632</v>
      </c>
      <c r="E448" s="56">
        <v>45952.0</v>
      </c>
      <c r="F448" s="56">
        <v>45938.0</v>
      </c>
      <c r="G448" s="54"/>
      <c r="H448" s="54"/>
      <c r="I448" s="54"/>
      <c r="J448" s="57"/>
      <c r="K448" s="9"/>
      <c r="L448" s="9"/>
      <c r="M448" s="58"/>
      <c r="N448" s="59"/>
    </row>
    <row r="449" ht="22.5" customHeight="1">
      <c r="A449" s="53">
        <v>7.0</v>
      </c>
      <c r="B449" s="54" t="s">
        <v>312</v>
      </c>
      <c r="C449" s="54" t="s">
        <v>633</v>
      </c>
      <c r="D449" s="54" t="s">
        <v>634</v>
      </c>
      <c r="E449" s="56">
        <v>45952.0</v>
      </c>
      <c r="F449" s="56">
        <v>45938.0</v>
      </c>
      <c r="G449" s="54"/>
      <c r="H449" s="54"/>
      <c r="I449" s="54"/>
      <c r="J449" s="57"/>
      <c r="K449" s="9"/>
      <c r="L449" s="9"/>
      <c r="M449" s="58"/>
      <c r="N449" s="59"/>
    </row>
    <row r="450" ht="22.5" customHeight="1">
      <c r="A450" s="53">
        <v>7.0</v>
      </c>
      <c r="B450" s="54" t="s">
        <v>312</v>
      </c>
      <c r="C450" s="54" t="s">
        <v>635</v>
      </c>
      <c r="D450" s="54" t="s">
        <v>636</v>
      </c>
      <c r="E450" s="56">
        <v>45952.0</v>
      </c>
      <c r="F450" s="56">
        <v>45938.0</v>
      </c>
      <c r="G450" s="54"/>
      <c r="H450" s="54"/>
      <c r="I450" s="54"/>
      <c r="J450" s="57"/>
      <c r="K450" s="9"/>
      <c r="L450" s="9"/>
      <c r="M450" s="58"/>
      <c r="N450" s="59"/>
    </row>
    <row r="451" ht="22.5" customHeight="1">
      <c r="A451" s="53">
        <v>7.0</v>
      </c>
      <c r="B451" s="54" t="s">
        <v>312</v>
      </c>
      <c r="C451" s="54" t="s">
        <v>637</v>
      </c>
      <c r="D451" s="54" t="s">
        <v>638</v>
      </c>
      <c r="E451" s="56">
        <v>45952.0</v>
      </c>
      <c r="F451" s="56">
        <v>45938.0</v>
      </c>
      <c r="G451" s="54"/>
      <c r="H451" s="54"/>
      <c r="I451" s="54"/>
      <c r="J451" s="57"/>
      <c r="K451" s="9"/>
      <c r="L451" s="9"/>
      <c r="M451" s="58"/>
      <c r="N451" s="59"/>
    </row>
    <row r="452" ht="22.5" customHeight="1">
      <c r="A452" s="53">
        <v>7.0</v>
      </c>
      <c r="B452" s="54" t="s">
        <v>312</v>
      </c>
      <c r="C452" s="54" t="s">
        <v>639</v>
      </c>
      <c r="D452" s="54" t="s">
        <v>640</v>
      </c>
      <c r="E452" s="56">
        <v>45952.0</v>
      </c>
      <c r="F452" s="56">
        <v>45938.0</v>
      </c>
      <c r="G452" s="54"/>
      <c r="H452" s="54"/>
      <c r="I452" s="54"/>
      <c r="J452" s="57"/>
      <c r="K452" s="9"/>
      <c r="L452" s="9"/>
      <c r="M452" s="58"/>
      <c r="N452" s="59"/>
    </row>
    <row r="453" ht="22.5" customHeight="1">
      <c r="A453" s="53">
        <v>7.0</v>
      </c>
      <c r="B453" s="54" t="s">
        <v>312</v>
      </c>
      <c r="C453" s="54" t="s">
        <v>641</v>
      </c>
      <c r="D453" s="54" t="s">
        <v>642</v>
      </c>
      <c r="E453" s="56">
        <v>45952.0</v>
      </c>
      <c r="F453" s="56">
        <v>45938.0</v>
      </c>
      <c r="G453" s="54"/>
      <c r="H453" s="54"/>
      <c r="I453" s="54"/>
      <c r="J453" s="57"/>
      <c r="K453" s="9"/>
      <c r="L453" s="9"/>
      <c r="M453" s="58"/>
      <c r="N453" s="59"/>
    </row>
    <row r="454" ht="22.5" customHeight="1">
      <c r="A454" s="53">
        <v>7.0</v>
      </c>
      <c r="B454" s="54" t="s">
        <v>312</v>
      </c>
      <c r="C454" s="54" t="s">
        <v>643</v>
      </c>
      <c r="D454" s="54" t="s">
        <v>644</v>
      </c>
      <c r="E454" s="56">
        <v>45952.0</v>
      </c>
      <c r="F454" s="56">
        <v>45938.0</v>
      </c>
      <c r="G454" s="54"/>
      <c r="H454" s="54"/>
      <c r="I454" s="54"/>
      <c r="J454" s="57"/>
      <c r="K454" s="9"/>
      <c r="L454" s="9"/>
      <c r="M454" s="58"/>
      <c r="N454" s="59"/>
    </row>
    <row r="455" ht="22.5" customHeight="1">
      <c r="A455" s="53">
        <v>7.0</v>
      </c>
      <c r="B455" s="54" t="s">
        <v>312</v>
      </c>
      <c r="C455" s="54" t="s">
        <v>645</v>
      </c>
      <c r="D455" s="54" t="s">
        <v>646</v>
      </c>
      <c r="E455" s="56">
        <v>45952.0</v>
      </c>
      <c r="F455" s="56">
        <v>45938.0</v>
      </c>
      <c r="G455" s="54"/>
      <c r="H455" s="54"/>
      <c r="I455" s="54"/>
      <c r="J455" s="57"/>
      <c r="K455" s="9"/>
      <c r="L455" s="9"/>
      <c r="M455" s="58"/>
      <c r="N455" s="59"/>
    </row>
    <row r="456" ht="22.5" customHeight="1">
      <c r="A456" s="53">
        <v>7.0</v>
      </c>
      <c r="B456" s="54" t="s">
        <v>312</v>
      </c>
      <c r="C456" s="54" t="s">
        <v>647</v>
      </c>
      <c r="D456" s="54" t="s">
        <v>648</v>
      </c>
      <c r="E456" s="56">
        <v>45952.0</v>
      </c>
      <c r="F456" s="56">
        <v>45938.0</v>
      </c>
      <c r="G456" s="54"/>
      <c r="H456" s="54"/>
      <c r="I456" s="54"/>
      <c r="J456" s="57"/>
      <c r="K456" s="9"/>
      <c r="L456" s="9"/>
      <c r="M456" s="58"/>
      <c r="N456" s="59"/>
    </row>
    <row r="457" ht="22.5" customHeight="1">
      <c r="A457" s="53">
        <v>7.0</v>
      </c>
      <c r="B457" s="54" t="s">
        <v>312</v>
      </c>
      <c r="C457" s="54" t="s">
        <v>649</v>
      </c>
      <c r="D457" s="54" t="s">
        <v>650</v>
      </c>
      <c r="E457" s="56">
        <v>45952.0</v>
      </c>
      <c r="F457" s="56">
        <v>45938.0</v>
      </c>
      <c r="G457" s="54"/>
      <c r="H457" s="54"/>
      <c r="I457" s="54"/>
      <c r="J457" s="57"/>
      <c r="K457" s="9"/>
      <c r="L457" s="9"/>
      <c r="M457" s="58"/>
      <c r="N457" s="59"/>
    </row>
    <row r="458" ht="22.5" customHeight="1">
      <c r="A458" s="53">
        <v>7.0</v>
      </c>
      <c r="B458" s="54" t="s">
        <v>312</v>
      </c>
      <c r="C458" s="54" t="s">
        <v>651</v>
      </c>
      <c r="D458" s="54" t="s">
        <v>652</v>
      </c>
      <c r="E458" s="56">
        <v>45952.0</v>
      </c>
      <c r="F458" s="56">
        <v>45938.0</v>
      </c>
      <c r="G458" s="54"/>
      <c r="H458" s="54"/>
      <c r="I458" s="54"/>
      <c r="J458" s="57"/>
      <c r="K458" s="9"/>
      <c r="L458" s="9"/>
      <c r="M458" s="58"/>
      <c r="N458" s="59"/>
    </row>
    <row r="459" ht="22.5" customHeight="1">
      <c r="A459" s="53">
        <v>7.0</v>
      </c>
      <c r="B459" s="54" t="s">
        <v>312</v>
      </c>
      <c r="C459" s="54" t="s">
        <v>653</v>
      </c>
      <c r="D459" s="54" t="s">
        <v>654</v>
      </c>
      <c r="E459" s="56">
        <v>45952.0</v>
      </c>
      <c r="F459" s="56">
        <v>45938.0</v>
      </c>
      <c r="G459" s="54"/>
      <c r="H459" s="54"/>
      <c r="I459" s="54"/>
      <c r="J459" s="57"/>
      <c r="K459" s="9"/>
      <c r="L459" s="9"/>
      <c r="M459" s="58"/>
      <c r="N459" s="59"/>
    </row>
    <row r="460" ht="22.5" customHeight="1">
      <c r="A460" s="53">
        <v>7.0</v>
      </c>
      <c r="B460" s="54" t="s">
        <v>312</v>
      </c>
      <c r="C460" s="54" t="s">
        <v>655</v>
      </c>
      <c r="D460" s="54" t="s">
        <v>656</v>
      </c>
      <c r="E460" s="56">
        <v>45952.0</v>
      </c>
      <c r="F460" s="56">
        <v>45938.0</v>
      </c>
      <c r="G460" s="54"/>
      <c r="H460" s="54"/>
      <c r="I460" s="54"/>
      <c r="J460" s="57"/>
      <c r="K460" s="9"/>
      <c r="L460" s="9"/>
      <c r="M460" s="58"/>
      <c r="N460" s="59"/>
    </row>
    <row r="461" ht="22.5" customHeight="1">
      <c r="A461" s="53">
        <v>7.0</v>
      </c>
      <c r="B461" s="54" t="s">
        <v>312</v>
      </c>
      <c r="C461" s="54" t="s">
        <v>657</v>
      </c>
      <c r="D461" s="54" t="s">
        <v>658</v>
      </c>
      <c r="E461" s="56">
        <v>45952.0</v>
      </c>
      <c r="F461" s="56">
        <v>45938.0</v>
      </c>
      <c r="G461" s="54"/>
      <c r="H461" s="54"/>
      <c r="I461" s="54"/>
      <c r="J461" s="57"/>
      <c r="K461" s="9"/>
      <c r="L461" s="9"/>
      <c r="M461" s="58"/>
      <c r="N461" s="59"/>
    </row>
    <row r="462" ht="22.5" customHeight="1">
      <c r="A462" s="53">
        <v>7.0</v>
      </c>
      <c r="B462" s="54" t="s">
        <v>312</v>
      </c>
      <c r="C462" s="54" t="s">
        <v>659</v>
      </c>
      <c r="D462" s="54" t="s">
        <v>660</v>
      </c>
      <c r="E462" s="56">
        <v>45952.0</v>
      </c>
      <c r="F462" s="56">
        <v>45938.0</v>
      </c>
      <c r="G462" s="54"/>
      <c r="H462" s="54"/>
      <c r="I462" s="54"/>
      <c r="J462" s="57"/>
      <c r="K462" s="9"/>
      <c r="L462" s="9"/>
      <c r="M462" s="58"/>
      <c r="N462" s="59"/>
    </row>
    <row r="463" ht="22.5" customHeight="1">
      <c r="A463" s="53">
        <v>7.0</v>
      </c>
      <c r="B463" s="54" t="s">
        <v>312</v>
      </c>
      <c r="C463" s="54" t="s">
        <v>661</v>
      </c>
      <c r="D463" s="54" t="s">
        <v>662</v>
      </c>
      <c r="E463" s="56">
        <v>45952.0</v>
      </c>
      <c r="F463" s="56">
        <v>45938.0</v>
      </c>
      <c r="G463" s="54"/>
      <c r="H463" s="54"/>
      <c r="I463" s="54"/>
      <c r="J463" s="57"/>
      <c r="K463" s="9"/>
      <c r="L463" s="9"/>
      <c r="M463" s="58"/>
      <c r="N463" s="59"/>
    </row>
    <row r="464" ht="22.5" customHeight="1">
      <c r="A464" s="53">
        <v>7.0</v>
      </c>
      <c r="B464" s="54" t="s">
        <v>312</v>
      </c>
      <c r="C464" s="54" t="s">
        <v>663</v>
      </c>
      <c r="D464" s="54" t="s">
        <v>664</v>
      </c>
      <c r="E464" s="56">
        <v>45952.0</v>
      </c>
      <c r="F464" s="56">
        <v>45938.0</v>
      </c>
      <c r="G464" s="54"/>
      <c r="H464" s="54"/>
      <c r="I464" s="54"/>
      <c r="J464" s="57"/>
      <c r="K464" s="9"/>
      <c r="L464" s="9"/>
      <c r="M464" s="58"/>
      <c r="N464" s="59"/>
    </row>
    <row r="465" ht="22.5" customHeight="1">
      <c r="A465" s="53">
        <v>7.0</v>
      </c>
      <c r="B465" s="54" t="s">
        <v>312</v>
      </c>
      <c r="C465" s="54" t="s">
        <v>665</v>
      </c>
      <c r="D465" s="54" t="s">
        <v>666</v>
      </c>
      <c r="E465" s="56">
        <v>45952.0</v>
      </c>
      <c r="F465" s="56">
        <v>45938.0</v>
      </c>
      <c r="G465" s="54"/>
      <c r="H465" s="54"/>
      <c r="I465" s="54"/>
      <c r="J465" s="57"/>
      <c r="K465" s="9"/>
      <c r="L465" s="9"/>
      <c r="M465" s="58"/>
      <c r="N465" s="59"/>
    </row>
    <row r="466" ht="22.5" customHeight="1">
      <c r="A466" s="53">
        <v>7.0</v>
      </c>
      <c r="B466" s="54" t="s">
        <v>312</v>
      </c>
      <c r="C466" s="54" t="s">
        <v>667</v>
      </c>
      <c r="D466" s="54" t="s">
        <v>668</v>
      </c>
      <c r="E466" s="56">
        <v>45952.0</v>
      </c>
      <c r="F466" s="56">
        <v>45938.0</v>
      </c>
      <c r="G466" s="54"/>
      <c r="H466" s="54"/>
      <c r="I466" s="54"/>
      <c r="J466" s="57"/>
      <c r="K466" s="9"/>
      <c r="L466" s="9"/>
      <c r="M466" s="58"/>
      <c r="N466" s="59"/>
    </row>
    <row r="467" ht="22.5" customHeight="1">
      <c r="A467" s="53">
        <v>8.0</v>
      </c>
      <c r="B467" s="54" t="s">
        <v>669</v>
      </c>
      <c r="C467" s="55"/>
      <c r="D467" s="54" t="s">
        <v>670</v>
      </c>
      <c r="E467" s="56">
        <v>45952.0</v>
      </c>
      <c r="F467" s="56">
        <v>45953.0</v>
      </c>
      <c r="G467" s="54"/>
      <c r="H467" s="54"/>
      <c r="I467" s="54"/>
      <c r="J467" s="57"/>
      <c r="K467" s="9"/>
      <c r="L467" s="9"/>
      <c r="M467" s="58"/>
      <c r="N467" s="59"/>
    </row>
    <row r="468" ht="22.5" customHeight="1">
      <c r="A468" s="53">
        <v>8.0</v>
      </c>
      <c r="B468" s="54" t="s">
        <v>669</v>
      </c>
      <c r="C468" s="55"/>
      <c r="D468" s="54" t="s">
        <v>671</v>
      </c>
      <c r="E468" s="56">
        <v>45952.0</v>
      </c>
      <c r="F468" s="56">
        <v>45953.0</v>
      </c>
      <c r="G468" s="54"/>
      <c r="H468" s="54"/>
      <c r="I468" s="54"/>
      <c r="J468" s="57"/>
      <c r="K468" s="9"/>
      <c r="L468" s="9"/>
      <c r="M468" s="58"/>
      <c r="N468" s="59"/>
    </row>
    <row r="469" ht="22.5" customHeight="1">
      <c r="A469" s="53">
        <v>8.0</v>
      </c>
      <c r="B469" s="54" t="s">
        <v>669</v>
      </c>
      <c r="C469" s="55"/>
      <c r="D469" s="54" t="s">
        <v>672</v>
      </c>
      <c r="E469" s="56">
        <v>45952.0</v>
      </c>
      <c r="F469" s="56">
        <v>45953.0</v>
      </c>
      <c r="G469" s="54"/>
      <c r="H469" s="54"/>
      <c r="I469" s="54"/>
      <c r="J469" s="57"/>
      <c r="K469" s="9"/>
      <c r="L469" s="9"/>
      <c r="M469" s="58"/>
      <c r="N469" s="59"/>
    </row>
    <row r="470" ht="22.5" customHeight="1">
      <c r="A470" s="53">
        <v>8.0</v>
      </c>
      <c r="B470" s="54" t="s">
        <v>669</v>
      </c>
      <c r="C470" s="55"/>
      <c r="D470" s="54" t="s">
        <v>673</v>
      </c>
      <c r="E470" s="56">
        <v>45952.0</v>
      </c>
      <c r="F470" s="56">
        <v>45953.0</v>
      </c>
      <c r="G470" s="54"/>
      <c r="H470" s="54"/>
      <c r="I470" s="54"/>
      <c r="J470" s="57"/>
      <c r="K470" s="9"/>
      <c r="L470" s="9"/>
      <c r="M470" s="58"/>
      <c r="N470" s="59"/>
    </row>
    <row r="471" ht="22.5" customHeight="1">
      <c r="A471" s="53">
        <v>8.0</v>
      </c>
      <c r="B471" s="54" t="s">
        <v>669</v>
      </c>
      <c r="C471" s="55"/>
      <c r="D471" s="54" t="s">
        <v>674</v>
      </c>
      <c r="E471" s="56">
        <v>45952.0</v>
      </c>
      <c r="F471" s="56">
        <v>45953.0</v>
      </c>
      <c r="G471" s="54"/>
      <c r="H471" s="54"/>
      <c r="I471" s="54"/>
      <c r="J471" s="57"/>
      <c r="K471" s="9"/>
      <c r="L471" s="9"/>
      <c r="M471" s="58"/>
      <c r="N471" s="59"/>
    </row>
    <row r="472" ht="22.5" customHeight="1">
      <c r="A472" s="53">
        <v>8.0</v>
      </c>
      <c r="B472" s="54" t="s">
        <v>669</v>
      </c>
      <c r="C472" s="55"/>
      <c r="D472" s="54" t="s">
        <v>675</v>
      </c>
      <c r="E472" s="56">
        <v>45952.0</v>
      </c>
      <c r="F472" s="56">
        <v>45953.0</v>
      </c>
      <c r="G472" s="54"/>
      <c r="H472" s="54"/>
      <c r="I472" s="54"/>
      <c r="J472" s="57"/>
      <c r="K472" s="9"/>
      <c r="L472" s="9"/>
      <c r="M472" s="58"/>
      <c r="N472" s="59"/>
    </row>
    <row r="473" ht="22.5" customHeight="1">
      <c r="A473" s="53">
        <v>8.0</v>
      </c>
      <c r="B473" s="54" t="s">
        <v>669</v>
      </c>
      <c r="C473" s="55"/>
      <c r="D473" s="54" t="s">
        <v>676</v>
      </c>
      <c r="E473" s="56">
        <v>45952.0</v>
      </c>
      <c r="F473" s="56">
        <v>45953.0</v>
      </c>
      <c r="G473" s="54"/>
      <c r="H473" s="54"/>
      <c r="I473" s="54"/>
      <c r="J473" s="57"/>
      <c r="K473" s="9"/>
      <c r="L473" s="9"/>
      <c r="M473" s="58"/>
      <c r="N473" s="59"/>
    </row>
    <row r="474" ht="22.5" customHeight="1">
      <c r="A474" s="53">
        <v>8.0</v>
      </c>
      <c r="B474" s="54" t="s">
        <v>669</v>
      </c>
      <c r="C474" s="55"/>
      <c r="D474" s="54" t="s">
        <v>677</v>
      </c>
      <c r="E474" s="56">
        <v>45952.0</v>
      </c>
      <c r="F474" s="56">
        <v>45953.0</v>
      </c>
      <c r="G474" s="54"/>
      <c r="H474" s="54"/>
      <c r="I474" s="54"/>
      <c r="J474" s="57"/>
      <c r="K474" s="9"/>
      <c r="L474" s="9"/>
      <c r="M474" s="58"/>
      <c r="N474" s="59"/>
    </row>
    <row r="475" ht="22.5" customHeight="1">
      <c r="A475" s="53">
        <v>8.0</v>
      </c>
      <c r="B475" s="54" t="s">
        <v>669</v>
      </c>
      <c r="C475" s="55"/>
      <c r="D475" s="54" t="s">
        <v>678</v>
      </c>
      <c r="E475" s="56">
        <v>45952.0</v>
      </c>
      <c r="F475" s="56">
        <v>45953.0</v>
      </c>
      <c r="G475" s="54"/>
      <c r="H475" s="54"/>
      <c r="I475" s="54"/>
      <c r="J475" s="57"/>
      <c r="K475" s="9"/>
      <c r="L475" s="9"/>
      <c r="M475" s="58"/>
      <c r="N475" s="59"/>
    </row>
    <row r="476" ht="22.5" customHeight="1">
      <c r="A476" s="53">
        <v>8.0</v>
      </c>
      <c r="B476" s="54" t="s">
        <v>669</v>
      </c>
      <c r="C476" s="55"/>
      <c r="D476" s="54" t="s">
        <v>679</v>
      </c>
      <c r="E476" s="56">
        <v>45952.0</v>
      </c>
      <c r="F476" s="56">
        <v>45953.0</v>
      </c>
      <c r="G476" s="54"/>
      <c r="H476" s="54"/>
      <c r="I476" s="54"/>
      <c r="J476" s="57"/>
      <c r="K476" s="9"/>
      <c r="L476" s="9"/>
      <c r="M476" s="58"/>
      <c r="N476" s="59"/>
    </row>
    <row r="477" ht="22.5" customHeight="1">
      <c r="A477" s="53">
        <v>15.0</v>
      </c>
      <c r="B477" s="54" t="s">
        <v>247</v>
      </c>
      <c r="C477" s="55"/>
      <c r="D477" s="54" t="s">
        <v>680</v>
      </c>
      <c r="E477" s="56">
        <v>45959.0</v>
      </c>
      <c r="F477" s="56">
        <v>45938.0</v>
      </c>
      <c r="G477" s="54"/>
      <c r="H477" s="54"/>
      <c r="I477" s="54"/>
      <c r="J477" s="57"/>
      <c r="K477" s="9"/>
      <c r="L477" s="9"/>
      <c r="M477" s="58"/>
      <c r="N477" s="59"/>
    </row>
    <row r="478" ht="22.5" customHeight="1">
      <c r="A478" s="53">
        <v>15.0</v>
      </c>
      <c r="B478" s="54" t="s">
        <v>247</v>
      </c>
      <c r="C478" s="55"/>
      <c r="D478" s="54" t="s">
        <v>681</v>
      </c>
      <c r="E478" s="56">
        <v>45959.0</v>
      </c>
      <c r="F478" s="56">
        <v>45938.0</v>
      </c>
      <c r="G478" s="54"/>
      <c r="H478" s="54"/>
      <c r="I478" s="54"/>
      <c r="J478" s="57"/>
      <c r="K478" s="9"/>
      <c r="L478" s="9"/>
      <c r="M478" s="58"/>
      <c r="N478" s="59"/>
    </row>
    <row r="479" ht="22.5" customHeight="1">
      <c r="A479" s="53">
        <v>15.0</v>
      </c>
      <c r="B479" s="54" t="s">
        <v>247</v>
      </c>
      <c r="C479" s="55"/>
      <c r="D479" s="54" t="s">
        <v>682</v>
      </c>
      <c r="E479" s="56">
        <v>45959.0</v>
      </c>
      <c r="F479" s="56">
        <v>45938.0</v>
      </c>
      <c r="G479" s="54"/>
      <c r="H479" s="54"/>
      <c r="I479" s="54"/>
      <c r="J479" s="57"/>
      <c r="K479" s="9"/>
      <c r="L479" s="9"/>
      <c r="M479" s="58"/>
      <c r="N479" s="59"/>
    </row>
    <row r="480" ht="22.5" customHeight="1">
      <c r="A480" s="53">
        <v>15.0</v>
      </c>
      <c r="B480" s="54" t="s">
        <v>247</v>
      </c>
      <c r="C480" s="55"/>
      <c r="D480" s="54" t="s">
        <v>683</v>
      </c>
      <c r="E480" s="56">
        <v>45959.0</v>
      </c>
      <c r="F480" s="56">
        <v>45938.0</v>
      </c>
      <c r="G480" s="54"/>
      <c r="H480" s="54"/>
      <c r="I480" s="54"/>
      <c r="J480" s="57"/>
      <c r="K480" s="9"/>
      <c r="L480" s="9"/>
      <c r="M480" s="58"/>
      <c r="N480" s="59"/>
    </row>
    <row r="481" ht="22.5" customHeight="1">
      <c r="A481" s="53">
        <v>15.0</v>
      </c>
      <c r="B481" s="54" t="s">
        <v>247</v>
      </c>
      <c r="C481" s="55"/>
      <c r="D481" s="54" t="s">
        <v>684</v>
      </c>
      <c r="E481" s="56">
        <v>45959.0</v>
      </c>
      <c r="F481" s="56">
        <v>45938.0</v>
      </c>
      <c r="G481" s="54"/>
      <c r="H481" s="54"/>
      <c r="I481" s="54"/>
      <c r="J481" s="57"/>
      <c r="K481" s="9"/>
      <c r="L481" s="9"/>
      <c r="M481" s="58"/>
      <c r="N481" s="59"/>
    </row>
    <row r="482" ht="22.5" customHeight="1">
      <c r="A482" s="53">
        <v>15.0</v>
      </c>
      <c r="B482" s="54" t="s">
        <v>247</v>
      </c>
      <c r="C482" s="55"/>
      <c r="D482" s="54" t="s">
        <v>685</v>
      </c>
      <c r="E482" s="56">
        <v>45959.0</v>
      </c>
      <c r="F482" s="56">
        <v>45938.0</v>
      </c>
      <c r="G482" s="54"/>
      <c r="H482" s="54"/>
      <c r="I482" s="54"/>
      <c r="J482" s="57"/>
      <c r="K482" s="9"/>
      <c r="L482" s="9"/>
      <c r="M482" s="58"/>
      <c r="N482" s="59"/>
    </row>
    <row r="483" ht="22.5" customHeight="1">
      <c r="A483" s="53">
        <v>15.0</v>
      </c>
      <c r="B483" s="54" t="s">
        <v>247</v>
      </c>
      <c r="C483" s="55"/>
      <c r="D483" s="54" t="s">
        <v>686</v>
      </c>
      <c r="E483" s="56">
        <v>45959.0</v>
      </c>
      <c r="F483" s="56">
        <v>45938.0</v>
      </c>
      <c r="G483" s="54"/>
      <c r="H483" s="54"/>
      <c r="I483" s="54"/>
      <c r="J483" s="57"/>
      <c r="K483" s="9"/>
      <c r="L483" s="9"/>
      <c r="M483" s="58"/>
      <c r="N483" s="59"/>
    </row>
    <row r="484" ht="22.5" customHeight="1">
      <c r="A484" s="53">
        <v>15.0</v>
      </c>
      <c r="B484" s="54" t="s">
        <v>247</v>
      </c>
      <c r="C484" s="55"/>
      <c r="D484" s="54" t="s">
        <v>687</v>
      </c>
      <c r="E484" s="56">
        <v>45959.0</v>
      </c>
      <c r="F484" s="56">
        <v>45938.0</v>
      </c>
      <c r="G484" s="54"/>
      <c r="H484" s="54"/>
      <c r="I484" s="54"/>
      <c r="J484" s="57"/>
      <c r="K484" s="9"/>
      <c r="L484" s="9"/>
      <c r="M484" s="58"/>
      <c r="N484" s="59"/>
    </row>
    <row r="485" ht="22.5" customHeight="1">
      <c r="A485" s="53">
        <v>15.0</v>
      </c>
      <c r="B485" s="54" t="s">
        <v>247</v>
      </c>
      <c r="C485" s="55"/>
      <c r="D485" s="54" t="s">
        <v>688</v>
      </c>
      <c r="E485" s="56">
        <v>45959.0</v>
      </c>
      <c r="F485" s="56">
        <v>45938.0</v>
      </c>
      <c r="G485" s="54"/>
      <c r="H485" s="54"/>
      <c r="I485" s="54"/>
      <c r="J485" s="57"/>
      <c r="K485" s="9"/>
      <c r="L485" s="9"/>
      <c r="M485" s="58"/>
      <c r="N485" s="59"/>
    </row>
    <row r="486" ht="22.5" customHeight="1">
      <c r="A486" s="53">
        <v>15.0</v>
      </c>
      <c r="B486" s="54" t="s">
        <v>247</v>
      </c>
      <c r="C486" s="55"/>
      <c r="D486" s="54" t="s">
        <v>689</v>
      </c>
      <c r="E486" s="56">
        <v>45959.0</v>
      </c>
      <c r="F486" s="56">
        <v>45938.0</v>
      </c>
      <c r="G486" s="54"/>
      <c r="H486" s="54"/>
      <c r="I486" s="54"/>
      <c r="J486" s="57"/>
      <c r="K486" s="9"/>
      <c r="L486" s="9"/>
      <c r="M486" s="58"/>
      <c r="N486" s="59"/>
    </row>
    <row r="487" ht="22.5" customHeight="1">
      <c r="A487" s="53">
        <v>15.0</v>
      </c>
      <c r="B487" s="54" t="s">
        <v>247</v>
      </c>
      <c r="C487" s="55"/>
      <c r="D487" s="54" t="s">
        <v>690</v>
      </c>
      <c r="E487" s="56">
        <v>45959.0</v>
      </c>
      <c r="F487" s="56">
        <v>45938.0</v>
      </c>
      <c r="G487" s="54"/>
      <c r="H487" s="54"/>
      <c r="I487" s="54"/>
      <c r="J487" s="57"/>
      <c r="K487" s="9"/>
      <c r="L487" s="9"/>
      <c r="M487" s="58"/>
      <c r="N487" s="59"/>
    </row>
    <row r="488" ht="22.5" customHeight="1">
      <c r="A488" s="53">
        <v>15.0</v>
      </c>
      <c r="B488" s="54" t="s">
        <v>247</v>
      </c>
      <c r="C488" s="55"/>
      <c r="D488" s="54" t="s">
        <v>691</v>
      </c>
      <c r="E488" s="56">
        <v>45959.0</v>
      </c>
      <c r="F488" s="56">
        <v>45938.0</v>
      </c>
      <c r="G488" s="54"/>
      <c r="H488" s="54"/>
      <c r="I488" s="54"/>
      <c r="J488" s="57"/>
      <c r="K488" s="9"/>
      <c r="L488" s="9"/>
      <c r="M488" s="58"/>
      <c r="N488" s="59"/>
    </row>
    <row r="489" ht="22.5" customHeight="1">
      <c r="A489" s="53">
        <v>15.0</v>
      </c>
      <c r="B489" s="54" t="s">
        <v>247</v>
      </c>
      <c r="C489" s="55"/>
      <c r="D489" s="54" t="s">
        <v>692</v>
      </c>
      <c r="E489" s="56">
        <v>45959.0</v>
      </c>
      <c r="F489" s="56">
        <v>45938.0</v>
      </c>
      <c r="G489" s="54"/>
      <c r="H489" s="54"/>
      <c r="I489" s="54"/>
      <c r="J489" s="57"/>
      <c r="K489" s="9"/>
      <c r="L489" s="9"/>
      <c r="M489" s="58"/>
      <c r="N489" s="59"/>
    </row>
    <row r="490" ht="22.5" customHeight="1">
      <c r="A490" s="53">
        <v>15.0</v>
      </c>
      <c r="B490" s="54" t="s">
        <v>247</v>
      </c>
      <c r="C490" s="55"/>
      <c r="D490" s="54" t="s">
        <v>693</v>
      </c>
      <c r="E490" s="56">
        <v>45959.0</v>
      </c>
      <c r="F490" s="56">
        <v>45938.0</v>
      </c>
      <c r="G490" s="54"/>
      <c r="H490" s="54"/>
      <c r="I490" s="54"/>
      <c r="J490" s="57"/>
      <c r="K490" s="9"/>
      <c r="L490" s="9"/>
      <c r="M490" s="58"/>
      <c r="N490" s="59"/>
    </row>
    <row r="491" ht="22.5" customHeight="1">
      <c r="A491" s="53">
        <v>15.0</v>
      </c>
      <c r="B491" s="54" t="s">
        <v>247</v>
      </c>
      <c r="C491" s="55"/>
      <c r="D491" s="54" t="s">
        <v>694</v>
      </c>
      <c r="E491" s="56">
        <v>45959.0</v>
      </c>
      <c r="F491" s="56">
        <v>45938.0</v>
      </c>
      <c r="G491" s="54"/>
      <c r="H491" s="54"/>
      <c r="I491" s="54"/>
      <c r="J491" s="57"/>
      <c r="K491" s="9"/>
      <c r="L491" s="9"/>
      <c r="M491" s="58"/>
      <c r="N491" s="59"/>
    </row>
    <row r="492" ht="22.5" customHeight="1">
      <c r="A492" s="53">
        <v>15.0</v>
      </c>
      <c r="B492" s="54" t="s">
        <v>247</v>
      </c>
      <c r="C492" s="55"/>
      <c r="D492" s="54" t="s">
        <v>695</v>
      </c>
      <c r="E492" s="56">
        <v>45959.0</v>
      </c>
      <c r="F492" s="56">
        <v>45938.0</v>
      </c>
      <c r="G492" s="54"/>
      <c r="H492" s="54"/>
      <c r="I492" s="54"/>
      <c r="J492" s="57"/>
      <c r="K492" s="9"/>
      <c r="L492" s="9"/>
      <c r="M492" s="58"/>
      <c r="N492" s="59"/>
    </row>
    <row r="493" ht="22.5" customHeight="1">
      <c r="A493" s="53">
        <v>15.0</v>
      </c>
      <c r="B493" s="54" t="s">
        <v>247</v>
      </c>
      <c r="C493" s="55"/>
      <c r="D493" s="54" t="s">
        <v>696</v>
      </c>
      <c r="E493" s="56">
        <v>45959.0</v>
      </c>
      <c r="F493" s="56">
        <v>45938.0</v>
      </c>
      <c r="G493" s="54"/>
      <c r="H493" s="54"/>
      <c r="I493" s="54"/>
      <c r="J493" s="57"/>
      <c r="K493" s="9"/>
      <c r="L493" s="9"/>
      <c r="M493" s="58"/>
      <c r="N493" s="59"/>
    </row>
    <row r="494" ht="22.5" customHeight="1">
      <c r="A494" s="53">
        <v>15.0</v>
      </c>
      <c r="B494" s="54" t="s">
        <v>247</v>
      </c>
      <c r="C494" s="55"/>
      <c r="D494" s="54" t="s">
        <v>697</v>
      </c>
      <c r="E494" s="56">
        <v>45959.0</v>
      </c>
      <c r="F494" s="56">
        <v>45938.0</v>
      </c>
      <c r="G494" s="54"/>
      <c r="H494" s="54"/>
      <c r="I494" s="54"/>
      <c r="J494" s="57"/>
      <c r="K494" s="9"/>
      <c r="L494" s="9"/>
      <c r="M494" s="58"/>
      <c r="N494" s="59"/>
    </row>
    <row r="495" ht="22.5" customHeight="1">
      <c r="A495" s="53">
        <v>15.0</v>
      </c>
      <c r="B495" s="54" t="s">
        <v>247</v>
      </c>
      <c r="C495" s="55"/>
      <c r="D495" s="54" t="s">
        <v>698</v>
      </c>
      <c r="E495" s="56">
        <v>45959.0</v>
      </c>
      <c r="F495" s="56">
        <v>45938.0</v>
      </c>
      <c r="G495" s="54"/>
      <c r="H495" s="54"/>
      <c r="I495" s="54"/>
      <c r="J495" s="57"/>
      <c r="K495" s="9"/>
      <c r="L495" s="9"/>
      <c r="M495" s="58"/>
      <c r="N495" s="59"/>
    </row>
    <row r="496" ht="22.5" customHeight="1">
      <c r="A496" s="53">
        <v>15.0</v>
      </c>
      <c r="B496" s="54" t="s">
        <v>247</v>
      </c>
      <c r="C496" s="55"/>
      <c r="D496" s="54" t="s">
        <v>699</v>
      </c>
      <c r="E496" s="56">
        <v>45959.0</v>
      </c>
      <c r="F496" s="56">
        <v>45938.0</v>
      </c>
      <c r="G496" s="54"/>
      <c r="H496" s="54"/>
      <c r="I496" s="54"/>
      <c r="J496" s="57"/>
      <c r="K496" s="9"/>
      <c r="L496" s="9"/>
      <c r="M496" s="58"/>
      <c r="N496" s="59"/>
    </row>
    <row r="497" ht="22.5" customHeight="1">
      <c r="A497" s="53">
        <v>15.0</v>
      </c>
      <c r="B497" s="54" t="s">
        <v>247</v>
      </c>
      <c r="C497" s="55"/>
      <c r="D497" s="54" t="s">
        <v>700</v>
      </c>
      <c r="E497" s="56">
        <v>45959.0</v>
      </c>
      <c r="F497" s="56">
        <v>45938.0</v>
      </c>
      <c r="G497" s="54"/>
      <c r="H497" s="54"/>
      <c r="I497" s="54"/>
      <c r="J497" s="57"/>
      <c r="K497" s="9"/>
      <c r="L497" s="9"/>
      <c r="M497" s="58"/>
      <c r="N497" s="59"/>
    </row>
    <row r="498" ht="22.5" customHeight="1">
      <c r="A498" s="53">
        <v>15.0</v>
      </c>
      <c r="B498" s="54" t="s">
        <v>247</v>
      </c>
      <c r="C498" s="55"/>
      <c r="D498" s="54" t="s">
        <v>701</v>
      </c>
      <c r="E498" s="56">
        <v>45959.0</v>
      </c>
      <c r="F498" s="56">
        <v>45938.0</v>
      </c>
      <c r="G498" s="54"/>
      <c r="H498" s="54"/>
      <c r="I498" s="54"/>
      <c r="J498" s="57"/>
      <c r="K498" s="9"/>
      <c r="L498" s="9"/>
      <c r="M498" s="58"/>
      <c r="N498" s="59"/>
    </row>
    <row r="499" ht="22.5" customHeight="1">
      <c r="A499" s="53">
        <v>15.0</v>
      </c>
      <c r="B499" s="54" t="s">
        <v>247</v>
      </c>
      <c r="C499" s="55"/>
      <c r="D499" s="54" t="s">
        <v>702</v>
      </c>
      <c r="E499" s="56">
        <v>45959.0</v>
      </c>
      <c r="F499" s="56">
        <v>45938.0</v>
      </c>
      <c r="G499" s="54"/>
      <c r="H499" s="54"/>
      <c r="I499" s="54"/>
      <c r="J499" s="57"/>
      <c r="K499" s="9"/>
      <c r="L499" s="9"/>
      <c r="M499" s="58"/>
      <c r="N499" s="59"/>
    </row>
    <row r="500" ht="22.5" customHeight="1">
      <c r="A500" s="53">
        <v>15.0</v>
      </c>
      <c r="B500" s="54" t="s">
        <v>247</v>
      </c>
      <c r="C500" s="55"/>
      <c r="D500" s="54" t="s">
        <v>703</v>
      </c>
      <c r="E500" s="56">
        <v>45959.0</v>
      </c>
      <c r="F500" s="56">
        <v>45938.0</v>
      </c>
      <c r="G500" s="54"/>
      <c r="H500" s="54"/>
      <c r="I500" s="54"/>
      <c r="J500" s="57"/>
      <c r="K500" s="9"/>
      <c r="L500" s="9"/>
      <c r="M500" s="58"/>
      <c r="N500" s="59"/>
    </row>
    <row r="501" ht="22.5" customHeight="1">
      <c r="A501" s="53">
        <v>15.0</v>
      </c>
      <c r="B501" s="54" t="s">
        <v>247</v>
      </c>
      <c r="C501" s="55"/>
      <c r="D501" s="54" t="s">
        <v>704</v>
      </c>
      <c r="E501" s="56">
        <v>45959.0</v>
      </c>
      <c r="F501" s="56">
        <v>45938.0</v>
      </c>
      <c r="G501" s="54"/>
      <c r="H501" s="54"/>
      <c r="I501" s="54"/>
      <c r="J501" s="57"/>
      <c r="K501" s="9"/>
      <c r="L501" s="9"/>
      <c r="M501" s="58"/>
      <c r="N501" s="59"/>
    </row>
    <row r="502" ht="22.5" customHeight="1">
      <c r="A502" s="53">
        <v>15.0</v>
      </c>
      <c r="B502" s="54" t="s">
        <v>247</v>
      </c>
      <c r="C502" s="55"/>
      <c r="D502" s="54" t="s">
        <v>705</v>
      </c>
      <c r="E502" s="56">
        <v>45959.0</v>
      </c>
      <c r="F502" s="56">
        <v>45938.0</v>
      </c>
      <c r="G502" s="54"/>
      <c r="H502" s="54"/>
      <c r="I502" s="54"/>
      <c r="J502" s="57"/>
      <c r="K502" s="9"/>
      <c r="L502" s="9"/>
      <c r="M502" s="58"/>
      <c r="N502" s="59"/>
    </row>
    <row r="503" ht="22.5" customHeight="1">
      <c r="A503" s="53">
        <v>15.0</v>
      </c>
      <c r="B503" s="54" t="s">
        <v>247</v>
      </c>
      <c r="C503" s="55"/>
      <c r="D503" s="54" t="s">
        <v>706</v>
      </c>
      <c r="E503" s="56">
        <v>45959.0</v>
      </c>
      <c r="F503" s="56">
        <v>45938.0</v>
      </c>
      <c r="G503" s="54"/>
      <c r="H503" s="54"/>
      <c r="I503" s="54"/>
      <c r="J503" s="57"/>
      <c r="K503" s="9"/>
      <c r="L503" s="9"/>
      <c r="M503" s="58"/>
      <c r="N503" s="59"/>
    </row>
    <row r="504" ht="22.5" customHeight="1">
      <c r="A504" s="53">
        <v>15.0</v>
      </c>
      <c r="B504" s="54" t="s">
        <v>247</v>
      </c>
      <c r="C504" s="55"/>
      <c r="D504" s="54" t="s">
        <v>707</v>
      </c>
      <c r="E504" s="56">
        <v>45959.0</v>
      </c>
      <c r="F504" s="56">
        <v>45938.0</v>
      </c>
      <c r="G504" s="54"/>
      <c r="H504" s="54"/>
      <c r="I504" s="54"/>
      <c r="J504" s="57"/>
      <c r="K504" s="9"/>
      <c r="L504" s="9"/>
      <c r="M504" s="58"/>
      <c r="N504" s="59"/>
    </row>
    <row r="505" ht="22.5" customHeight="1">
      <c r="A505" s="53">
        <v>15.0</v>
      </c>
      <c r="B505" s="54" t="s">
        <v>247</v>
      </c>
      <c r="C505" s="55"/>
      <c r="D505" s="54" t="s">
        <v>708</v>
      </c>
      <c r="E505" s="56">
        <v>45959.0</v>
      </c>
      <c r="F505" s="56">
        <v>45938.0</v>
      </c>
      <c r="G505" s="54"/>
      <c r="H505" s="54"/>
      <c r="I505" s="54"/>
      <c r="J505" s="57"/>
      <c r="K505" s="9"/>
      <c r="L505" s="9"/>
      <c r="M505" s="58"/>
      <c r="N505" s="59"/>
    </row>
    <row r="506" ht="22.5" customHeight="1">
      <c r="A506" s="53">
        <v>15.0</v>
      </c>
      <c r="B506" s="54" t="s">
        <v>247</v>
      </c>
      <c r="C506" s="55"/>
      <c r="D506" s="54" t="s">
        <v>709</v>
      </c>
      <c r="E506" s="56">
        <v>45959.0</v>
      </c>
      <c r="F506" s="56">
        <v>45938.0</v>
      </c>
      <c r="G506" s="54"/>
      <c r="H506" s="54"/>
      <c r="I506" s="54"/>
      <c r="J506" s="57"/>
      <c r="K506" s="9"/>
      <c r="L506" s="9"/>
      <c r="M506" s="58"/>
      <c r="N506" s="59"/>
    </row>
    <row r="507" ht="22.5" customHeight="1">
      <c r="A507" s="53">
        <v>15.0</v>
      </c>
      <c r="B507" s="54" t="s">
        <v>247</v>
      </c>
      <c r="C507" s="55"/>
      <c r="D507" s="54" t="s">
        <v>710</v>
      </c>
      <c r="E507" s="56">
        <v>45959.0</v>
      </c>
      <c r="F507" s="56">
        <v>45938.0</v>
      </c>
      <c r="G507" s="54"/>
      <c r="H507" s="54"/>
      <c r="I507" s="54"/>
      <c r="J507" s="57"/>
      <c r="K507" s="9"/>
      <c r="L507" s="9"/>
      <c r="M507" s="58"/>
      <c r="N507" s="59"/>
    </row>
    <row r="508" ht="22.5" customHeight="1">
      <c r="A508" s="53">
        <v>15.0</v>
      </c>
      <c r="B508" s="54" t="s">
        <v>247</v>
      </c>
      <c r="C508" s="55"/>
      <c r="D508" s="54" t="s">
        <v>711</v>
      </c>
      <c r="E508" s="56">
        <v>45959.0</v>
      </c>
      <c r="F508" s="56">
        <v>45938.0</v>
      </c>
      <c r="G508" s="54"/>
      <c r="H508" s="54"/>
      <c r="I508" s="54"/>
      <c r="J508" s="57"/>
      <c r="K508" s="9"/>
      <c r="L508" s="9"/>
      <c r="M508" s="58"/>
      <c r="N508" s="59"/>
    </row>
    <row r="509" ht="22.5" customHeight="1">
      <c r="A509" s="53">
        <v>15.0</v>
      </c>
      <c r="B509" s="54" t="s">
        <v>247</v>
      </c>
      <c r="C509" s="55"/>
      <c r="D509" s="54" t="s">
        <v>712</v>
      </c>
      <c r="E509" s="56">
        <v>45959.0</v>
      </c>
      <c r="F509" s="56">
        <v>45938.0</v>
      </c>
      <c r="G509" s="54"/>
      <c r="H509" s="54"/>
      <c r="I509" s="54"/>
      <c r="J509" s="57"/>
      <c r="K509" s="9"/>
      <c r="L509" s="9"/>
      <c r="M509" s="58"/>
      <c r="N509" s="59"/>
    </row>
    <row r="510" ht="22.5" customHeight="1">
      <c r="A510" s="53">
        <v>15.0</v>
      </c>
      <c r="B510" s="54" t="s">
        <v>247</v>
      </c>
      <c r="C510" s="55"/>
      <c r="D510" s="54" t="s">
        <v>713</v>
      </c>
      <c r="E510" s="56">
        <v>45959.0</v>
      </c>
      <c r="F510" s="56">
        <v>45938.0</v>
      </c>
      <c r="G510" s="54"/>
      <c r="H510" s="54"/>
      <c r="I510" s="54"/>
      <c r="J510" s="57"/>
      <c r="K510" s="9"/>
      <c r="L510" s="9"/>
      <c r="M510" s="58"/>
      <c r="N510" s="59"/>
    </row>
    <row r="511" ht="22.5" customHeight="1">
      <c r="A511" s="53">
        <v>15.0</v>
      </c>
      <c r="B511" s="54" t="s">
        <v>247</v>
      </c>
      <c r="C511" s="55"/>
      <c r="D511" s="54" t="s">
        <v>714</v>
      </c>
      <c r="E511" s="56">
        <v>45959.0</v>
      </c>
      <c r="F511" s="56">
        <v>45938.0</v>
      </c>
      <c r="G511" s="54"/>
      <c r="H511" s="54"/>
      <c r="I511" s="54"/>
      <c r="J511" s="57"/>
      <c r="K511" s="9"/>
      <c r="L511" s="9"/>
      <c r="M511" s="58"/>
      <c r="N511" s="59"/>
    </row>
    <row r="512" ht="22.5" customHeight="1">
      <c r="A512" s="53">
        <v>15.0</v>
      </c>
      <c r="B512" s="54" t="s">
        <v>247</v>
      </c>
      <c r="C512" s="55"/>
      <c r="D512" s="54" t="s">
        <v>715</v>
      </c>
      <c r="E512" s="56">
        <v>45959.0</v>
      </c>
      <c r="F512" s="56">
        <v>45938.0</v>
      </c>
      <c r="G512" s="54"/>
      <c r="H512" s="54"/>
      <c r="I512" s="54"/>
      <c r="J512" s="57"/>
      <c r="K512" s="9"/>
      <c r="L512" s="9"/>
      <c r="M512" s="58"/>
      <c r="N512" s="59"/>
    </row>
    <row r="513" ht="22.5" customHeight="1">
      <c r="A513" s="53">
        <v>15.0</v>
      </c>
      <c r="B513" s="54" t="s">
        <v>247</v>
      </c>
      <c r="C513" s="55"/>
      <c r="D513" s="54" t="s">
        <v>716</v>
      </c>
      <c r="E513" s="56">
        <v>45959.0</v>
      </c>
      <c r="F513" s="56">
        <v>45938.0</v>
      </c>
      <c r="G513" s="54"/>
      <c r="H513" s="54"/>
      <c r="I513" s="54"/>
      <c r="J513" s="57"/>
      <c r="K513" s="9"/>
      <c r="L513" s="9"/>
      <c r="M513" s="58"/>
      <c r="N513" s="59"/>
    </row>
    <row r="514" ht="22.5" customHeight="1">
      <c r="A514" s="53">
        <v>15.0</v>
      </c>
      <c r="B514" s="54" t="s">
        <v>247</v>
      </c>
      <c r="C514" s="55"/>
      <c r="D514" s="54" t="s">
        <v>717</v>
      </c>
      <c r="E514" s="56">
        <v>45959.0</v>
      </c>
      <c r="F514" s="56">
        <v>45938.0</v>
      </c>
      <c r="G514" s="54"/>
      <c r="H514" s="54"/>
      <c r="I514" s="54"/>
      <c r="J514" s="57"/>
      <c r="K514" s="9"/>
      <c r="L514" s="9"/>
      <c r="M514" s="58"/>
      <c r="N514" s="59"/>
    </row>
    <row r="515" ht="22.5" customHeight="1">
      <c r="A515" s="53">
        <v>15.0</v>
      </c>
      <c r="B515" s="54" t="s">
        <v>247</v>
      </c>
      <c r="C515" s="55"/>
      <c r="D515" s="54" t="s">
        <v>718</v>
      </c>
      <c r="E515" s="56">
        <v>45959.0</v>
      </c>
      <c r="F515" s="56">
        <v>45938.0</v>
      </c>
      <c r="G515" s="54"/>
      <c r="H515" s="54"/>
      <c r="I515" s="54"/>
      <c r="J515" s="57"/>
      <c r="K515" s="9"/>
      <c r="L515" s="9"/>
      <c r="M515" s="58"/>
      <c r="N515" s="59"/>
    </row>
    <row r="516" ht="22.5" customHeight="1">
      <c r="A516" s="53">
        <v>15.0</v>
      </c>
      <c r="B516" s="54" t="s">
        <v>247</v>
      </c>
      <c r="C516" s="55"/>
      <c r="D516" s="54" t="s">
        <v>719</v>
      </c>
      <c r="E516" s="56">
        <v>45959.0</v>
      </c>
      <c r="F516" s="56">
        <v>45938.0</v>
      </c>
      <c r="G516" s="54"/>
      <c r="H516" s="54"/>
      <c r="I516" s="54"/>
      <c r="J516" s="57"/>
      <c r="K516" s="9"/>
      <c r="L516" s="9"/>
      <c r="M516" s="58"/>
      <c r="N516" s="59"/>
    </row>
    <row r="517" ht="22.5" customHeight="1">
      <c r="A517" s="53">
        <v>15.0</v>
      </c>
      <c r="B517" s="54" t="s">
        <v>247</v>
      </c>
      <c r="C517" s="55"/>
      <c r="D517" s="54" t="s">
        <v>720</v>
      </c>
      <c r="E517" s="56">
        <v>45959.0</v>
      </c>
      <c r="F517" s="56">
        <v>45938.0</v>
      </c>
      <c r="G517" s="54"/>
      <c r="H517" s="54"/>
      <c r="I517" s="54"/>
      <c r="J517" s="57"/>
      <c r="K517" s="9"/>
      <c r="L517" s="9"/>
      <c r="M517" s="58"/>
      <c r="N517" s="59"/>
    </row>
    <row r="518" ht="22.5" customHeight="1">
      <c r="A518" s="53">
        <v>15.0</v>
      </c>
      <c r="B518" s="54" t="s">
        <v>247</v>
      </c>
      <c r="C518" s="55"/>
      <c r="D518" s="54" t="s">
        <v>721</v>
      </c>
      <c r="E518" s="56">
        <v>45959.0</v>
      </c>
      <c r="F518" s="56">
        <v>45938.0</v>
      </c>
      <c r="G518" s="54"/>
      <c r="H518" s="54"/>
      <c r="I518" s="54"/>
      <c r="J518" s="57"/>
      <c r="K518" s="9"/>
      <c r="L518" s="9"/>
      <c r="M518" s="58"/>
      <c r="N518" s="59"/>
    </row>
    <row r="519" ht="22.5" customHeight="1">
      <c r="A519" s="53">
        <v>15.0</v>
      </c>
      <c r="B519" s="54" t="s">
        <v>247</v>
      </c>
      <c r="C519" s="55"/>
      <c r="D519" s="54" t="s">
        <v>722</v>
      </c>
      <c r="E519" s="56">
        <v>45959.0</v>
      </c>
      <c r="F519" s="56">
        <v>45938.0</v>
      </c>
      <c r="G519" s="54"/>
      <c r="H519" s="54"/>
      <c r="I519" s="54"/>
      <c r="J519" s="57"/>
      <c r="K519" s="9"/>
      <c r="L519" s="9"/>
      <c r="M519" s="58"/>
      <c r="N519" s="59"/>
    </row>
    <row r="520" ht="22.5" customHeight="1">
      <c r="A520" s="53">
        <v>15.0</v>
      </c>
      <c r="B520" s="54" t="s">
        <v>247</v>
      </c>
      <c r="C520" s="55"/>
      <c r="D520" s="54" t="s">
        <v>723</v>
      </c>
      <c r="E520" s="56">
        <v>45959.0</v>
      </c>
      <c r="F520" s="56">
        <v>45938.0</v>
      </c>
      <c r="G520" s="54"/>
      <c r="H520" s="54"/>
      <c r="I520" s="54"/>
      <c r="J520" s="57"/>
      <c r="K520" s="9"/>
      <c r="L520" s="9"/>
      <c r="M520" s="58"/>
      <c r="N520" s="59"/>
    </row>
    <row r="521" ht="22.5" customHeight="1">
      <c r="A521" s="53">
        <v>15.0</v>
      </c>
      <c r="B521" s="54" t="s">
        <v>247</v>
      </c>
      <c r="C521" s="55"/>
      <c r="D521" s="54" t="s">
        <v>724</v>
      </c>
      <c r="E521" s="56">
        <v>45959.0</v>
      </c>
      <c r="F521" s="56">
        <v>45938.0</v>
      </c>
      <c r="G521" s="54"/>
      <c r="H521" s="54"/>
      <c r="I521" s="54"/>
      <c r="J521" s="57"/>
      <c r="K521" s="9"/>
      <c r="L521" s="9"/>
      <c r="M521" s="58"/>
      <c r="N521" s="59"/>
    </row>
    <row r="522" ht="22.5" customHeight="1">
      <c r="A522" s="53">
        <v>15.0</v>
      </c>
      <c r="B522" s="54" t="s">
        <v>247</v>
      </c>
      <c r="C522" s="55"/>
      <c r="D522" s="54" t="s">
        <v>725</v>
      </c>
      <c r="E522" s="56">
        <v>45959.0</v>
      </c>
      <c r="F522" s="56">
        <v>45938.0</v>
      </c>
      <c r="G522" s="54"/>
      <c r="H522" s="54"/>
      <c r="I522" s="54"/>
      <c r="J522" s="57"/>
      <c r="K522" s="9"/>
      <c r="L522" s="9"/>
      <c r="M522" s="58"/>
      <c r="N522" s="59"/>
    </row>
    <row r="523" ht="22.5" customHeight="1">
      <c r="A523" s="53">
        <v>15.0</v>
      </c>
      <c r="B523" s="54" t="s">
        <v>247</v>
      </c>
      <c r="C523" s="55"/>
      <c r="D523" s="54" t="s">
        <v>726</v>
      </c>
      <c r="E523" s="56">
        <v>45959.0</v>
      </c>
      <c r="F523" s="56">
        <v>45938.0</v>
      </c>
      <c r="G523" s="54"/>
      <c r="H523" s="54"/>
      <c r="I523" s="54"/>
      <c r="J523" s="57"/>
      <c r="K523" s="9"/>
      <c r="L523" s="9"/>
      <c r="M523" s="58"/>
      <c r="N523" s="59"/>
    </row>
    <row r="524" ht="22.5" customHeight="1">
      <c r="A524" s="53">
        <v>15.0</v>
      </c>
      <c r="B524" s="54" t="s">
        <v>247</v>
      </c>
      <c r="C524" s="55"/>
      <c r="D524" s="54" t="s">
        <v>727</v>
      </c>
      <c r="E524" s="56">
        <v>45959.0</v>
      </c>
      <c r="F524" s="56">
        <v>45938.0</v>
      </c>
      <c r="G524" s="54"/>
      <c r="H524" s="54"/>
      <c r="I524" s="54"/>
      <c r="J524" s="57"/>
      <c r="K524" s="9"/>
      <c r="L524" s="9"/>
      <c r="M524" s="58"/>
      <c r="N524" s="59"/>
    </row>
    <row r="525" ht="22.5" customHeight="1">
      <c r="A525" s="53">
        <v>15.0</v>
      </c>
      <c r="B525" s="54" t="s">
        <v>247</v>
      </c>
      <c r="C525" s="55"/>
      <c r="D525" s="54" t="s">
        <v>728</v>
      </c>
      <c r="E525" s="56">
        <v>45959.0</v>
      </c>
      <c r="F525" s="56">
        <v>45938.0</v>
      </c>
      <c r="G525" s="54"/>
      <c r="H525" s="54"/>
      <c r="I525" s="54"/>
      <c r="J525" s="57"/>
      <c r="K525" s="9"/>
      <c r="L525" s="9"/>
      <c r="M525" s="58"/>
      <c r="N525" s="59"/>
    </row>
    <row r="526" ht="22.5" customHeight="1">
      <c r="A526" s="53">
        <v>15.0</v>
      </c>
      <c r="B526" s="54" t="s">
        <v>247</v>
      </c>
      <c r="C526" s="55"/>
      <c r="D526" s="54" t="s">
        <v>729</v>
      </c>
      <c r="E526" s="56">
        <v>45959.0</v>
      </c>
      <c r="F526" s="56">
        <v>45938.0</v>
      </c>
      <c r="G526" s="54"/>
      <c r="H526" s="54"/>
      <c r="I526" s="54"/>
      <c r="J526" s="57"/>
      <c r="K526" s="9"/>
      <c r="L526" s="9"/>
      <c r="M526" s="58"/>
      <c r="N526" s="59"/>
    </row>
    <row r="527" ht="22.5" customHeight="1">
      <c r="A527" s="53">
        <v>15.0</v>
      </c>
      <c r="B527" s="54" t="s">
        <v>247</v>
      </c>
      <c r="C527" s="55"/>
      <c r="D527" s="54" t="s">
        <v>730</v>
      </c>
      <c r="E527" s="56">
        <v>45959.0</v>
      </c>
      <c r="F527" s="56">
        <v>45938.0</v>
      </c>
      <c r="G527" s="54"/>
      <c r="H527" s="54"/>
      <c r="I527" s="54"/>
      <c r="J527" s="57"/>
      <c r="K527" s="9"/>
      <c r="L527" s="9"/>
      <c r="M527" s="58"/>
      <c r="N527" s="59"/>
    </row>
    <row r="528" ht="22.5" customHeight="1">
      <c r="A528" s="53">
        <v>15.0</v>
      </c>
      <c r="B528" s="54" t="s">
        <v>247</v>
      </c>
      <c r="C528" s="55"/>
      <c r="D528" s="54" t="s">
        <v>731</v>
      </c>
      <c r="E528" s="56">
        <v>45959.0</v>
      </c>
      <c r="F528" s="56">
        <v>45938.0</v>
      </c>
      <c r="G528" s="54"/>
      <c r="H528" s="54"/>
      <c r="I528" s="54"/>
      <c r="J528" s="57"/>
      <c r="K528" s="9"/>
      <c r="L528" s="9"/>
      <c r="M528" s="58"/>
      <c r="N528" s="59"/>
    </row>
    <row r="529" ht="22.5" customHeight="1">
      <c r="A529" s="53">
        <v>15.0</v>
      </c>
      <c r="B529" s="54" t="s">
        <v>247</v>
      </c>
      <c r="C529" s="55"/>
      <c r="D529" s="54" t="s">
        <v>732</v>
      </c>
      <c r="E529" s="56">
        <v>45959.0</v>
      </c>
      <c r="F529" s="56">
        <v>45938.0</v>
      </c>
      <c r="G529" s="54"/>
      <c r="H529" s="54"/>
      <c r="I529" s="54"/>
      <c r="J529" s="57"/>
      <c r="K529" s="9"/>
      <c r="L529" s="9"/>
      <c r="M529" s="58"/>
      <c r="N529" s="59"/>
    </row>
    <row r="530" ht="22.5" customHeight="1">
      <c r="A530" s="53">
        <v>15.0</v>
      </c>
      <c r="B530" s="54" t="s">
        <v>247</v>
      </c>
      <c r="C530" s="55"/>
      <c r="D530" s="54" t="s">
        <v>733</v>
      </c>
      <c r="E530" s="56">
        <v>45959.0</v>
      </c>
      <c r="F530" s="56">
        <v>45938.0</v>
      </c>
      <c r="G530" s="54"/>
      <c r="H530" s="54"/>
      <c r="I530" s="54"/>
      <c r="J530" s="57"/>
      <c r="K530" s="9"/>
      <c r="L530" s="9"/>
      <c r="M530" s="58"/>
      <c r="N530" s="59"/>
    </row>
    <row r="531" ht="22.5" customHeight="1">
      <c r="A531" s="53">
        <v>15.0</v>
      </c>
      <c r="B531" s="54" t="s">
        <v>247</v>
      </c>
      <c r="C531" s="55"/>
      <c r="D531" s="54" t="s">
        <v>734</v>
      </c>
      <c r="E531" s="56">
        <v>45959.0</v>
      </c>
      <c r="F531" s="56">
        <v>45938.0</v>
      </c>
      <c r="G531" s="54"/>
      <c r="H531" s="54"/>
      <c r="I531" s="54"/>
      <c r="J531" s="57"/>
      <c r="K531" s="9"/>
      <c r="L531" s="9"/>
      <c r="M531" s="58"/>
      <c r="N531" s="59"/>
    </row>
    <row r="532" ht="22.5" customHeight="1">
      <c r="A532" s="53">
        <v>15.0</v>
      </c>
      <c r="B532" s="54" t="s">
        <v>247</v>
      </c>
      <c r="C532" s="55"/>
      <c r="D532" s="54" t="s">
        <v>735</v>
      </c>
      <c r="E532" s="56">
        <v>45959.0</v>
      </c>
      <c r="F532" s="56">
        <v>45938.0</v>
      </c>
      <c r="G532" s="54"/>
      <c r="H532" s="54"/>
      <c r="I532" s="54"/>
      <c r="J532" s="57"/>
      <c r="K532" s="9"/>
      <c r="L532" s="9"/>
      <c r="M532" s="58"/>
      <c r="N532" s="59"/>
    </row>
    <row r="533" ht="22.5" customHeight="1">
      <c r="A533" s="53">
        <v>15.0</v>
      </c>
      <c r="B533" s="54" t="s">
        <v>247</v>
      </c>
      <c r="C533" s="55"/>
      <c r="D533" s="54" t="s">
        <v>736</v>
      </c>
      <c r="E533" s="56">
        <v>45959.0</v>
      </c>
      <c r="F533" s="56">
        <v>45938.0</v>
      </c>
      <c r="G533" s="54"/>
      <c r="H533" s="54"/>
      <c r="I533" s="54"/>
      <c r="J533" s="57"/>
      <c r="K533" s="9"/>
      <c r="L533" s="9"/>
      <c r="M533" s="58"/>
      <c r="N533" s="59"/>
    </row>
    <row r="534" ht="22.5" customHeight="1">
      <c r="A534" s="53">
        <v>15.0</v>
      </c>
      <c r="B534" s="54" t="s">
        <v>247</v>
      </c>
      <c r="C534" s="55"/>
      <c r="D534" s="54" t="s">
        <v>737</v>
      </c>
      <c r="E534" s="56">
        <v>45959.0</v>
      </c>
      <c r="F534" s="56">
        <v>45938.0</v>
      </c>
      <c r="G534" s="54"/>
      <c r="H534" s="54"/>
      <c r="I534" s="54"/>
      <c r="J534" s="57"/>
      <c r="K534" s="9"/>
      <c r="L534" s="9"/>
      <c r="M534" s="58"/>
      <c r="N534" s="59"/>
    </row>
    <row r="535" ht="22.5" customHeight="1">
      <c r="A535" s="53">
        <v>15.0</v>
      </c>
      <c r="B535" s="54" t="s">
        <v>247</v>
      </c>
      <c r="C535" s="55"/>
      <c r="D535" s="54" t="s">
        <v>738</v>
      </c>
      <c r="E535" s="56">
        <v>45959.0</v>
      </c>
      <c r="F535" s="56">
        <v>45938.0</v>
      </c>
      <c r="G535" s="54"/>
      <c r="H535" s="54"/>
      <c r="I535" s="54"/>
      <c r="J535" s="57"/>
      <c r="K535" s="9"/>
      <c r="L535" s="9"/>
      <c r="M535" s="58"/>
      <c r="N535" s="59"/>
    </row>
    <row r="536" ht="22.5" customHeight="1">
      <c r="A536" s="53">
        <v>15.0</v>
      </c>
      <c r="B536" s="54" t="s">
        <v>247</v>
      </c>
      <c r="C536" s="55"/>
      <c r="D536" s="54" t="s">
        <v>739</v>
      </c>
      <c r="E536" s="56">
        <v>45959.0</v>
      </c>
      <c r="F536" s="56">
        <v>45938.0</v>
      </c>
      <c r="G536" s="54"/>
      <c r="H536" s="54"/>
      <c r="I536" s="54"/>
      <c r="J536" s="57"/>
      <c r="K536" s="9"/>
      <c r="L536" s="9"/>
      <c r="M536" s="58"/>
      <c r="N536" s="59"/>
    </row>
    <row r="537" ht="22.5" customHeight="1">
      <c r="A537" s="53">
        <v>15.0</v>
      </c>
      <c r="B537" s="54" t="s">
        <v>247</v>
      </c>
      <c r="C537" s="55"/>
      <c r="D537" s="54" t="s">
        <v>740</v>
      </c>
      <c r="E537" s="56">
        <v>45959.0</v>
      </c>
      <c r="F537" s="56">
        <v>45938.0</v>
      </c>
      <c r="G537" s="54"/>
      <c r="H537" s="54"/>
      <c r="I537" s="54"/>
      <c r="J537" s="57"/>
      <c r="K537" s="9"/>
      <c r="L537" s="9"/>
      <c r="M537" s="58"/>
      <c r="N537" s="59"/>
    </row>
    <row r="538" ht="22.5" customHeight="1">
      <c r="A538" s="53">
        <v>15.0</v>
      </c>
      <c r="B538" s="54" t="s">
        <v>247</v>
      </c>
      <c r="C538" s="55"/>
      <c r="D538" s="54" t="s">
        <v>741</v>
      </c>
      <c r="E538" s="56">
        <v>45959.0</v>
      </c>
      <c r="F538" s="56">
        <v>45938.0</v>
      </c>
      <c r="G538" s="54"/>
      <c r="H538" s="54"/>
      <c r="I538" s="54"/>
      <c r="J538" s="57"/>
      <c r="K538" s="9"/>
      <c r="L538" s="9"/>
      <c r="M538" s="58"/>
      <c r="N538" s="59"/>
    </row>
    <row r="539" ht="22.5" customHeight="1">
      <c r="A539" s="53">
        <v>15.0</v>
      </c>
      <c r="B539" s="54" t="s">
        <v>247</v>
      </c>
      <c r="C539" s="55"/>
      <c r="D539" s="54" t="s">
        <v>742</v>
      </c>
      <c r="E539" s="56">
        <v>45959.0</v>
      </c>
      <c r="F539" s="56">
        <v>45938.0</v>
      </c>
      <c r="G539" s="54"/>
      <c r="H539" s="54"/>
      <c r="I539" s="54"/>
      <c r="J539" s="57"/>
      <c r="K539" s="9"/>
      <c r="L539" s="9"/>
      <c r="M539" s="58"/>
      <c r="N539" s="59"/>
    </row>
    <row r="540" ht="22.5" customHeight="1">
      <c r="A540" s="53">
        <v>15.0</v>
      </c>
      <c r="B540" s="54" t="s">
        <v>247</v>
      </c>
      <c r="C540" s="55"/>
      <c r="D540" s="54" t="s">
        <v>743</v>
      </c>
      <c r="E540" s="56">
        <v>45959.0</v>
      </c>
      <c r="F540" s="56">
        <v>45938.0</v>
      </c>
      <c r="G540" s="54"/>
      <c r="H540" s="54"/>
      <c r="I540" s="54"/>
      <c r="J540" s="57"/>
      <c r="K540" s="9"/>
      <c r="L540" s="9"/>
      <c r="M540" s="58"/>
      <c r="N540" s="59"/>
    </row>
    <row r="541" ht="22.5" customHeight="1">
      <c r="A541" s="53">
        <v>15.0</v>
      </c>
      <c r="B541" s="54" t="s">
        <v>247</v>
      </c>
      <c r="C541" s="55"/>
      <c r="D541" s="54" t="s">
        <v>744</v>
      </c>
      <c r="E541" s="56">
        <v>45959.0</v>
      </c>
      <c r="F541" s="56">
        <v>45938.0</v>
      </c>
      <c r="G541" s="54"/>
      <c r="H541" s="54"/>
      <c r="I541" s="54"/>
      <c r="J541" s="57"/>
      <c r="K541" s="9"/>
      <c r="L541" s="9"/>
      <c r="M541" s="58"/>
      <c r="N541" s="59"/>
    </row>
    <row r="542" ht="22.5" customHeight="1">
      <c r="A542" s="53">
        <v>15.0</v>
      </c>
      <c r="B542" s="54" t="s">
        <v>247</v>
      </c>
      <c r="C542" s="55"/>
      <c r="D542" s="54" t="s">
        <v>745</v>
      </c>
      <c r="E542" s="56">
        <v>45959.0</v>
      </c>
      <c r="F542" s="56">
        <v>45938.0</v>
      </c>
      <c r="G542" s="54"/>
      <c r="H542" s="54"/>
      <c r="I542" s="54"/>
      <c r="J542" s="57"/>
      <c r="K542" s="9"/>
      <c r="L542" s="9"/>
      <c r="M542" s="58"/>
      <c r="N542" s="59"/>
    </row>
    <row r="543" ht="22.5" customHeight="1">
      <c r="A543" s="53">
        <v>15.0</v>
      </c>
      <c r="B543" s="54" t="s">
        <v>247</v>
      </c>
      <c r="C543" s="55"/>
      <c r="D543" s="54" t="s">
        <v>746</v>
      </c>
      <c r="E543" s="56">
        <v>45959.0</v>
      </c>
      <c r="F543" s="56">
        <v>45938.0</v>
      </c>
      <c r="G543" s="54"/>
      <c r="H543" s="54"/>
      <c r="I543" s="54"/>
      <c r="J543" s="57"/>
      <c r="K543" s="9"/>
      <c r="L543" s="9"/>
      <c r="M543" s="58"/>
      <c r="N543" s="59"/>
    </row>
    <row r="544" ht="22.5" customHeight="1">
      <c r="A544" s="53">
        <v>15.0</v>
      </c>
      <c r="B544" s="54" t="s">
        <v>247</v>
      </c>
      <c r="C544" s="55"/>
      <c r="D544" s="54" t="s">
        <v>747</v>
      </c>
      <c r="E544" s="56">
        <v>45959.0</v>
      </c>
      <c r="F544" s="56">
        <v>45938.0</v>
      </c>
      <c r="G544" s="54"/>
      <c r="H544" s="54"/>
      <c r="I544" s="54"/>
      <c r="J544" s="57"/>
      <c r="K544" s="9"/>
      <c r="L544" s="9"/>
      <c r="M544" s="58"/>
      <c r="N544" s="59"/>
    </row>
    <row r="545" ht="22.5" customHeight="1">
      <c r="A545" s="53">
        <v>15.0</v>
      </c>
      <c r="B545" s="54" t="s">
        <v>247</v>
      </c>
      <c r="C545" s="55"/>
      <c r="D545" s="54" t="s">
        <v>748</v>
      </c>
      <c r="E545" s="56">
        <v>45959.0</v>
      </c>
      <c r="F545" s="56">
        <v>45938.0</v>
      </c>
      <c r="G545" s="54"/>
      <c r="H545" s="54"/>
      <c r="I545" s="54"/>
      <c r="J545" s="57"/>
      <c r="K545" s="9"/>
      <c r="L545" s="9"/>
      <c r="M545" s="58"/>
      <c r="N545" s="59"/>
    </row>
    <row r="546" ht="22.5" customHeight="1">
      <c r="A546" s="53">
        <v>15.0</v>
      </c>
      <c r="B546" s="54" t="s">
        <v>247</v>
      </c>
      <c r="C546" s="55"/>
      <c r="D546" s="54" t="s">
        <v>749</v>
      </c>
      <c r="E546" s="56">
        <v>45959.0</v>
      </c>
      <c r="F546" s="56">
        <v>45938.0</v>
      </c>
      <c r="G546" s="54"/>
      <c r="H546" s="54"/>
      <c r="I546" s="54"/>
      <c r="J546" s="57"/>
      <c r="K546" s="9"/>
      <c r="L546" s="9"/>
      <c r="M546" s="58"/>
      <c r="N546" s="59"/>
    </row>
    <row r="547" ht="22.5" customHeight="1">
      <c r="A547" s="53">
        <v>15.0</v>
      </c>
      <c r="B547" s="54" t="s">
        <v>247</v>
      </c>
      <c r="C547" s="55"/>
      <c r="D547" s="54" t="s">
        <v>750</v>
      </c>
      <c r="E547" s="56">
        <v>45959.0</v>
      </c>
      <c r="F547" s="56">
        <v>45938.0</v>
      </c>
      <c r="G547" s="54"/>
      <c r="H547" s="54"/>
      <c r="I547" s="54"/>
      <c r="J547" s="57"/>
      <c r="K547" s="9"/>
      <c r="L547" s="9"/>
      <c r="M547" s="58"/>
      <c r="N547" s="59"/>
    </row>
    <row r="548" ht="22.5" customHeight="1">
      <c r="A548" s="53">
        <v>15.0</v>
      </c>
      <c r="B548" s="54" t="s">
        <v>247</v>
      </c>
      <c r="C548" s="55"/>
      <c r="D548" s="54" t="s">
        <v>751</v>
      </c>
      <c r="E548" s="56">
        <v>45959.0</v>
      </c>
      <c r="F548" s="56">
        <v>45938.0</v>
      </c>
      <c r="G548" s="54"/>
      <c r="H548" s="54"/>
      <c r="I548" s="54"/>
      <c r="J548" s="57"/>
      <c r="K548" s="9"/>
      <c r="L548" s="9"/>
      <c r="M548" s="58"/>
      <c r="N548" s="59"/>
    </row>
    <row r="549" ht="22.5" customHeight="1">
      <c r="A549" s="53">
        <v>15.0</v>
      </c>
      <c r="B549" s="54" t="s">
        <v>247</v>
      </c>
      <c r="C549" s="55"/>
      <c r="D549" s="54" t="s">
        <v>752</v>
      </c>
      <c r="E549" s="56">
        <v>45959.0</v>
      </c>
      <c r="F549" s="56">
        <v>45938.0</v>
      </c>
      <c r="G549" s="54"/>
      <c r="H549" s="54"/>
      <c r="I549" s="54"/>
      <c r="J549" s="57"/>
      <c r="K549" s="9"/>
      <c r="L549" s="9"/>
      <c r="M549" s="58"/>
      <c r="N549" s="59"/>
    </row>
    <row r="550" ht="22.5" customHeight="1">
      <c r="A550" s="53">
        <v>15.0</v>
      </c>
      <c r="B550" s="54" t="s">
        <v>247</v>
      </c>
      <c r="C550" s="55"/>
      <c r="D550" s="54" t="s">
        <v>753</v>
      </c>
      <c r="E550" s="56">
        <v>45959.0</v>
      </c>
      <c r="F550" s="56">
        <v>45938.0</v>
      </c>
      <c r="G550" s="54"/>
      <c r="H550" s="54"/>
      <c r="I550" s="54"/>
      <c r="J550" s="57"/>
      <c r="K550" s="9"/>
      <c r="L550" s="9"/>
      <c r="M550" s="58"/>
      <c r="N550" s="59"/>
    </row>
    <row r="551" ht="22.5" customHeight="1">
      <c r="A551" s="53">
        <v>15.0</v>
      </c>
      <c r="B551" s="54" t="s">
        <v>247</v>
      </c>
      <c r="C551" s="55"/>
      <c r="D551" s="54" t="s">
        <v>754</v>
      </c>
      <c r="E551" s="56">
        <v>45959.0</v>
      </c>
      <c r="F551" s="56">
        <v>45938.0</v>
      </c>
      <c r="G551" s="54"/>
      <c r="H551" s="54"/>
      <c r="I551" s="54"/>
      <c r="J551" s="57"/>
      <c r="K551" s="9"/>
      <c r="L551" s="9"/>
      <c r="M551" s="58"/>
      <c r="N551" s="59"/>
    </row>
    <row r="552" ht="22.5" customHeight="1">
      <c r="A552" s="53">
        <v>15.0</v>
      </c>
      <c r="B552" s="54" t="s">
        <v>247</v>
      </c>
      <c r="C552" s="55"/>
      <c r="D552" s="54" t="s">
        <v>755</v>
      </c>
      <c r="E552" s="56">
        <v>45959.0</v>
      </c>
      <c r="F552" s="56">
        <v>45938.0</v>
      </c>
      <c r="G552" s="54"/>
      <c r="H552" s="54"/>
      <c r="I552" s="54"/>
      <c r="J552" s="57"/>
      <c r="K552" s="9"/>
      <c r="L552" s="9"/>
      <c r="M552" s="58"/>
      <c r="N552" s="59"/>
    </row>
    <row r="553" ht="22.5" customHeight="1">
      <c r="A553" s="53">
        <v>15.0</v>
      </c>
      <c r="B553" s="54" t="s">
        <v>247</v>
      </c>
      <c r="C553" s="55"/>
      <c r="D553" s="54" t="s">
        <v>756</v>
      </c>
      <c r="E553" s="56">
        <v>45959.0</v>
      </c>
      <c r="F553" s="56">
        <v>45938.0</v>
      </c>
      <c r="G553" s="54"/>
      <c r="H553" s="54"/>
      <c r="I553" s="54"/>
      <c r="J553" s="57"/>
      <c r="K553" s="9"/>
      <c r="L553" s="9"/>
      <c r="M553" s="58"/>
      <c r="N553" s="59"/>
    </row>
    <row r="554" ht="22.5" customHeight="1">
      <c r="A554" s="53">
        <v>15.0</v>
      </c>
      <c r="B554" s="54" t="s">
        <v>247</v>
      </c>
      <c r="C554" s="55"/>
      <c r="D554" s="54" t="s">
        <v>757</v>
      </c>
      <c r="E554" s="56">
        <v>45959.0</v>
      </c>
      <c r="F554" s="56">
        <v>45938.0</v>
      </c>
      <c r="G554" s="54"/>
      <c r="H554" s="54"/>
      <c r="I554" s="54"/>
      <c r="J554" s="57"/>
      <c r="K554" s="9"/>
      <c r="L554" s="9"/>
      <c r="M554" s="58"/>
      <c r="N554" s="59"/>
    </row>
    <row r="555" ht="22.5" customHeight="1">
      <c r="A555" s="53">
        <v>15.0</v>
      </c>
      <c r="B555" s="54" t="s">
        <v>247</v>
      </c>
      <c r="C555" s="55"/>
      <c r="D555" s="54" t="s">
        <v>758</v>
      </c>
      <c r="E555" s="56">
        <v>45959.0</v>
      </c>
      <c r="F555" s="56">
        <v>45938.0</v>
      </c>
      <c r="G555" s="54"/>
      <c r="H555" s="54"/>
      <c r="I555" s="54"/>
      <c r="J555" s="57"/>
      <c r="K555" s="9"/>
      <c r="L555" s="9"/>
      <c r="M555" s="58"/>
      <c r="N555" s="59"/>
    </row>
    <row r="556" ht="22.5" customHeight="1">
      <c r="A556" s="53">
        <v>15.0</v>
      </c>
      <c r="B556" s="54" t="s">
        <v>247</v>
      </c>
      <c r="C556" s="55"/>
      <c r="D556" s="54" t="s">
        <v>759</v>
      </c>
      <c r="E556" s="56">
        <v>45959.0</v>
      </c>
      <c r="F556" s="56">
        <v>45938.0</v>
      </c>
      <c r="G556" s="54"/>
      <c r="H556" s="54"/>
      <c r="I556" s="54"/>
      <c r="J556" s="57"/>
      <c r="K556" s="9"/>
      <c r="L556" s="9"/>
      <c r="M556" s="58"/>
      <c r="N556" s="59"/>
    </row>
    <row r="557" ht="22.5" customHeight="1">
      <c r="A557" s="53">
        <v>15.0</v>
      </c>
      <c r="B557" s="54" t="s">
        <v>247</v>
      </c>
      <c r="C557" s="55"/>
      <c r="D557" s="54" t="s">
        <v>760</v>
      </c>
      <c r="E557" s="56">
        <v>45959.0</v>
      </c>
      <c r="F557" s="56">
        <v>45938.0</v>
      </c>
      <c r="G557" s="54"/>
      <c r="H557" s="54"/>
      <c r="I557" s="54"/>
      <c r="J557" s="57"/>
      <c r="K557" s="9"/>
      <c r="L557" s="9"/>
      <c r="M557" s="58"/>
      <c r="N557" s="59"/>
    </row>
    <row r="558" ht="22.5" customHeight="1">
      <c r="A558" s="53">
        <v>15.0</v>
      </c>
      <c r="B558" s="54" t="s">
        <v>247</v>
      </c>
      <c r="C558" s="55"/>
      <c r="D558" s="54" t="s">
        <v>761</v>
      </c>
      <c r="E558" s="56">
        <v>45959.0</v>
      </c>
      <c r="F558" s="56">
        <v>45938.0</v>
      </c>
      <c r="G558" s="54"/>
      <c r="H558" s="54"/>
      <c r="I558" s="54"/>
      <c r="J558" s="57"/>
      <c r="K558" s="9"/>
      <c r="L558" s="9"/>
      <c r="M558" s="58"/>
      <c r="N558" s="59"/>
    </row>
    <row r="559" ht="22.5" customHeight="1">
      <c r="A559" s="53">
        <v>15.0</v>
      </c>
      <c r="B559" s="54" t="s">
        <v>247</v>
      </c>
      <c r="C559" s="55"/>
      <c r="D559" s="54" t="s">
        <v>762</v>
      </c>
      <c r="E559" s="56">
        <v>45959.0</v>
      </c>
      <c r="F559" s="56">
        <v>45938.0</v>
      </c>
      <c r="G559" s="54"/>
      <c r="H559" s="54"/>
      <c r="I559" s="54"/>
      <c r="J559" s="57"/>
      <c r="K559" s="9"/>
      <c r="L559" s="9"/>
      <c r="M559" s="58"/>
      <c r="N559" s="59"/>
    </row>
    <row r="560" ht="22.5" customHeight="1">
      <c r="A560" s="53">
        <v>15.0</v>
      </c>
      <c r="B560" s="54" t="s">
        <v>247</v>
      </c>
      <c r="C560" s="55"/>
      <c r="D560" s="54" t="s">
        <v>763</v>
      </c>
      <c r="E560" s="56">
        <v>45959.0</v>
      </c>
      <c r="F560" s="56">
        <v>45938.0</v>
      </c>
      <c r="G560" s="54"/>
      <c r="H560" s="54"/>
      <c r="I560" s="54"/>
      <c r="J560" s="57"/>
      <c r="K560" s="9"/>
      <c r="L560" s="9"/>
      <c r="M560" s="58"/>
      <c r="N560" s="59"/>
    </row>
    <row r="561" ht="22.5" customHeight="1">
      <c r="A561" s="53">
        <v>15.0</v>
      </c>
      <c r="B561" s="54" t="s">
        <v>247</v>
      </c>
      <c r="C561" s="55"/>
      <c r="D561" s="54" t="s">
        <v>764</v>
      </c>
      <c r="E561" s="56">
        <v>45959.0</v>
      </c>
      <c r="F561" s="56">
        <v>45938.0</v>
      </c>
      <c r="G561" s="54"/>
      <c r="H561" s="54"/>
      <c r="I561" s="54"/>
      <c r="J561" s="57"/>
      <c r="K561" s="9"/>
      <c r="L561" s="9"/>
      <c r="M561" s="58"/>
      <c r="N561" s="59"/>
    </row>
    <row r="562" ht="22.5" customHeight="1">
      <c r="A562" s="53">
        <v>15.0</v>
      </c>
      <c r="B562" s="54" t="s">
        <v>247</v>
      </c>
      <c r="C562" s="55"/>
      <c r="D562" s="54" t="s">
        <v>765</v>
      </c>
      <c r="E562" s="56">
        <v>45959.0</v>
      </c>
      <c r="F562" s="56">
        <v>45938.0</v>
      </c>
      <c r="G562" s="54"/>
      <c r="H562" s="54"/>
      <c r="I562" s="54"/>
      <c r="J562" s="57"/>
      <c r="K562" s="9"/>
      <c r="L562" s="9"/>
      <c r="M562" s="58"/>
      <c r="N562" s="59"/>
    </row>
    <row r="563" ht="22.5" customHeight="1">
      <c r="A563" s="53">
        <v>15.0</v>
      </c>
      <c r="B563" s="54" t="s">
        <v>247</v>
      </c>
      <c r="C563" s="55"/>
      <c r="D563" s="54" t="s">
        <v>766</v>
      </c>
      <c r="E563" s="56">
        <v>45959.0</v>
      </c>
      <c r="F563" s="56">
        <v>45938.0</v>
      </c>
      <c r="G563" s="54"/>
      <c r="H563" s="54"/>
      <c r="I563" s="54"/>
      <c r="J563" s="57"/>
      <c r="K563" s="9"/>
      <c r="L563" s="9"/>
      <c r="M563" s="58"/>
      <c r="N563" s="59"/>
    </row>
    <row r="564" ht="22.5" customHeight="1">
      <c r="A564" s="53">
        <v>15.0</v>
      </c>
      <c r="B564" s="54" t="s">
        <v>247</v>
      </c>
      <c r="C564" s="55"/>
      <c r="D564" s="54" t="s">
        <v>767</v>
      </c>
      <c r="E564" s="56">
        <v>45959.0</v>
      </c>
      <c r="F564" s="56">
        <v>45938.0</v>
      </c>
      <c r="G564" s="54"/>
      <c r="H564" s="54"/>
      <c r="I564" s="54"/>
      <c r="J564" s="57"/>
      <c r="K564" s="9"/>
      <c r="L564" s="9"/>
      <c r="M564" s="58"/>
      <c r="N564" s="59"/>
    </row>
    <row r="565" ht="22.5" customHeight="1">
      <c r="A565" s="53">
        <v>15.0</v>
      </c>
      <c r="B565" s="54" t="s">
        <v>247</v>
      </c>
      <c r="C565" s="55"/>
      <c r="D565" s="54" t="s">
        <v>768</v>
      </c>
      <c r="E565" s="56">
        <v>45959.0</v>
      </c>
      <c r="F565" s="56">
        <v>45938.0</v>
      </c>
      <c r="G565" s="54"/>
      <c r="H565" s="54"/>
      <c r="I565" s="54"/>
      <c r="J565" s="57"/>
      <c r="K565" s="9"/>
      <c r="L565" s="9"/>
      <c r="M565" s="58"/>
      <c r="N565" s="59"/>
    </row>
    <row r="566" ht="22.5" customHeight="1">
      <c r="A566" s="53">
        <v>15.0</v>
      </c>
      <c r="B566" s="54" t="s">
        <v>247</v>
      </c>
      <c r="C566" s="55"/>
      <c r="D566" s="54" t="s">
        <v>769</v>
      </c>
      <c r="E566" s="56">
        <v>45959.0</v>
      </c>
      <c r="F566" s="56">
        <v>45938.0</v>
      </c>
      <c r="G566" s="54"/>
      <c r="H566" s="54"/>
      <c r="I566" s="54"/>
      <c r="J566" s="57"/>
      <c r="K566" s="9"/>
      <c r="L566" s="9"/>
      <c r="M566" s="58"/>
      <c r="N566" s="59"/>
    </row>
    <row r="567" ht="22.5" customHeight="1">
      <c r="A567" s="53">
        <v>15.0</v>
      </c>
      <c r="B567" s="54" t="s">
        <v>247</v>
      </c>
      <c r="C567" s="55"/>
      <c r="D567" s="54" t="s">
        <v>770</v>
      </c>
      <c r="E567" s="56">
        <v>45959.0</v>
      </c>
      <c r="F567" s="56">
        <v>45938.0</v>
      </c>
      <c r="G567" s="54"/>
      <c r="H567" s="54"/>
      <c r="I567" s="54"/>
      <c r="J567" s="57"/>
      <c r="K567" s="9"/>
      <c r="L567" s="9"/>
      <c r="M567" s="58"/>
      <c r="N567" s="59"/>
    </row>
    <row r="568" ht="22.5" customHeight="1">
      <c r="A568" s="53">
        <v>15.0</v>
      </c>
      <c r="B568" s="54" t="s">
        <v>247</v>
      </c>
      <c r="C568" s="55"/>
      <c r="D568" s="54" t="s">
        <v>771</v>
      </c>
      <c r="E568" s="56">
        <v>45959.0</v>
      </c>
      <c r="F568" s="56">
        <v>45938.0</v>
      </c>
      <c r="G568" s="54"/>
      <c r="H568" s="54"/>
      <c r="I568" s="54"/>
      <c r="J568" s="57"/>
      <c r="K568" s="9"/>
      <c r="L568" s="9"/>
      <c r="M568" s="58"/>
      <c r="N568" s="59"/>
    </row>
    <row r="569" ht="22.5" customHeight="1">
      <c r="A569" s="53">
        <v>15.0</v>
      </c>
      <c r="B569" s="54" t="s">
        <v>247</v>
      </c>
      <c r="C569" s="55"/>
      <c r="D569" s="54" t="s">
        <v>772</v>
      </c>
      <c r="E569" s="56">
        <v>45959.0</v>
      </c>
      <c r="F569" s="56">
        <v>45938.0</v>
      </c>
      <c r="G569" s="54"/>
      <c r="H569" s="54"/>
      <c r="I569" s="54"/>
      <c r="J569" s="57"/>
      <c r="K569" s="9"/>
      <c r="L569" s="9"/>
      <c r="M569" s="58"/>
      <c r="N569" s="59"/>
    </row>
    <row r="570" ht="22.5" customHeight="1">
      <c r="A570" s="53">
        <v>15.0</v>
      </c>
      <c r="B570" s="54" t="s">
        <v>247</v>
      </c>
      <c r="C570" s="55"/>
      <c r="D570" s="54" t="s">
        <v>773</v>
      </c>
      <c r="E570" s="56">
        <v>45959.0</v>
      </c>
      <c r="F570" s="56">
        <v>45938.0</v>
      </c>
      <c r="G570" s="54"/>
      <c r="H570" s="54"/>
      <c r="I570" s="54"/>
      <c r="J570" s="57"/>
      <c r="K570" s="9"/>
      <c r="L570" s="9"/>
      <c r="M570" s="58"/>
      <c r="N570" s="59"/>
    </row>
    <row r="571" ht="22.5" customHeight="1">
      <c r="A571" s="53">
        <v>15.0</v>
      </c>
      <c r="B571" s="54" t="s">
        <v>247</v>
      </c>
      <c r="C571" s="55"/>
      <c r="D571" s="54" t="s">
        <v>774</v>
      </c>
      <c r="E571" s="56">
        <v>45959.0</v>
      </c>
      <c r="F571" s="56">
        <v>45938.0</v>
      </c>
      <c r="G571" s="54"/>
      <c r="H571" s="54"/>
      <c r="I571" s="54"/>
      <c r="J571" s="57"/>
      <c r="K571" s="9"/>
      <c r="L571" s="9"/>
      <c r="M571" s="58"/>
      <c r="N571" s="59"/>
    </row>
    <row r="572" ht="22.5" customHeight="1">
      <c r="A572" s="53">
        <v>15.0</v>
      </c>
      <c r="B572" s="54" t="s">
        <v>247</v>
      </c>
      <c r="C572" s="55"/>
      <c r="D572" s="54" t="s">
        <v>775</v>
      </c>
      <c r="E572" s="56">
        <v>45959.0</v>
      </c>
      <c r="F572" s="56">
        <v>45938.0</v>
      </c>
      <c r="G572" s="54"/>
      <c r="H572" s="54"/>
      <c r="I572" s="54"/>
      <c r="J572" s="57"/>
      <c r="K572" s="9"/>
      <c r="L572" s="9"/>
      <c r="M572" s="58"/>
      <c r="N572" s="59"/>
    </row>
    <row r="573" ht="22.5" customHeight="1">
      <c r="A573" s="53">
        <v>15.0</v>
      </c>
      <c r="B573" s="54" t="s">
        <v>247</v>
      </c>
      <c r="C573" s="55"/>
      <c r="D573" s="54" t="s">
        <v>776</v>
      </c>
      <c r="E573" s="56">
        <v>45959.0</v>
      </c>
      <c r="F573" s="56">
        <v>45938.0</v>
      </c>
      <c r="G573" s="54"/>
      <c r="H573" s="54"/>
      <c r="I573" s="54"/>
      <c r="J573" s="57"/>
      <c r="K573" s="9"/>
      <c r="L573" s="9"/>
      <c r="M573" s="58"/>
      <c r="N573" s="59"/>
    </row>
    <row r="574" ht="22.5" customHeight="1">
      <c r="A574" s="53">
        <v>15.0</v>
      </c>
      <c r="B574" s="54" t="s">
        <v>247</v>
      </c>
      <c r="C574" s="55"/>
      <c r="D574" s="54" t="s">
        <v>777</v>
      </c>
      <c r="E574" s="56">
        <v>45959.0</v>
      </c>
      <c r="F574" s="56">
        <v>45938.0</v>
      </c>
      <c r="G574" s="54"/>
      <c r="H574" s="54"/>
      <c r="I574" s="54"/>
      <c r="J574" s="57"/>
      <c r="K574" s="9"/>
      <c r="L574" s="9"/>
      <c r="M574" s="58"/>
      <c r="N574" s="59"/>
    </row>
    <row r="575" ht="22.5" customHeight="1">
      <c r="A575" s="53">
        <v>15.0</v>
      </c>
      <c r="B575" s="54" t="s">
        <v>247</v>
      </c>
      <c r="C575" s="55"/>
      <c r="D575" s="54" t="s">
        <v>778</v>
      </c>
      <c r="E575" s="56">
        <v>45959.0</v>
      </c>
      <c r="F575" s="56">
        <v>45938.0</v>
      </c>
      <c r="G575" s="54"/>
      <c r="H575" s="54"/>
      <c r="I575" s="54"/>
      <c r="J575" s="57"/>
      <c r="K575" s="9"/>
      <c r="L575" s="9"/>
      <c r="M575" s="58"/>
      <c r="N575" s="59"/>
    </row>
    <row r="576" ht="22.5" customHeight="1">
      <c r="A576" s="53">
        <v>15.0</v>
      </c>
      <c r="B576" s="54" t="s">
        <v>247</v>
      </c>
      <c r="C576" s="55"/>
      <c r="D576" s="54" t="s">
        <v>779</v>
      </c>
      <c r="E576" s="56">
        <v>45959.0</v>
      </c>
      <c r="F576" s="56">
        <v>45938.0</v>
      </c>
      <c r="G576" s="54"/>
      <c r="H576" s="54"/>
      <c r="I576" s="54"/>
      <c r="J576" s="57"/>
      <c r="K576" s="9"/>
      <c r="L576" s="9"/>
      <c r="M576" s="58"/>
      <c r="N576" s="59"/>
    </row>
    <row r="577" ht="22.5" customHeight="1">
      <c r="A577" s="53"/>
      <c r="B577" s="54"/>
      <c r="C577" s="55"/>
      <c r="D577" s="54"/>
      <c r="E577" s="56"/>
      <c r="F577" s="56"/>
      <c r="G577" s="54" t="b">
        <v>0</v>
      </c>
      <c r="H577" s="54" t="b">
        <v>0</v>
      </c>
      <c r="I577" s="54" t="b">
        <v>0</v>
      </c>
      <c r="J577" s="57"/>
      <c r="K577" s="9"/>
      <c r="L577" s="9"/>
      <c r="M577" s="58"/>
      <c r="N577" s="59"/>
    </row>
    <row r="578" ht="22.5" customHeight="1">
      <c r="A578" s="53"/>
      <c r="B578" s="54"/>
      <c r="C578" s="55"/>
      <c r="D578" s="54"/>
      <c r="E578" s="56"/>
      <c r="F578" s="56"/>
      <c r="G578" s="54" t="b">
        <v>0</v>
      </c>
      <c r="H578" s="54" t="b">
        <v>0</v>
      </c>
      <c r="I578" s="54" t="b">
        <v>0</v>
      </c>
      <c r="J578" s="57"/>
      <c r="K578" s="9"/>
      <c r="L578" s="9"/>
      <c r="M578" s="58"/>
      <c r="N578" s="59"/>
    </row>
  </sheetData>
  <conditionalFormatting sqref="A1:D578">
    <cfRule type="containsText" dxfId="4" priority="1" operator="containsText" text="JEANS LEVIS">
      <formula>NOT(ISERROR(SEARCH(("JEANS LEVIS"),(A1))))</formula>
    </cfRule>
  </conditionalFormatting>
  <conditionalFormatting sqref="A1:D578">
    <cfRule type="containsText" dxfId="5" priority="2" operator="containsText" text="JACKET">
      <formula>NOT(ISERROR(SEARCH(("JACKET"),(A1))))</formula>
    </cfRule>
  </conditionalFormatting>
  <conditionalFormatting sqref="A1:D578">
    <cfRule type="containsText" dxfId="6" priority="3" operator="containsText" text="VÊTEMENTS DIVERSES">
      <formula>NOT(ISERROR(SEARCH(("VÊTEMENTS DIVERSES"),(A1))))</formula>
    </cfRule>
  </conditionalFormatting>
  <conditionalFormatting sqref="A1:D578">
    <cfRule type="containsText" dxfId="7" priority="4" operator="containsText" text="POLAIRE COLUMBIA">
      <formula>NOT(ISERROR(SEARCH(("POLAIRE COLUMBIA"),(A1))))</formula>
    </cfRule>
  </conditionalFormatting>
  <conditionalFormatting sqref="A1:D578">
    <cfRule type="containsText" dxfId="8" priority="5" operator="containsText" text="POLAIRE THE NORTH FACE">
      <formula>NOT(ISERROR(SEARCH(("POLAIRE THE NORTH FACE"),(A1))))</formula>
    </cfRule>
  </conditionalFormatting>
  <conditionalFormatting sqref="A1:D578">
    <cfRule type="containsText" dxfId="9" priority="6" operator="containsText" text="PULL TOMMY">
      <formula>NOT(ISERROR(SEARCH(("PULL TOMMY"),(A1))))</formula>
    </cfRule>
  </conditionalFormatting>
  <conditionalFormatting sqref="A1:D578">
    <cfRule type="containsText" dxfId="10" priority="7" operator="containsText" text="VÊTEMENTS PERSO">
      <formula>NOT(ISERROR(SEARCH(("VÊTEMENTS PERSO"),(A1))))</formula>
    </cfRule>
  </conditionalFormatting>
  <conditionalFormatting sqref="A1:D578">
    <cfRule type="containsText" dxfId="4" priority="8" operator="containsText" text="JLF">
      <formula>NOT(ISERROR(SEARCH(("JLF"),(A1))))</formula>
    </cfRule>
  </conditionalFormatting>
  <conditionalFormatting sqref="A1:D578">
    <cfRule type="containsText" dxfId="5" priority="9" operator="containsText" text="JMHF">
      <formula>NOT(ISERROR(SEARCH(("JMHF"),(A1))))</formula>
    </cfRule>
  </conditionalFormatting>
  <conditionalFormatting sqref="A1:D578">
    <cfRule type="containsText" dxfId="6" priority="10" operator="containsText" text="VDHF">
      <formula>NOT(ISERROR(SEARCH(("VDHF"),(A1))))</formula>
    </cfRule>
  </conditionalFormatting>
  <conditionalFormatting sqref="A1:D578">
    <cfRule type="containsText" dxfId="7" priority="11" operator="containsText" text="POLAIRE COLUMBIA">
      <formula>NOT(ISERROR(SEARCH(("POLAIRE COLUMBIA"),(A1))))</formula>
    </cfRule>
  </conditionalFormatting>
  <conditionalFormatting sqref="A1:D578">
    <cfRule type="containsText" dxfId="7" priority="12" operator="containsText" text="PCF">
      <formula>NOT(ISERROR(SEARCH(("PCF"),(A1))))</formula>
    </cfRule>
  </conditionalFormatting>
  <conditionalFormatting sqref="A1:D578">
    <cfRule type="containsText" dxfId="8" priority="13" operator="containsText" text="PTNFF">
      <formula>NOT(ISERROR(SEARCH(("PTNFF"),(A1))))</formula>
    </cfRule>
  </conditionalFormatting>
  <conditionalFormatting sqref="A1:D578">
    <cfRule type="containsText" dxfId="9" priority="14" operator="containsText" text="PTHF">
      <formula>NOT(ISERROR(SEARCH(("PTHF"),(A1))))</formula>
    </cfRule>
  </conditionalFormatting>
  <conditionalFormatting sqref="A1:D578">
    <cfRule type="containsText" dxfId="10" priority="15" operator="containsText" text="VPHB">
      <formula>NOT(ISERROR(SEARCH(("VPHB"),(A1))))</formula>
    </cfRule>
  </conditionalFormatting>
  <conditionalFormatting sqref="A1:D578">
    <cfRule type="containsText" dxfId="5" priority="16" operator="containsText" text="JMB">
      <formula>NOT(ISERROR(SEARCH(("JMB"),(A1))))</formula>
    </cfRule>
  </conditionalFormatting>
  <conditionalFormatting sqref="A1:D578">
    <cfRule type="containsText" dxfId="8" priority="17" operator="containsText" text="TNF">
      <formula>NOT(ISERROR(SEARCH(("TNF"),(A1))))</formula>
    </cfRule>
  </conditionalFormatting>
  <conditionalFormatting sqref="A1:D578">
    <cfRule type="containsText" dxfId="9" priority="18" operator="containsText" text="PTHF">
      <formula>NOT(ISERROR(SEARCH(("PTHF"),(A1))))</formula>
    </cfRule>
  </conditionalFormatting>
  <conditionalFormatting sqref="A1:D578">
    <cfRule type="containsText" dxfId="9" priority="19" operator="containsText" text="PTF">
      <formula>NOT(ISERROR(SEARCH(("PTF"),(A1))))</formula>
    </cfRule>
  </conditionalFormatting>
  <dataValidations>
    <dataValidation type="list" allowBlank="1" showErrorMessage="1" sqref="L2:L578">
      <formula1>Frais!$C$1:$G$1</formula1>
    </dataValidation>
    <dataValidation type="list" allowBlank="1" showErrorMessage="1" sqref="K2:K578">
      <formula1>Frais!$A$2:$A$4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2.5"/>
    <col customWidth="1" min="3" max="3" width="13.25"/>
    <col customWidth="1" hidden="1" min="4" max="4" width="27.5"/>
    <col customWidth="1" hidden="1" min="5" max="5" width="13.25"/>
  </cols>
  <sheetData>
    <row r="1" ht="22.5" customHeight="1">
      <c r="A1" s="60" t="s">
        <v>780</v>
      </c>
      <c r="B1" s="60" t="s">
        <v>781</v>
      </c>
      <c r="C1" s="61" t="s">
        <v>782</v>
      </c>
      <c r="D1" s="62" t="s">
        <v>783</v>
      </c>
      <c r="E1" s="60" t="s">
        <v>784</v>
      </c>
    </row>
    <row r="2">
      <c r="A2" s="63" t="s">
        <v>785</v>
      </c>
      <c r="B2" s="64" t="str">
        <f>IF($A2="","","En stock : "&amp;
  IF($A2="TOUTES",
     COUNTIF(Stock!$D:$D,"*-*"),
     COUNTIF(Stock!$D:$D,$A2&amp;"-*")
  )&amp;
" pièces")
</f>
        <v>En stock : 30 pièces</v>
      </c>
      <c r="C2" s="65">
        <f>IF($A2="","",IF(
  $A2="TOUTES",
  SUMPRODUCT(
    (Stock!$D$2:$D1000&lt;&gt;"") *
    IFERROR(VLOOKUP(Stock!$A$2:$A1000,Achats!$A$2:$T1000,20,FALSE),0)
  ),
  COUNTIF(Stock!$D:$D,$A2&amp;"-*") *
  IFERROR(VLOOKUP($A2,Achats!$G:$T,14,FALSE),0)
))
</f>
        <v>121.0714286</v>
      </c>
      <c r="D2" s="66">
        <f>C2*2</f>
        <v>242.1428571</v>
      </c>
      <c r="E2" s="59" t="str">
        <f>IFERROR(__xludf.DUMMYFUNCTION("SORT(
  UNIQUE(
    FILTER(
      Achats!$G$2:$G1000,
      Achats!$G$2:$G1000&lt;&gt;""""
    )
  )
)
"),"JCRF")</f>
        <v>JCRF</v>
      </c>
    </row>
    <row r="3">
      <c r="B3" s="67" t="str">
        <f>IF($A2="","","Vendues : "&amp;
  IF($A2="TOUTES",
     COUNTIF(Ventes!$D:$D,"*-*"),
     COUNTIF(Ventes!$D:$D,$A2&amp;"-*")
  )&amp;
" pièces")
</f>
        <v>Vendues : 26 pièces</v>
      </c>
      <c r="C3" s="65">
        <f>IF($A2="","",IF($A2="TOUTES",
   SUMIF(Ventes!$D:$D,"*-*",Ventes!$F:$F),
   SUMIF(Ventes!$D:$D,$A2&amp;"-*",Ventes!$F:$F)
))
</f>
        <v>331.3</v>
      </c>
      <c r="D3" s="66"/>
      <c r="E3" s="59" t="str">
        <f>IFERROR(__xludf.DUMMYFUNCTION("""COMPUTED_VALUE"""),"JLF")</f>
        <v>JLF</v>
      </c>
    </row>
    <row r="4">
      <c r="A4" s="68"/>
      <c r="B4" s="69"/>
      <c r="C4" s="70"/>
      <c r="D4" s="59"/>
      <c r="E4" s="59" t="str">
        <f>IFERROR(__xludf.DUMMYFUNCTION("""COMPUTED_VALUE"""),"JLFK")</f>
        <v>JLFK</v>
      </c>
    </row>
    <row r="5">
      <c r="B5" s="71"/>
      <c r="C5" s="59"/>
      <c r="D5" s="59"/>
      <c r="E5" s="59" t="str">
        <f>IFERROR(__xludf.DUMMYFUNCTION("""COMPUTED_VALUE"""),"JMHF")</f>
        <v>JMHF</v>
      </c>
    </row>
    <row r="6">
      <c r="A6" s="59"/>
      <c r="B6" s="59"/>
      <c r="C6" s="59"/>
      <c r="D6" s="59"/>
      <c r="E6" s="59" t="str">
        <f>IFERROR(__xludf.DUMMYFUNCTION("""COMPUTED_VALUE"""),"PCF")</f>
        <v>PCF</v>
      </c>
    </row>
    <row r="7">
      <c r="A7" s="59"/>
      <c r="B7" s="59"/>
      <c r="C7" s="59"/>
      <c r="D7" s="59"/>
      <c r="E7" s="59" t="str">
        <f>IFERROR(__xludf.DUMMYFUNCTION("""COMPUTED_VALUE"""),"PTHF")</f>
        <v>PTHF</v>
      </c>
    </row>
    <row r="8">
      <c r="A8" s="59"/>
      <c r="B8" s="59"/>
      <c r="C8" s="59"/>
      <c r="D8" s="59"/>
      <c r="E8" s="59" t="str">
        <f>IFERROR(__xludf.DUMMYFUNCTION("""COMPUTED_VALUE"""),"PTNFF")</f>
        <v>PTNFF</v>
      </c>
    </row>
    <row r="9">
      <c r="A9" s="59"/>
      <c r="B9" s="59"/>
      <c r="C9" s="59"/>
      <c r="D9" s="59"/>
      <c r="E9" s="59" t="str">
        <f>IFERROR(__xludf.DUMMYFUNCTION("""COMPUTED_VALUE"""),"SMHF")</f>
        <v>SMHF</v>
      </c>
    </row>
    <row r="10">
      <c r="A10" s="59"/>
      <c r="B10" s="59"/>
      <c r="C10" s="59"/>
      <c r="D10" s="59"/>
      <c r="E10" s="59" t="str">
        <f>IFERROR(__xludf.DUMMYFUNCTION("""COMPUTED_VALUE"""),"VMWNHF")</f>
        <v>VMWNHF</v>
      </c>
    </row>
    <row r="11">
      <c r="A11" s="59"/>
      <c r="B11" s="59"/>
      <c r="C11" s="59"/>
      <c r="D11" s="59"/>
      <c r="E11" s="72" t="str">
        <f>IFERROR(__xludf.DUMMYFUNCTION("""COMPUTED_VALUE"""),"VPHB")</f>
        <v>VPHB</v>
      </c>
    </row>
    <row r="12">
      <c r="A12" s="59"/>
      <c r="B12" s="59"/>
      <c r="C12" s="59"/>
      <c r="D12" s="59"/>
      <c r="E12" s="72" t="str">
        <f>IFERROR(__xludf.DUMMYFUNCTION("""COMPUTED_VALUE"""),"VTHF")</f>
        <v>VTHF</v>
      </c>
    </row>
    <row r="13">
      <c r="A13" s="59"/>
      <c r="B13" s="59"/>
      <c r="C13" s="59"/>
      <c r="D13" s="59"/>
      <c r="E13" s="59" t="s">
        <v>786</v>
      </c>
    </row>
    <row r="14">
      <c r="A14" s="59"/>
      <c r="B14" s="59"/>
      <c r="C14" s="59"/>
      <c r="D14" s="59"/>
      <c r="E14" s="59"/>
    </row>
    <row r="15">
      <c r="A15" s="59"/>
      <c r="B15" s="59"/>
      <c r="C15" s="59"/>
      <c r="D15" s="59"/>
      <c r="E15" s="59"/>
    </row>
    <row r="16">
      <c r="A16" s="59"/>
      <c r="B16" s="59"/>
      <c r="C16" s="59"/>
      <c r="D16" s="59"/>
      <c r="E16" s="59"/>
    </row>
    <row r="17">
      <c r="A17" s="59"/>
      <c r="B17" s="73"/>
      <c r="C17" s="59"/>
      <c r="D17" s="59"/>
      <c r="E17" s="59"/>
    </row>
    <row r="18">
      <c r="A18" s="59"/>
      <c r="B18" s="59"/>
      <c r="C18" s="59"/>
      <c r="D18" s="59"/>
      <c r="E18" s="59"/>
    </row>
    <row r="19">
      <c r="A19" s="59"/>
      <c r="B19" s="59"/>
      <c r="C19" s="59"/>
      <c r="D19" s="59"/>
      <c r="E19" s="59"/>
    </row>
    <row r="20">
      <c r="A20" s="59"/>
      <c r="B20" s="59"/>
      <c r="C20" s="59"/>
      <c r="D20" s="59"/>
      <c r="E20" s="59"/>
    </row>
    <row r="21">
      <c r="A21" s="59"/>
      <c r="B21" s="59"/>
      <c r="C21" s="59"/>
      <c r="D21" s="59"/>
      <c r="E21" s="59"/>
    </row>
    <row r="22">
      <c r="A22" s="59"/>
      <c r="B22" s="59"/>
      <c r="C22" s="59"/>
      <c r="D22" s="59"/>
      <c r="E22" s="59"/>
    </row>
    <row r="23">
      <c r="A23" s="59"/>
      <c r="B23" s="59"/>
      <c r="C23" s="59"/>
      <c r="D23" s="59"/>
      <c r="E23" s="59"/>
    </row>
    <row r="24">
      <c r="A24" s="59"/>
      <c r="B24" s="59"/>
      <c r="C24" s="59"/>
      <c r="D24" s="59"/>
      <c r="E24" s="59"/>
    </row>
    <row r="25">
      <c r="A25" s="59"/>
      <c r="B25" s="59"/>
      <c r="C25" s="59"/>
      <c r="D25" s="59"/>
      <c r="E25" s="59"/>
    </row>
    <row r="26">
      <c r="A26" s="59"/>
      <c r="B26" s="59"/>
      <c r="C26" s="59"/>
      <c r="D26" s="59"/>
      <c r="E26" s="59"/>
    </row>
    <row r="27">
      <c r="A27" s="59"/>
      <c r="B27" s="59"/>
      <c r="C27" s="59"/>
      <c r="D27" s="59"/>
      <c r="E27" s="59"/>
    </row>
    <row r="28">
      <c r="A28" s="59"/>
      <c r="B28" s="59"/>
      <c r="C28" s="59"/>
      <c r="D28" s="59"/>
      <c r="E28" s="59"/>
    </row>
    <row r="29">
      <c r="A29" s="59"/>
      <c r="B29" s="59"/>
      <c r="C29" s="59"/>
      <c r="D29" s="59"/>
      <c r="E29" s="59"/>
    </row>
    <row r="30">
      <c r="A30" s="59"/>
      <c r="B30" s="59"/>
      <c r="C30" s="59"/>
      <c r="D30" s="59"/>
      <c r="E30" s="59"/>
    </row>
    <row r="31">
      <c r="A31" s="59"/>
      <c r="B31" s="59"/>
      <c r="C31" s="59"/>
      <c r="D31" s="59"/>
      <c r="E31" s="59"/>
    </row>
    <row r="32">
      <c r="A32" s="59"/>
      <c r="B32" s="59"/>
      <c r="C32" s="59"/>
      <c r="D32" s="59"/>
      <c r="E32" s="59"/>
    </row>
    <row r="33">
      <c r="A33" s="59"/>
      <c r="B33" s="59"/>
      <c r="C33" s="59"/>
      <c r="D33" s="59"/>
      <c r="E33" s="59"/>
    </row>
    <row r="34">
      <c r="A34" s="59"/>
      <c r="B34" s="59"/>
      <c r="C34" s="59"/>
      <c r="D34" s="59"/>
      <c r="E34" s="59"/>
    </row>
    <row r="35">
      <c r="A35" s="59"/>
      <c r="B35" s="59"/>
      <c r="C35" s="59"/>
      <c r="D35" s="59"/>
      <c r="E35" s="59"/>
    </row>
    <row r="36">
      <c r="A36" s="59"/>
      <c r="B36" s="59"/>
      <c r="C36" s="59"/>
      <c r="D36" s="59"/>
      <c r="E36" s="59"/>
    </row>
    <row r="37">
      <c r="A37" s="59"/>
      <c r="B37" s="59"/>
      <c r="C37" s="59"/>
      <c r="D37" s="59"/>
      <c r="E37" s="59"/>
    </row>
    <row r="38">
      <c r="A38" s="59"/>
      <c r="B38" s="59"/>
      <c r="C38" s="59"/>
      <c r="D38" s="59"/>
      <c r="E38" s="59"/>
    </row>
    <row r="39">
      <c r="A39" s="59"/>
      <c r="B39" s="59"/>
      <c r="C39" s="59"/>
      <c r="D39" s="59"/>
      <c r="E39" s="59"/>
    </row>
    <row r="40">
      <c r="A40" s="59"/>
      <c r="B40" s="59"/>
      <c r="C40" s="59"/>
      <c r="D40" s="59"/>
      <c r="E40" s="59"/>
    </row>
    <row r="41">
      <c r="A41" s="59"/>
      <c r="B41" s="59"/>
      <c r="C41" s="59"/>
      <c r="D41" s="59"/>
      <c r="E41" s="59"/>
    </row>
    <row r="42">
      <c r="A42" s="59"/>
      <c r="B42" s="59"/>
      <c r="C42" s="59"/>
      <c r="D42" s="59"/>
      <c r="E42" s="59"/>
    </row>
    <row r="43">
      <c r="A43" s="59"/>
      <c r="B43" s="59"/>
      <c r="C43" s="59"/>
      <c r="D43" s="59"/>
      <c r="E43" s="59"/>
    </row>
    <row r="44">
      <c r="A44" s="59"/>
      <c r="B44" s="59"/>
      <c r="C44" s="59"/>
      <c r="D44" s="59"/>
      <c r="E44" s="59"/>
    </row>
    <row r="45">
      <c r="A45" s="59"/>
      <c r="B45" s="59"/>
      <c r="C45" s="59"/>
      <c r="D45" s="59"/>
      <c r="E45" s="59"/>
    </row>
    <row r="46">
      <c r="A46" s="59"/>
      <c r="B46" s="59"/>
      <c r="C46" s="59"/>
      <c r="D46" s="59"/>
      <c r="E46" s="59"/>
    </row>
    <row r="47">
      <c r="A47" s="59"/>
      <c r="B47" s="59"/>
      <c r="C47" s="59"/>
      <c r="D47" s="59"/>
      <c r="E47" s="59"/>
    </row>
    <row r="48">
      <c r="A48" s="59"/>
      <c r="B48" s="59"/>
      <c r="C48" s="59"/>
      <c r="D48" s="59"/>
      <c r="E48" s="59"/>
    </row>
    <row r="49">
      <c r="A49" s="59"/>
      <c r="B49" s="59"/>
      <c r="C49" s="59"/>
      <c r="D49" s="59"/>
      <c r="E49" s="59"/>
    </row>
    <row r="50">
      <c r="A50" s="59"/>
      <c r="B50" s="59"/>
      <c r="C50" s="59"/>
      <c r="D50" s="59"/>
      <c r="E50" s="59"/>
    </row>
    <row r="51">
      <c r="A51" s="59"/>
      <c r="B51" s="59"/>
      <c r="C51" s="59"/>
      <c r="D51" s="59"/>
      <c r="E51" s="59"/>
    </row>
    <row r="52">
      <c r="A52" s="59"/>
      <c r="B52" s="59"/>
      <c r="C52" s="59"/>
      <c r="D52" s="59"/>
      <c r="E52" s="59"/>
    </row>
    <row r="53">
      <c r="A53" s="59"/>
      <c r="B53" s="59"/>
      <c r="C53" s="59"/>
      <c r="D53" s="59"/>
      <c r="E53" s="59"/>
    </row>
    <row r="54">
      <c r="A54" s="59"/>
      <c r="B54" s="59"/>
      <c r="C54" s="59"/>
      <c r="D54" s="59"/>
      <c r="E54" s="59"/>
    </row>
    <row r="55">
      <c r="A55" s="59"/>
      <c r="B55" s="59"/>
      <c r="C55" s="59"/>
      <c r="D55" s="59"/>
      <c r="E55" s="59"/>
    </row>
    <row r="56">
      <c r="A56" s="59"/>
      <c r="B56" s="59"/>
      <c r="C56" s="59"/>
      <c r="D56" s="59"/>
      <c r="E56" s="59"/>
    </row>
    <row r="57">
      <c r="A57" s="59"/>
      <c r="B57" s="59"/>
      <c r="C57" s="59"/>
      <c r="D57" s="59"/>
      <c r="E57" s="59"/>
    </row>
    <row r="58">
      <c r="A58" s="59"/>
      <c r="B58" s="59"/>
      <c r="C58" s="59"/>
      <c r="D58" s="59"/>
      <c r="E58" s="59"/>
    </row>
    <row r="59">
      <c r="A59" s="59"/>
      <c r="B59" s="59"/>
      <c r="C59" s="59"/>
      <c r="D59" s="59"/>
      <c r="E59" s="59"/>
    </row>
    <row r="60">
      <c r="A60" s="59"/>
      <c r="B60" s="59"/>
      <c r="C60" s="59"/>
      <c r="D60" s="59"/>
      <c r="E60" s="59"/>
    </row>
    <row r="61">
      <c r="A61" s="59"/>
      <c r="B61" s="59"/>
      <c r="C61" s="59"/>
      <c r="D61" s="59"/>
      <c r="E61" s="59"/>
    </row>
    <row r="62">
      <c r="A62" s="59"/>
      <c r="B62" s="59"/>
      <c r="C62" s="59"/>
      <c r="D62" s="59"/>
      <c r="E62" s="59"/>
    </row>
    <row r="63">
      <c r="A63" s="59"/>
      <c r="B63" s="59"/>
      <c r="C63" s="59"/>
      <c r="D63" s="59"/>
      <c r="E63" s="59"/>
    </row>
    <row r="64">
      <c r="A64" s="59"/>
      <c r="B64" s="59"/>
      <c r="C64" s="59"/>
      <c r="D64" s="59"/>
      <c r="E64" s="59"/>
    </row>
  </sheetData>
  <mergeCells count="2">
    <mergeCell ref="A2:A3"/>
    <mergeCell ref="A4:A5"/>
  </mergeCells>
  <dataValidations>
    <dataValidation type="list" allowBlank="1" showErrorMessage="1" sqref="A2">
      <formula1>'Suivi stockvaleurs'!$E$3:$E$13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5.25"/>
    <col customWidth="1" min="3" max="3" width="33.38"/>
    <col customWidth="1" min="4" max="4" width="11.88"/>
    <col customWidth="1" min="5" max="5" width="15.25"/>
    <col customWidth="1" min="6" max="6" width="13.88"/>
    <col customWidth="1" min="7" max="7" width="23.25"/>
    <col customWidth="1" min="8" max="8" width="22.5"/>
    <col customWidth="1" min="9" max="9" width="19.13"/>
    <col customWidth="1" min="10" max="10" width="15.75"/>
  </cols>
  <sheetData>
    <row r="1" ht="22.5" customHeight="1">
      <c r="A1" s="74" t="s">
        <v>0</v>
      </c>
      <c r="B1" s="74" t="s">
        <v>787</v>
      </c>
      <c r="C1" s="75" t="s">
        <v>788</v>
      </c>
      <c r="D1" s="74" t="s">
        <v>59</v>
      </c>
      <c r="E1" s="76" t="s">
        <v>789</v>
      </c>
      <c r="F1" s="77" t="s">
        <v>790</v>
      </c>
      <c r="G1" s="74" t="s">
        <v>791</v>
      </c>
      <c r="H1" s="74" t="s">
        <v>792</v>
      </c>
      <c r="I1" s="74" t="s">
        <v>793</v>
      </c>
      <c r="J1" s="74" t="s">
        <v>794</v>
      </c>
      <c r="K1" s="74" t="s">
        <v>795</v>
      </c>
      <c r="L1" s="78" t="s">
        <v>796</v>
      </c>
    </row>
    <row r="2" ht="22.5" customHeight="1">
      <c r="A2" s="79">
        <v>15.0</v>
      </c>
      <c r="B2" s="80">
        <v>45969.0</v>
      </c>
      <c r="C2" s="81" t="s">
        <v>247</v>
      </c>
      <c r="D2" s="81" t="s">
        <v>607</v>
      </c>
      <c r="E2" s="82">
        <v>0.11</v>
      </c>
      <c r="F2" s="82">
        <v>17.5</v>
      </c>
      <c r="G2" s="79">
        <v>0.0</v>
      </c>
      <c r="H2" s="79">
        <v>0.0</v>
      </c>
      <c r="I2" s="79">
        <v>0.0</v>
      </c>
      <c r="J2" s="79">
        <v>2.0</v>
      </c>
      <c r="K2" s="83"/>
      <c r="L2" s="54"/>
    </row>
    <row r="3" ht="22.5" customHeight="1">
      <c r="A3" s="79">
        <v>15.0</v>
      </c>
      <c r="B3" s="80">
        <v>45969.0</v>
      </c>
      <c r="C3" s="81" t="s">
        <v>247</v>
      </c>
      <c r="D3" s="81" t="s">
        <v>310</v>
      </c>
      <c r="E3" s="82">
        <v>0.11</v>
      </c>
      <c r="F3" s="82">
        <v>15.0</v>
      </c>
      <c r="G3" s="79">
        <v>0.0</v>
      </c>
      <c r="H3" s="79">
        <v>0.0</v>
      </c>
      <c r="I3" s="79">
        <v>0.0</v>
      </c>
      <c r="J3" s="79">
        <v>22.0</v>
      </c>
      <c r="K3" s="83"/>
      <c r="L3" s="54"/>
    </row>
    <row r="4" ht="22.5" customHeight="1">
      <c r="A4" s="79">
        <v>15.0</v>
      </c>
      <c r="B4" s="80">
        <v>45969.0</v>
      </c>
      <c r="C4" s="81" t="s">
        <v>247</v>
      </c>
      <c r="D4" s="81" t="s">
        <v>590</v>
      </c>
      <c r="E4" s="82">
        <v>0.11</v>
      </c>
      <c r="F4" s="82">
        <v>20.0</v>
      </c>
      <c r="G4" s="79">
        <v>0.0</v>
      </c>
      <c r="H4" s="79">
        <v>0.0</v>
      </c>
      <c r="I4" s="79">
        <v>0.0</v>
      </c>
      <c r="J4" s="79">
        <v>3.0</v>
      </c>
      <c r="K4" s="83"/>
      <c r="L4" s="54"/>
    </row>
    <row r="5" ht="22.5" customHeight="1">
      <c r="A5" s="79">
        <v>15.0</v>
      </c>
      <c r="B5" s="80">
        <v>45969.0</v>
      </c>
      <c r="C5" s="81" t="s">
        <v>247</v>
      </c>
      <c r="D5" s="81" t="s">
        <v>598</v>
      </c>
      <c r="E5" s="82">
        <v>0.11</v>
      </c>
      <c r="F5" s="82">
        <v>14.4</v>
      </c>
      <c r="G5" s="79">
        <v>0.0</v>
      </c>
      <c r="H5" s="79">
        <v>0.0</v>
      </c>
      <c r="I5" s="79">
        <v>0.0</v>
      </c>
      <c r="J5" s="79">
        <v>2.0</v>
      </c>
      <c r="K5" s="83"/>
      <c r="L5" s="54"/>
    </row>
    <row r="6" ht="22.5" customHeight="1">
      <c r="A6" s="79">
        <v>15.0</v>
      </c>
      <c r="B6" s="80">
        <v>45969.0</v>
      </c>
      <c r="C6" s="81" t="s">
        <v>247</v>
      </c>
      <c r="D6" s="81" t="s">
        <v>602</v>
      </c>
      <c r="E6" s="82">
        <v>0.11</v>
      </c>
      <c r="F6" s="82">
        <v>18.0</v>
      </c>
      <c r="G6" s="79">
        <v>0.0</v>
      </c>
      <c r="H6" s="79">
        <v>0.0</v>
      </c>
      <c r="I6" s="79">
        <v>0.0</v>
      </c>
      <c r="J6" s="79">
        <v>2.0</v>
      </c>
      <c r="K6" s="83"/>
      <c r="L6" s="54"/>
    </row>
    <row r="7" ht="22.5" customHeight="1">
      <c r="A7" s="79">
        <v>15.0</v>
      </c>
      <c r="B7" s="80">
        <v>45969.0</v>
      </c>
      <c r="C7" s="81" t="s">
        <v>247</v>
      </c>
      <c r="D7" s="81" t="s">
        <v>604</v>
      </c>
      <c r="E7" s="82">
        <v>0.11</v>
      </c>
      <c r="F7" s="82">
        <v>18.0</v>
      </c>
      <c r="G7" s="79">
        <v>0.0</v>
      </c>
      <c r="H7" s="79">
        <v>0.0</v>
      </c>
      <c r="I7" s="79">
        <v>0.0</v>
      </c>
      <c r="J7" s="79">
        <v>2.0</v>
      </c>
      <c r="K7" s="83"/>
      <c r="L7" s="54"/>
    </row>
    <row r="8" ht="22.5" customHeight="1">
      <c r="A8" s="79">
        <v>15.0</v>
      </c>
      <c r="B8" s="80">
        <v>45969.0</v>
      </c>
      <c r="C8" s="81" t="s">
        <v>247</v>
      </c>
      <c r="D8" s="81" t="s">
        <v>612</v>
      </c>
      <c r="E8" s="82">
        <v>0.11</v>
      </c>
      <c r="F8" s="82">
        <v>18.0</v>
      </c>
      <c r="G8" s="79">
        <v>0.0</v>
      </c>
      <c r="H8" s="79">
        <v>0.0</v>
      </c>
      <c r="I8" s="79">
        <v>0.0</v>
      </c>
      <c r="J8" s="79">
        <v>1.0</v>
      </c>
      <c r="K8" s="83"/>
      <c r="L8" s="54"/>
    </row>
    <row r="9" ht="22.5" customHeight="1">
      <c r="A9" s="79">
        <v>15.0</v>
      </c>
      <c r="B9" s="80">
        <v>45969.0</v>
      </c>
      <c r="C9" s="81" t="s">
        <v>247</v>
      </c>
      <c r="D9" s="81" t="s">
        <v>568</v>
      </c>
      <c r="E9" s="82">
        <v>0.11</v>
      </c>
      <c r="F9" s="82">
        <v>15.0</v>
      </c>
      <c r="G9" s="79">
        <v>0.0</v>
      </c>
      <c r="H9" s="79">
        <v>0.0</v>
      </c>
      <c r="I9" s="79">
        <v>0.0</v>
      </c>
      <c r="J9" s="79">
        <v>5.0</v>
      </c>
      <c r="K9" s="83"/>
      <c r="L9" s="54"/>
    </row>
    <row r="10" ht="22.5" customHeight="1">
      <c r="A10" s="79">
        <v>15.0</v>
      </c>
      <c r="B10" s="80">
        <v>45969.0</v>
      </c>
      <c r="C10" s="81" t="s">
        <v>247</v>
      </c>
      <c r="D10" s="81" t="s">
        <v>616</v>
      </c>
      <c r="E10" s="82">
        <v>0.11</v>
      </c>
      <c r="F10" s="82">
        <v>17.5</v>
      </c>
      <c r="G10" s="79">
        <v>0.0</v>
      </c>
      <c r="H10" s="79">
        <v>0.0</v>
      </c>
      <c r="I10" s="79">
        <v>0.0</v>
      </c>
      <c r="J10" s="79">
        <v>1.0</v>
      </c>
      <c r="K10" s="83"/>
      <c r="L10" s="54"/>
    </row>
    <row r="11" ht="22.5" customHeight="1">
      <c r="A11" s="79">
        <v>15.0</v>
      </c>
      <c r="B11" s="80">
        <v>45968.0</v>
      </c>
      <c r="C11" s="81" t="s">
        <v>247</v>
      </c>
      <c r="D11" s="81" t="s">
        <v>591</v>
      </c>
      <c r="E11" s="82">
        <v>0.11</v>
      </c>
      <c r="F11" s="82">
        <v>16.25</v>
      </c>
      <c r="G11" s="79">
        <v>0.0</v>
      </c>
      <c r="H11" s="79">
        <v>0.0</v>
      </c>
      <c r="I11" s="79">
        <v>0.0</v>
      </c>
      <c r="J11" s="79">
        <v>2.0</v>
      </c>
      <c r="K11" s="83"/>
      <c r="L11" s="54"/>
    </row>
    <row r="12" ht="22.5" customHeight="1">
      <c r="A12" s="79">
        <v>15.0</v>
      </c>
      <c r="B12" s="80">
        <v>45968.0</v>
      </c>
      <c r="C12" s="81" t="s">
        <v>247</v>
      </c>
      <c r="D12" s="81" t="s">
        <v>587</v>
      </c>
      <c r="E12" s="82">
        <v>0.11</v>
      </c>
      <c r="F12" s="82">
        <v>15.0</v>
      </c>
      <c r="G12" s="79">
        <v>0.0</v>
      </c>
      <c r="H12" s="79">
        <v>0.0</v>
      </c>
      <c r="I12" s="79">
        <v>0.0</v>
      </c>
      <c r="J12" s="79">
        <v>3.0</v>
      </c>
      <c r="K12" s="83"/>
      <c r="L12" s="54"/>
    </row>
    <row r="13" ht="22.5" customHeight="1">
      <c r="A13" s="79">
        <v>15.0</v>
      </c>
      <c r="B13" s="80">
        <v>45968.0</v>
      </c>
      <c r="C13" s="81" t="s">
        <v>247</v>
      </c>
      <c r="D13" s="81" t="s">
        <v>586</v>
      </c>
      <c r="E13" s="82">
        <v>0.11</v>
      </c>
      <c r="F13" s="82">
        <v>16.2</v>
      </c>
      <c r="G13" s="79">
        <v>0.0</v>
      </c>
      <c r="H13" s="79">
        <v>0.0</v>
      </c>
      <c r="I13" s="79">
        <v>0.0</v>
      </c>
      <c r="J13" s="79">
        <v>3.0</v>
      </c>
      <c r="K13" s="83"/>
      <c r="L13" s="54"/>
    </row>
    <row r="14" ht="22.5" customHeight="1">
      <c r="A14" s="79">
        <v>15.0</v>
      </c>
      <c r="B14" s="80">
        <v>45968.0</v>
      </c>
      <c r="C14" s="81" t="s">
        <v>247</v>
      </c>
      <c r="D14" s="81" t="s">
        <v>592</v>
      </c>
      <c r="E14" s="82">
        <v>0.11</v>
      </c>
      <c r="F14" s="82">
        <v>16.0</v>
      </c>
      <c r="G14" s="79">
        <v>0.0</v>
      </c>
      <c r="H14" s="79">
        <v>0.0</v>
      </c>
      <c r="I14" s="79">
        <v>0.0</v>
      </c>
      <c r="J14" s="79">
        <v>2.0</v>
      </c>
      <c r="K14" s="83"/>
      <c r="L14" s="54"/>
    </row>
    <row r="15" ht="22.5" customHeight="1">
      <c r="A15" s="79">
        <v>13.0</v>
      </c>
      <c r="B15" s="80">
        <v>45968.0</v>
      </c>
      <c r="C15" s="81" t="s">
        <v>468</v>
      </c>
      <c r="D15" s="81" t="s">
        <v>797</v>
      </c>
      <c r="E15" s="82">
        <v>0.11</v>
      </c>
      <c r="F15" s="82">
        <v>13.9</v>
      </c>
      <c r="G15" s="79">
        <v>0.0</v>
      </c>
      <c r="H15" s="79">
        <v>0.0</v>
      </c>
      <c r="I15" s="79">
        <v>0.0</v>
      </c>
      <c r="J15" s="79">
        <v>14.0</v>
      </c>
      <c r="K15" s="83"/>
      <c r="L15" s="54"/>
    </row>
    <row r="16" ht="22.5" customHeight="1">
      <c r="A16" s="79">
        <v>6.0</v>
      </c>
      <c r="B16" s="80">
        <v>45968.0</v>
      </c>
      <c r="C16" s="81" t="s">
        <v>172</v>
      </c>
      <c r="D16" s="81" t="s">
        <v>798</v>
      </c>
      <c r="E16" s="82">
        <v>0.11</v>
      </c>
      <c r="F16" s="82">
        <v>11.0</v>
      </c>
      <c r="G16" s="79">
        <v>0.0</v>
      </c>
      <c r="H16" s="79">
        <v>0.0</v>
      </c>
      <c r="I16" s="79">
        <v>0.0</v>
      </c>
      <c r="J16" s="79">
        <v>44.0</v>
      </c>
      <c r="K16" s="83"/>
      <c r="L16" s="54"/>
    </row>
    <row r="17" ht="22.5" customHeight="1">
      <c r="A17" s="79">
        <v>15.0</v>
      </c>
      <c r="B17" s="80">
        <v>45968.0</v>
      </c>
      <c r="C17" s="81" t="s">
        <v>247</v>
      </c>
      <c r="D17" s="81" t="s">
        <v>561</v>
      </c>
      <c r="E17" s="82">
        <v>0.11</v>
      </c>
      <c r="F17" s="82">
        <v>16.25</v>
      </c>
      <c r="G17" s="79">
        <v>0.0</v>
      </c>
      <c r="H17" s="79">
        <v>0.0</v>
      </c>
      <c r="I17" s="79">
        <v>0.0</v>
      </c>
      <c r="J17" s="79">
        <v>5.0</v>
      </c>
      <c r="K17" s="83"/>
      <c r="L17" s="54"/>
    </row>
    <row r="18" ht="22.5" customHeight="1">
      <c r="A18" s="79">
        <v>15.0</v>
      </c>
      <c r="B18" s="80">
        <v>45967.0</v>
      </c>
      <c r="C18" s="81" t="s">
        <v>247</v>
      </c>
      <c r="D18" s="81" t="s">
        <v>597</v>
      </c>
      <c r="E18" s="82">
        <v>0.11</v>
      </c>
      <c r="F18" s="82">
        <v>15.0</v>
      </c>
      <c r="G18" s="79">
        <v>0.0</v>
      </c>
      <c r="H18" s="79">
        <v>0.0</v>
      </c>
      <c r="I18" s="79">
        <v>0.0</v>
      </c>
      <c r="J18" s="79">
        <v>1.0</v>
      </c>
      <c r="K18" s="83"/>
      <c r="L18" s="54"/>
    </row>
    <row r="19" ht="22.5" customHeight="1">
      <c r="A19" s="79">
        <v>15.0</v>
      </c>
      <c r="B19" s="80">
        <v>45967.0</v>
      </c>
      <c r="C19" s="81" t="s">
        <v>247</v>
      </c>
      <c r="D19" s="81" t="s">
        <v>589</v>
      </c>
      <c r="E19" s="82">
        <v>0.11</v>
      </c>
      <c r="F19" s="82">
        <v>23.0</v>
      </c>
      <c r="G19" s="79">
        <v>0.0</v>
      </c>
      <c r="H19" s="79">
        <v>0.0</v>
      </c>
      <c r="I19" s="79">
        <v>0.0</v>
      </c>
      <c r="J19" s="79">
        <v>1.0</v>
      </c>
      <c r="K19" s="83"/>
      <c r="L19" s="54"/>
    </row>
    <row r="20" ht="22.5" customHeight="1">
      <c r="A20" s="79">
        <v>15.0</v>
      </c>
      <c r="B20" s="80">
        <v>45967.0</v>
      </c>
      <c r="C20" s="81" t="s">
        <v>247</v>
      </c>
      <c r="D20" s="81" t="s">
        <v>588</v>
      </c>
      <c r="E20" s="82">
        <v>0.11</v>
      </c>
      <c r="F20" s="82">
        <v>14.0</v>
      </c>
      <c r="G20" s="79">
        <v>0.0</v>
      </c>
      <c r="H20" s="79">
        <v>0.0</v>
      </c>
      <c r="I20" s="79">
        <v>0.0</v>
      </c>
      <c r="J20" s="79">
        <v>1.0</v>
      </c>
      <c r="K20" s="83"/>
      <c r="L20" s="54"/>
    </row>
    <row r="21" ht="22.5" customHeight="1">
      <c r="A21" s="79">
        <v>15.0</v>
      </c>
      <c r="B21" s="80">
        <v>45967.0</v>
      </c>
      <c r="C21" s="81" t="s">
        <v>247</v>
      </c>
      <c r="D21" s="81" t="s">
        <v>585</v>
      </c>
      <c r="E21" s="82">
        <v>0.11</v>
      </c>
      <c r="F21" s="82">
        <v>20.0</v>
      </c>
      <c r="G21" s="79">
        <v>0.0</v>
      </c>
      <c r="H21" s="79">
        <v>0.0</v>
      </c>
      <c r="I21" s="79">
        <v>0.0</v>
      </c>
      <c r="J21" s="79">
        <v>2.0</v>
      </c>
      <c r="K21" s="83"/>
      <c r="L21" s="54"/>
    </row>
    <row r="22" ht="22.5" customHeight="1">
      <c r="A22" s="79">
        <v>15.0</v>
      </c>
      <c r="B22" s="80">
        <v>45966.0</v>
      </c>
      <c r="C22" s="81" t="s">
        <v>247</v>
      </c>
      <c r="D22" s="81" t="s">
        <v>545</v>
      </c>
      <c r="E22" s="82">
        <v>0.11</v>
      </c>
      <c r="F22" s="82">
        <v>15.0</v>
      </c>
      <c r="G22" s="79">
        <v>0.0</v>
      </c>
      <c r="H22" s="79">
        <v>0.0</v>
      </c>
      <c r="I22" s="79">
        <v>0.0</v>
      </c>
      <c r="J22" s="79">
        <v>5.0</v>
      </c>
      <c r="K22" s="83"/>
      <c r="L22" s="54"/>
    </row>
    <row r="23" ht="22.5" customHeight="1">
      <c r="A23" s="79">
        <v>15.0</v>
      </c>
      <c r="B23" s="80">
        <v>45966.0</v>
      </c>
      <c r="C23" s="81" t="s">
        <v>247</v>
      </c>
      <c r="D23" s="81" t="s">
        <v>578</v>
      </c>
      <c r="E23" s="82">
        <v>0.11</v>
      </c>
      <c r="F23" s="82">
        <v>16.0</v>
      </c>
      <c r="G23" s="79">
        <v>0.0</v>
      </c>
      <c r="H23" s="79">
        <v>0.0</v>
      </c>
      <c r="I23" s="79">
        <v>0.0</v>
      </c>
      <c r="J23" s="79">
        <v>1.0</v>
      </c>
      <c r="K23" s="83"/>
      <c r="L23" s="54"/>
    </row>
    <row r="24" ht="22.5" customHeight="1">
      <c r="A24" s="79">
        <v>15.0</v>
      </c>
      <c r="B24" s="80">
        <v>45966.0</v>
      </c>
      <c r="C24" s="81" t="s">
        <v>247</v>
      </c>
      <c r="D24" s="81" t="s">
        <v>581</v>
      </c>
      <c r="E24" s="82">
        <v>0.11</v>
      </c>
      <c r="F24" s="82">
        <v>19.0</v>
      </c>
      <c r="G24" s="79">
        <v>0.0</v>
      </c>
      <c r="H24" s="79">
        <v>0.0</v>
      </c>
      <c r="I24" s="79">
        <v>0.0</v>
      </c>
      <c r="J24" s="79">
        <v>1.0</v>
      </c>
      <c r="K24" s="83"/>
      <c r="L24" s="54"/>
    </row>
    <row r="25" ht="22.5" customHeight="1">
      <c r="A25" s="79">
        <v>15.0</v>
      </c>
      <c r="B25" s="80">
        <v>45965.0</v>
      </c>
      <c r="C25" s="81" t="s">
        <v>247</v>
      </c>
      <c r="D25" s="81" t="s">
        <v>419</v>
      </c>
      <c r="E25" s="82">
        <v>0.11</v>
      </c>
      <c r="F25" s="82">
        <v>16.0</v>
      </c>
      <c r="G25" s="79">
        <v>0.0</v>
      </c>
      <c r="H25" s="79">
        <v>0.0</v>
      </c>
      <c r="I25" s="79">
        <v>0.0</v>
      </c>
      <c r="J25" s="79">
        <v>16.0</v>
      </c>
      <c r="K25" s="83"/>
      <c r="L25" s="54"/>
    </row>
    <row r="26" ht="22.5" customHeight="1">
      <c r="A26" s="79">
        <v>15.0</v>
      </c>
      <c r="B26" s="80">
        <v>45965.0</v>
      </c>
      <c r="C26" s="81" t="s">
        <v>247</v>
      </c>
      <c r="D26" s="81" t="s">
        <v>536</v>
      </c>
      <c r="E26" s="82">
        <v>0.11</v>
      </c>
      <c r="F26" s="82">
        <v>17.0</v>
      </c>
      <c r="G26" s="79">
        <v>0.0</v>
      </c>
      <c r="H26" s="79">
        <v>0.0</v>
      </c>
      <c r="I26" s="79">
        <v>0.0</v>
      </c>
      <c r="J26" s="79">
        <v>5.0</v>
      </c>
      <c r="K26" s="83"/>
      <c r="L26" s="54"/>
    </row>
    <row r="27" ht="22.5" customHeight="1">
      <c r="A27" s="79">
        <v>15.0</v>
      </c>
      <c r="B27" s="80">
        <v>45965.0</v>
      </c>
      <c r="C27" s="81" t="s">
        <v>247</v>
      </c>
      <c r="D27" s="81" t="s">
        <v>558</v>
      </c>
      <c r="E27" s="82">
        <v>0.11</v>
      </c>
      <c r="F27" s="82">
        <v>19.0</v>
      </c>
      <c r="G27" s="79">
        <v>0.0</v>
      </c>
      <c r="H27" s="79">
        <v>0.0</v>
      </c>
      <c r="I27" s="79">
        <v>0.0</v>
      </c>
      <c r="J27" s="79">
        <v>2.0</v>
      </c>
      <c r="K27" s="83"/>
      <c r="L27" s="54"/>
    </row>
    <row r="28" ht="22.5" customHeight="1">
      <c r="A28" s="79">
        <v>15.0</v>
      </c>
      <c r="B28" s="80">
        <v>45965.0</v>
      </c>
      <c r="C28" s="81" t="s">
        <v>247</v>
      </c>
      <c r="D28" s="81" t="s">
        <v>565</v>
      </c>
      <c r="E28" s="82">
        <v>0.11</v>
      </c>
      <c r="F28" s="82">
        <v>18.0</v>
      </c>
      <c r="G28" s="79">
        <v>0.0</v>
      </c>
      <c r="H28" s="79">
        <v>0.0</v>
      </c>
      <c r="I28" s="79">
        <v>0.0</v>
      </c>
      <c r="J28" s="79">
        <v>2.0</v>
      </c>
      <c r="K28" s="83"/>
      <c r="L28" s="54"/>
    </row>
    <row r="29" ht="22.5" customHeight="1">
      <c r="A29" s="79">
        <v>15.0</v>
      </c>
      <c r="B29" s="80">
        <v>45965.0</v>
      </c>
      <c r="C29" s="81" t="s">
        <v>247</v>
      </c>
      <c r="D29" s="81" t="s">
        <v>567</v>
      </c>
      <c r="E29" s="82">
        <v>0.11</v>
      </c>
      <c r="F29" s="82">
        <v>23.0</v>
      </c>
      <c r="G29" s="79">
        <v>0.0</v>
      </c>
      <c r="H29" s="79">
        <v>0.0</v>
      </c>
      <c r="I29" s="79">
        <v>0.0</v>
      </c>
      <c r="J29" s="79">
        <v>2.0</v>
      </c>
      <c r="K29" s="83"/>
      <c r="L29" s="54"/>
    </row>
    <row r="30" ht="22.5" customHeight="1">
      <c r="A30" s="79">
        <v>15.0</v>
      </c>
      <c r="B30" s="80">
        <v>45965.0</v>
      </c>
      <c r="C30" s="81" t="s">
        <v>247</v>
      </c>
      <c r="D30" s="81" t="s">
        <v>570</v>
      </c>
      <c r="E30" s="82">
        <v>0.11</v>
      </c>
      <c r="F30" s="82">
        <v>15.2</v>
      </c>
      <c r="G30" s="79">
        <v>0.0</v>
      </c>
      <c r="H30" s="79">
        <v>0.0</v>
      </c>
      <c r="I30" s="79">
        <v>0.0</v>
      </c>
      <c r="J30" s="79">
        <v>1.0</v>
      </c>
      <c r="K30" s="83"/>
      <c r="L30" s="54"/>
    </row>
    <row r="31" ht="22.5" customHeight="1">
      <c r="A31" s="79">
        <v>15.0</v>
      </c>
      <c r="B31" s="80">
        <v>45965.0</v>
      </c>
      <c r="C31" s="81" t="s">
        <v>247</v>
      </c>
      <c r="D31" s="81" t="s">
        <v>573</v>
      </c>
      <c r="E31" s="82">
        <v>0.11</v>
      </c>
      <c r="F31" s="82">
        <v>15.0</v>
      </c>
      <c r="G31" s="79">
        <v>0.0</v>
      </c>
      <c r="H31" s="79">
        <v>0.0</v>
      </c>
      <c r="I31" s="79">
        <v>0.0</v>
      </c>
      <c r="J31" s="79">
        <v>1.0</v>
      </c>
      <c r="K31" s="83"/>
      <c r="L31" s="54"/>
    </row>
    <row r="32" ht="22.5" customHeight="1">
      <c r="A32" s="79">
        <v>15.0</v>
      </c>
      <c r="B32" s="80">
        <v>45965.0</v>
      </c>
      <c r="C32" s="81" t="s">
        <v>247</v>
      </c>
      <c r="D32" s="81" t="s">
        <v>562</v>
      </c>
      <c r="E32" s="82">
        <v>0.11</v>
      </c>
      <c r="F32" s="82">
        <v>16.2</v>
      </c>
      <c r="G32" s="79">
        <v>0.0</v>
      </c>
      <c r="H32" s="79">
        <v>0.0</v>
      </c>
      <c r="I32" s="79">
        <v>0.0</v>
      </c>
      <c r="J32" s="79">
        <v>2.0</v>
      </c>
      <c r="K32" s="83"/>
      <c r="L32" s="54"/>
    </row>
    <row r="33" ht="22.5" customHeight="1">
      <c r="A33" s="79">
        <v>15.0</v>
      </c>
      <c r="B33" s="80">
        <v>45964.0</v>
      </c>
      <c r="C33" s="81" t="s">
        <v>247</v>
      </c>
      <c r="D33" s="81" t="s">
        <v>544</v>
      </c>
      <c r="E33" s="82">
        <v>0.11</v>
      </c>
      <c r="F33" s="82">
        <v>19.0</v>
      </c>
      <c r="G33" s="79">
        <v>0.0</v>
      </c>
      <c r="H33" s="79">
        <v>0.0</v>
      </c>
      <c r="I33" s="79">
        <v>0.0</v>
      </c>
      <c r="J33" s="79">
        <v>3.0</v>
      </c>
      <c r="K33" s="83"/>
      <c r="L33" s="54"/>
    </row>
    <row r="34" ht="22.5" customHeight="1">
      <c r="A34" s="79">
        <v>15.0</v>
      </c>
      <c r="B34" s="80">
        <v>45964.0</v>
      </c>
      <c r="C34" s="81" t="s">
        <v>247</v>
      </c>
      <c r="D34" s="81" t="s">
        <v>557</v>
      </c>
      <c r="E34" s="82">
        <v>0.11</v>
      </c>
      <c r="F34" s="82">
        <v>16.25</v>
      </c>
      <c r="G34" s="79">
        <v>0.0</v>
      </c>
      <c r="H34" s="79">
        <v>0.0</v>
      </c>
      <c r="I34" s="79">
        <v>0.0</v>
      </c>
      <c r="J34" s="79">
        <v>1.0</v>
      </c>
      <c r="K34" s="83"/>
      <c r="L34" s="54"/>
    </row>
    <row r="35" ht="22.5" customHeight="1">
      <c r="A35" s="79">
        <v>15.0</v>
      </c>
      <c r="B35" s="80">
        <v>45964.0</v>
      </c>
      <c r="C35" s="81" t="s">
        <v>247</v>
      </c>
      <c r="D35" s="81" t="s">
        <v>550</v>
      </c>
      <c r="E35" s="82">
        <v>0.11</v>
      </c>
      <c r="F35" s="82">
        <v>16.25</v>
      </c>
      <c r="G35" s="79">
        <v>0.0</v>
      </c>
      <c r="H35" s="79">
        <v>0.0</v>
      </c>
      <c r="I35" s="79">
        <v>0.0</v>
      </c>
      <c r="J35" s="79">
        <v>2.0</v>
      </c>
      <c r="K35" s="83"/>
      <c r="L35" s="54"/>
    </row>
    <row r="36" ht="22.5" customHeight="1">
      <c r="A36" s="79">
        <v>15.0</v>
      </c>
      <c r="B36" s="80">
        <v>45964.0</v>
      </c>
      <c r="C36" s="81" t="s">
        <v>247</v>
      </c>
      <c r="D36" s="81" t="s">
        <v>548</v>
      </c>
      <c r="E36" s="82">
        <v>0.11</v>
      </c>
      <c r="F36" s="82">
        <v>19.0</v>
      </c>
      <c r="G36" s="79">
        <v>0.0</v>
      </c>
      <c r="H36" s="79">
        <v>0.0</v>
      </c>
      <c r="I36" s="79">
        <v>0.0</v>
      </c>
      <c r="J36" s="79">
        <v>2.0</v>
      </c>
      <c r="K36" s="83"/>
      <c r="L36" s="54"/>
    </row>
    <row r="37" ht="22.5" customHeight="1">
      <c r="A37" s="79">
        <v>15.0</v>
      </c>
      <c r="B37" s="80">
        <v>45964.0</v>
      </c>
      <c r="C37" s="81" t="s">
        <v>247</v>
      </c>
      <c r="D37" s="81" t="s">
        <v>534</v>
      </c>
      <c r="E37" s="82">
        <v>0.11</v>
      </c>
      <c r="F37" s="82">
        <v>19.0</v>
      </c>
      <c r="G37" s="79">
        <v>0.0</v>
      </c>
      <c r="H37" s="79">
        <v>0.0</v>
      </c>
      <c r="I37" s="79">
        <v>0.0</v>
      </c>
      <c r="J37" s="79">
        <v>4.0</v>
      </c>
      <c r="K37" s="83"/>
      <c r="L37" s="54"/>
    </row>
    <row r="38" ht="22.5" customHeight="1">
      <c r="A38" s="79">
        <v>15.0</v>
      </c>
      <c r="B38" s="80">
        <v>45964.0</v>
      </c>
      <c r="C38" s="81" t="s">
        <v>247</v>
      </c>
      <c r="D38" s="81" t="s">
        <v>564</v>
      </c>
      <c r="E38" s="82">
        <v>0.11</v>
      </c>
      <c r="F38" s="82">
        <v>15.2</v>
      </c>
      <c r="G38" s="79">
        <v>0.0</v>
      </c>
      <c r="H38" s="79">
        <v>0.0</v>
      </c>
      <c r="I38" s="79">
        <v>0.0</v>
      </c>
      <c r="J38" s="79">
        <v>1.0</v>
      </c>
      <c r="K38" s="83"/>
      <c r="L38" s="54"/>
    </row>
    <row r="39" ht="22.5" customHeight="1">
      <c r="A39" s="79">
        <v>13.0</v>
      </c>
      <c r="B39" s="80">
        <v>45964.0</v>
      </c>
      <c r="C39" s="81" t="s">
        <v>468</v>
      </c>
      <c r="D39" s="81" t="s">
        <v>799</v>
      </c>
      <c r="E39" s="82">
        <v>0.11</v>
      </c>
      <c r="F39" s="82">
        <v>15.0</v>
      </c>
      <c r="G39" s="79">
        <v>0.0</v>
      </c>
      <c r="H39" s="79">
        <v>0.0</v>
      </c>
      <c r="I39" s="79">
        <v>0.0</v>
      </c>
      <c r="J39" s="79">
        <v>6.0</v>
      </c>
      <c r="K39" s="83"/>
      <c r="L39" s="54"/>
    </row>
    <row r="40" ht="22.5" customHeight="1">
      <c r="A40" s="79">
        <v>6.0</v>
      </c>
      <c r="B40" s="80">
        <v>45964.0</v>
      </c>
      <c r="C40" s="81" t="s">
        <v>172</v>
      </c>
      <c r="D40" s="81" t="s">
        <v>800</v>
      </c>
      <c r="E40" s="82">
        <v>0.11</v>
      </c>
      <c r="F40" s="82">
        <v>10.0</v>
      </c>
      <c r="G40" s="79">
        <v>0.0</v>
      </c>
      <c r="H40" s="79">
        <v>0.0</v>
      </c>
      <c r="I40" s="79">
        <v>0.0</v>
      </c>
      <c r="J40" s="79">
        <v>40.0</v>
      </c>
      <c r="K40" s="83"/>
      <c r="L40" s="54"/>
    </row>
    <row r="41" ht="22.5" customHeight="1">
      <c r="A41" s="79">
        <v>15.0</v>
      </c>
      <c r="B41" s="80">
        <v>45964.0</v>
      </c>
      <c r="C41" s="81" t="s">
        <v>247</v>
      </c>
      <c r="D41" s="81" t="s">
        <v>533</v>
      </c>
      <c r="E41" s="82">
        <v>0.11</v>
      </c>
      <c r="F41" s="82">
        <v>15.2</v>
      </c>
      <c r="G41" s="79">
        <v>0.0</v>
      </c>
      <c r="H41" s="79">
        <v>0.0</v>
      </c>
      <c r="I41" s="79">
        <v>0.0</v>
      </c>
      <c r="J41" s="79">
        <v>4.0</v>
      </c>
      <c r="K41" s="83"/>
      <c r="L41" s="54"/>
    </row>
    <row r="42" ht="22.5" customHeight="1">
      <c r="A42" s="79">
        <v>13.0</v>
      </c>
      <c r="B42" s="80">
        <v>45964.0</v>
      </c>
      <c r="C42" s="81" t="s">
        <v>468</v>
      </c>
      <c r="D42" s="81" t="s">
        <v>801</v>
      </c>
      <c r="E42" s="82">
        <v>0.11</v>
      </c>
      <c r="F42" s="82">
        <v>12.0</v>
      </c>
      <c r="G42" s="79">
        <v>0.0</v>
      </c>
      <c r="H42" s="79">
        <v>0.0</v>
      </c>
      <c r="I42" s="79">
        <v>0.0</v>
      </c>
      <c r="J42" s="79">
        <v>6.0</v>
      </c>
      <c r="K42" s="83"/>
      <c r="L42" s="54"/>
    </row>
    <row r="43" ht="22.5" customHeight="1">
      <c r="A43" s="79">
        <v>6.0</v>
      </c>
      <c r="B43" s="80">
        <v>45964.0</v>
      </c>
      <c r="C43" s="81" t="s">
        <v>172</v>
      </c>
      <c r="D43" s="81" t="s">
        <v>802</v>
      </c>
      <c r="E43" s="82">
        <v>0.11</v>
      </c>
      <c r="F43" s="82">
        <v>19.0</v>
      </c>
      <c r="G43" s="79">
        <v>0.0</v>
      </c>
      <c r="H43" s="79">
        <v>0.0</v>
      </c>
      <c r="I43" s="79">
        <v>0.0</v>
      </c>
      <c r="J43" s="79">
        <v>40.0</v>
      </c>
      <c r="K43" s="83"/>
      <c r="L43" s="54"/>
    </row>
    <row r="44" ht="22.5" customHeight="1">
      <c r="A44" s="79">
        <v>15.0</v>
      </c>
      <c r="B44" s="80">
        <v>45963.0</v>
      </c>
      <c r="C44" s="81" t="s">
        <v>247</v>
      </c>
      <c r="D44" s="81" t="s">
        <v>551</v>
      </c>
      <c r="E44" s="82">
        <v>0.11</v>
      </c>
      <c r="F44" s="82">
        <v>19.0</v>
      </c>
      <c r="G44" s="79">
        <v>0.0</v>
      </c>
      <c r="H44" s="79">
        <v>0.0</v>
      </c>
      <c r="I44" s="79">
        <v>0.0</v>
      </c>
      <c r="J44" s="79">
        <v>1.0</v>
      </c>
      <c r="K44" s="83"/>
      <c r="L44" s="54"/>
    </row>
    <row r="45" ht="22.5" customHeight="1">
      <c r="A45" s="79">
        <v>15.0</v>
      </c>
      <c r="B45" s="80">
        <v>45963.0</v>
      </c>
      <c r="C45" s="81" t="s">
        <v>247</v>
      </c>
      <c r="D45" s="81" t="s">
        <v>547</v>
      </c>
      <c r="E45" s="82">
        <v>0.11</v>
      </c>
      <c r="F45" s="82">
        <v>18.0</v>
      </c>
      <c r="G45" s="79">
        <v>0.0</v>
      </c>
      <c r="H45" s="79">
        <v>0.0</v>
      </c>
      <c r="I45" s="79">
        <v>0.0</v>
      </c>
      <c r="J45" s="79">
        <v>1.0</v>
      </c>
      <c r="K45" s="83"/>
      <c r="L45" s="54"/>
    </row>
    <row r="46" ht="22.5" customHeight="1">
      <c r="A46" s="79">
        <v>15.0</v>
      </c>
      <c r="B46" s="80">
        <v>45963.0</v>
      </c>
      <c r="C46" s="81" t="s">
        <v>247</v>
      </c>
      <c r="D46" s="81" t="s">
        <v>543</v>
      </c>
      <c r="E46" s="82">
        <v>0.11</v>
      </c>
      <c r="F46" s="82">
        <v>15.0</v>
      </c>
      <c r="G46" s="79">
        <v>0.0</v>
      </c>
      <c r="H46" s="79">
        <v>0.0</v>
      </c>
      <c r="I46" s="79">
        <v>0.0</v>
      </c>
      <c r="J46" s="79">
        <v>2.0</v>
      </c>
      <c r="K46" s="83"/>
      <c r="L46" s="54"/>
    </row>
    <row r="47" ht="22.5" customHeight="1">
      <c r="A47" s="79">
        <v>15.0</v>
      </c>
      <c r="B47" s="80">
        <v>45963.0</v>
      </c>
      <c r="C47" s="81" t="s">
        <v>247</v>
      </c>
      <c r="D47" s="81" t="s">
        <v>541</v>
      </c>
      <c r="E47" s="82">
        <v>0.11</v>
      </c>
      <c r="F47" s="82">
        <v>14.0</v>
      </c>
      <c r="G47" s="79">
        <v>0.0</v>
      </c>
      <c r="H47" s="79">
        <v>0.0</v>
      </c>
      <c r="I47" s="79">
        <v>0.0</v>
      </c>
      <c r="J47" s="79">
        <v>2.0</v>
      </c>
      <c r="K47" s="83"/>
      <c r="L47" s="54"/>
    </row>
    <row r="48" ht="22.5" customHeight="1">
      <c r="A48" s="79">
        <v>15.0</v>
      </c>
      <c r="B48" s="80">
        <v>45963.0</v>
      </c>
      <c r="C48" s="81" t="s">
        <v>247</v>
      </c>
      <c r="D48" s="81" t="s">
        <v>261</v>
      </c>
      <c r="E48" s="82">
        <v>0.11</v>
      </c>
      <c r="F48" s="82">
        <v>13.0</v>
      </c>
      <c r="G48" s="79">
        <v>0.0</v>
      </c>
      <c r="H48" s="79">
        <v>0.0</v>
      </c>
      <c r="I48" s="79">
        <v>0.0</v>
      </c>
      <c r="J48" s="79">
        <v>21.0</v>
      </c>
      <c r="K48" s="83"/>
      <c r="L48" s="54"/>
    </row>
    <row r="49" ht="22.5" customHeight="1">
      <c r="A49" s="79">
        <v>15.0</v>
      </c>
      <c r="B49" s="80">
        <v>45963.0</v>
      </c>
      <c r="C49" s="81" t="s">
        <v>247</v>
      </c>
      <c r="D49" s="81" t="s">
        <v>535</v>
      </c>
      <c r="E49" s="82">
        <v>0.11</v>
      </c>
      <c r="F49" s="82">
        <v>14.0</v>
      </c>
      <c r="G49" s="79">
        <v>0.0</v>
      </c>
      <c r="H49" s="79">
        <v>0.0</v>
      </c>
      <c r="I49" s="79">
        <v>0.0</v>
      </c>
      <c r="J49" s="79">
        <v>3.0</v>
      </c>
      <c r="K49" s="83"/>
      <c r="L49" s="54"/>
    </row>
    <row r="50" ht="22.5" customHeight="1">
      <c r="A50" s="79">
        <v>15.0</v>
      </c>
      <c r="B50" s="80">
        <v>45963.0</v>
      </c>
      <c r="C50" s="81" t="s">
        <v>247</v>
      </c>
      <c r="D50" s="81" t="s">
        <v>431</v>
      </c>
      <c r="E50" s="82">
        <v>0.11</v>
      </c>
      <c r="F50" s="82">
        <v>17.0</v>
      </c>
      <c r="G50" s="79">
        <v>0.0</v>
      </c>
      <c r="H50" s="79">
        <v>0.0</v>
      </c>
      <c r="I50" s="79">
        <v>0.0</v>
      </c>
      <c r="J50" s="79">
        <v>12.0</v>
      </c>
      <c r="K50" s="83"/>
      <c r="L50" s="54"/>
    </row>
    <row r="51" ht="22.5" customHeight="1">
      <c r="A51" s="79">
        <v>15.0</v>
      </c>
      <c r="B51" s="80">
        <v>45963.0</v>
      </c>
      <c r="C51" s="81" t="s">
        <v>247</v>
      </c>
      <c r="D51" s="81" t="s">
        <v>424</v>
      </c>
      <c r="E51" s="82">
        <v>0.11</v>
      </c>
      <c r="F51" s="82">
        <v>16.0</v>
      </c>
      <c r="G51" s="79">
        <v>0.0</v>
      </c>
      <c r="H51" s="79">
        <v>0.0</v>
      </c>
      <c r="I51" s="79">
        <v>0.0</v>
      </c>
      <c r="J51" s="79">
        <v>13.0</v>
      </c>
      <c r="K51" s="83"/>
      <c r="L51" s="54"/>
    </row>
    <row r="52" ht="22.5" customHeight="1">
      <c r="A52" s="79">
        <v>15.0</v>
      </c>
      <c r="B52" s="80">
        <v>45963.0</v>
      </c>
      <c r="C52" s="81" t="s">
        <v>247</v>
      </c>
      <c r="D52" s="81" t="s">
        <v>538</v>
      </c>
      <c r="E52" s="82">
        <v>0.11</v>
      </c>
      <c r="F52" s="82">
        <v>15.0</v>
      </c>
      <c r="G52" s="79">
        <v>0.0</v>
      </c>
      <c r="H52" s="79">
        <v>0.0</v>
      </c>
      <c r="I52" s="79">
        <v>0.0</v>
      </c>
      <c r="J52" s="79">
        <v>2.0</v>
      </c>
      <c r="K52" s="83"/>
      <c r="L52" s="54"/>
    </row>
    <row r="53" ht="22.5" customHeight="1">
      <c r="A53" s="79">
        <v>6.0</v>
      </c>
      <c r="B53" s="80">
        <v>45962.0</v>
      </c>
      <c r="C53" s="81" t="s">
        <v>172</v>
      </c>
      <c r="D53" s="81" t="s">
        <v>803</v>
      </c>
      <c r="E53" s="82">
        <v>0.11</v>
      </c>
      <c r="F53" s="82">
        <v>10.0</v>
      </c>
      <c r="G53" s="79">
        <v>0.0</v>
      </c>
      <c r="H53" s="79">
        <v>0.0</v>
      </c>
      <c r="I53" s="79">
        <v>0.0</v>
      </c>
      <c r="J53" s="79">
        <v>38.0</v>
      </c>
      <c r="K53" s="83"/>
      <c r="L53" s="54"/>
    </row>
    <row r="54" ht="22.5" customHeight="1">
      <c r="A54" s="79">
        <v>15.0</v>
      </c>
      <c r="B54" s="80">
        <v>45962.0</v>
      </c>
      <c r="C54" s="81" t="s">
        <v>247</v>
      </c>
      <c r="D54" s="81" t="s">
        <v>272</v>
      </c>
      <c r="E54" s="82">
        <v>0.11</v>
      </c>
      <c r="F54" s="82">
        <v>15.2</v>
      </c>
      <c r="G54" s="79">
        <v>0.0</v>
      </c>
      <c r="H54" s="79">
        <v>0.0</v>
      </c>
      <c r="I54" s="79">
        <v>0.0</v>
      </c>
      <c r="J54" s="79">
        <v>19.0</v>
      </c>
      <c r="K54" s="83"/>
      <c r="L54" s="54"/>
    </row>
    <row r="55" ht="22.5" customHeight="1">
      <c r="A55" s="79">
        <v>13.0</v>
      </c>
      <c r="B55" s="80">
        <v>45962.0</v>
      </c>
      <c r="C55" s="81" t="s">
        <v>468</v>
      </c>
      <c r="D55" s="81" t="s">
        <v>804</v>
      </c>
      <c r="E55" s="82">
        <v>0.11</v>
      </c>
      <c r="F55" s="82">
        <v>9.0</v>
      </c>
      <c r="G55" s="79">
        <v>0.0</v>
      </c>
      <c r="H55" s="79">
        <v>0.0</v>
      </c>
      <c r="I55" s="79">
        <v>0.0</v>
      </c>
      <c r="J55" s="79">
        <v>2.0</v>
      </c>
      <c r="K55" s="83"/>
      <c r="L55" s="54"/>
    </row>
    <row r="56" ht="22.5" customHeight="1">
      <c r="A56" s="79">
        <v>15.0</v>
      </c>
      <c r="B56" s="80">
        <v>45962.0</v>
      </c>
      <c r="C56" s="81" t="s">
        <v>247</v>
      </c>
      <c r="D56" s="81" t="s">
        <v>529</v>
      </c>
      <c r="E56" s="82">
        <v>0.11</v>
      </c>
      <c r="F56" s="82">
        <v>18.0</v>
      </c>
      <c r="G56" s="79">
        <v>0.0</v>
      </c>
      <c r="H56" s="79">
        <v>0.0</v>
      </c>
      <c r="I56" s="79">
        <v>0.0</v>
      </c>
      <c r="J56" s="79">
        <v>2.0</v>
      </c>
      <c r="K56" s="83"/>
      <c r="L56" s="54"/>
    </row>
    <row r="57" ht="22.5" customHeight="1">
      <c r="A57" s="79">
        <v>15.0</v>
      </c>
      <c r="B57" s="80">
        <v>45962.0</v>
      </c>
      <c r="C57" s="81" t="s">
        <v>247</v>
      </c>
      <c r="D57" s="81" t="s">
        <v>539</v>
      </c>
      <c r="E57" s="82">
        <v>0.11</v>
      </c>
      <c r="F57" s="82">
        <v>18.0</v>
      </c>
      <c r="G57" s="79">
        <v>0.0</v>
      </c>
      <c r="H57" s="79">
        <v>0.0</v>
      </c>
      <c r="I57" s="79">
        <v>0.0</v>
      </c>
      <c r="J57" s="79">
        <v>1.0</v>
      </c>
      <c r="K57" s="83"/>
      <c r="L57" s="54"/>
    </row>
    <row r="58" ht="22.5" customHeight="1">
      <c r="A58" s="79">
        <v>15.0</v>
      </c>
      <c r="B58" s="80">
        <v>45962.0</v>
      </c>
      <c r="C58" s="81" t="s">
        <v>247</v>
      </c>
      <c r="D58" s="81" t="s">
        <v>540</v>
      </c>
      <c r="E58" s="82">
        <v>0.11</v>
      </c>
      <c r="F58" s="82">
        <v>5.0</v>
      </c>
      <c r="G58" s="79">
        <v>0.0</v>
      </c>
      <c r="H58" s="79">
        <v>0.0</v>
      </c>
      <c r="I58" s="79">
        <v>0.0</v>
      </c>
      <c r="J58" s="79">
        <v>1.0</v>
      </c>
      <c r="K58" s="83"/>
      <c r="L58" s="54"/>
    </row>
    <row r="59" ht="22.5" customHeight="1">
      <c r="A59" s="79">
        <v>15.0</v>
      </c>
      <c r="B59" s="80">
        <v>45962.0</v>
      </c>
      <c r="C59" s="81" t="s">
        <v>247</v>
      </c>
      <c r="D59" s="81" t="s">
        <v>542</v>
      </c>
      <c r="E59" s="82">
        <v>0.11</v>
      </c>
      <c r="F59" s="82">
        <v>14.0</v>
      </c>
      <c r="G59" s="79">
        <v>0.0</v>
      </c>
      <c r="H59" s="79">
        <v>0.0</v>
      </c>
      <c r="I59" s="79">
        <v>0.0</v>
      </c>
      <c r="J59" s="79">
        <v>1.0</v>
      </c>
      <c r="K59" s="83"/>
      <c r="L59" s="54"/>
    </row>
    <row r="60" ht="22.5" customHeight="1">
      <c r="A60" s="79">
        <v>13.0</v>
      </c>
      <c r="B60" s="80">
        <v>45961.0</v>
      </c>
      <c r="C60" s="81" t="s">
        <v>468</v>
      </c>
      <c r="D60" s="81" t="s">
        <v>805</v>
      </c>
      <c r="E60" s="82">
        <v>0.11</v>
      </c>
      <c r="F60" s="82">
        <v>15.0</v>
      </c>
      <c r="G60" s="79">
        <v>0.0</v>
      </c>
      <c r="H60" s="79">
        <v>0.0</v>
      </c>
      <c r="I60" s="79">
        <v>0.0</v>
      </c>
      <c r="J60" s="79">
        <v>2.0</v>
      </c>
      <c r="K60" s="83"/>
      <c r="L60" s="54"/>
    </row>
    <row r="61" ht="22.5" customHeight="1">
      <c r="A61" s="79">
        <v>13.0</v>
      </c>
      <c r="B61" s="80">
        <v>45961.0</v>
      </c>
      <c r="C61" s="81" t="s">
        <v>468</v>
      </c>
      <c r="D61" s="81" t="s">
        <v>806</v>
      </c>
      <c r="E61" s="82">
        <v>0.11</v>
      </c>
      <c r="F61" s="82">
        <v>7.2</v>
      </c>
      <c r="G61" s="79">
        <v>0.0</v>
      </c>
      <c r="H61" s="79">
        <v>0.0</v>
      </c>
      <c r="I61" s="79">
        <v>0.0</v>
      </c>
      <c r="J61" s="79">
        <v>2.0</v>
      </c>
      <c r="K61" s="83"/>
      <c r="L61" s="54"/>
    </row>
    <row r="62" ht="22.5" customHeight="1">
      <c r="A62" s="79">
        <v>15.0</v>
      </c>
      <c r="B62" s="80">
        <v>45961.0</v>
      </c>
      <c r="C62" s="81" t="s">
        <v>247</v>
      </c>
      <c r="D62" s="81" t="s">
        <v>530</v>
      </c>
      <c r="E62" s="82">
        <v>0.11</v>
      </c>
      <c r="F62" s="82">
        <v>14.0</v>
      </c>
      <c r="G62" s="79">
        <v>0.0</v>
      </c>
      <c r="H62" s="79">
        <v>0.0</v>
      </c>
      <c r="I62" s="79">
        <v>0.0</v>
      </c>
      <c r="J62" s="79">
        <v>1.0</v>
      </c>
      <c r="K62" s="83"/>
      <c r="L62" s="54"/>
    </row>
    <row r="63" ht="22.5" customHeight="1">
      <c r="A63" s="79">
        <v>13.0</v>
      </c>
      <c r="B63" s="80">
        <v>45961.0</v>
      </c>
      <c r="C63" s="81" t="s">
        <v>468</v>
      </c>
      <c r="D63" s="81" t="s">
        <v>807</v>
      </c>
      <c r="E63" s="82">
        <v>0.11</v>
      </c>
      <c r="F63" s="82">
        <v>15.0</v>
      </c>
      <c r="G63" s="79">
        <v>0.0</v>
      </c>
      <c r="H63" s="79">
        <v>0.0</v>
      </c>
      <c r="I63" s="79">
        <v>0.0</v>
      </c>
      <c r="J63" s="79">
        <v>2.0</v>
      </c>
      <c r="K63" s="83"/>
      <c r="L63" s="54"/>
    </row>
    <row r="64" ht="22.5" customHeight="1">
      <c r="A64" s="79">
        <v>13.0</v>
      </c>
      <c r="B64" s="80">
        <v>45961.0</v>
      </c>
      <c r="C64" s="81" t="s">
        <v>468</v>
      </c>
      <c r="D64" s="81" t="s">
        <v>808</v>
      </c>
      <c r="E64" s="82">
        <v>0.11</v>
      </c>
      <c r="F64" s="82">
        <v>14.0</v>
      </c>
      <c r="G64" s="79">
        <v>0.0</v>
      </c>
      <c r="H64" s="79">
        <v>0.0</v>
      </c>
      <c r="I64" s="79">
        <v>0.0</v>
      </c>
      <c r="J64" s="79">
        <v>3.0</v>
      </c>
      <c r="K64" s="83"/>
      <c r="L64" s="54"/>
    </row>
    <row r="65" ht="22.5" customHeight="1">
      <c r="A65" s="79">
        <v>5.0</v>
      </c>
      <c r="B65" s="80">
        <v>45961.0</v>
      </c>
      <c r="C65" s="81" t="s">
        <v>103</v>
      </c>
      <c r="D65" s="81" t="s">
        <v>809</v>
      </c>
      <c r="E65" s="82">
        <v>0.11</v>
      </c>
      <c r="F65" s="82">
        <v>5.0</v>
      </c>
      <c r="G65" s="79">
        <v>0.0</v>
      </c>
      <c r="H65" s="79">
        <v>0.0</v>
      </c>
      <c r="I65" s="79">
        <v>0.0</v>
      </c>
      <c r="J65" s="79">
        <v>55.0</v>
      </c>
      <c r="K65" s="83"/>
      <c r="L65" s="54"/>
    </row>
    <row r="66" ht="22.5" customHeight="1">
      <c r="A66" s="79">
        <v>15.0</v>
      </c>
      <c r="B66" s="80">
        <v>45961.0</v>
      </c>
      <c r="C66" s="81" t="s">
        <v>247</v>
      </c>
      <c r="D66" s="81" t="s">
        <v>454</v>
      </c>
      <c r="E66" s="82">
        <v>0.11</v>
      </c>
      <c r="F66" s="82">
        <v>13.6</v>
      </c>
      <c r="G66" s="79">
        <v>0.0</v>
      </c>
      <c r="H66" s="79">
        <v>0.0</v>
      </c>
      <c r="I66" s="79">
        <v>0.0</v>
      </c>
      <c r="J66" s="79">
        <v>8.0</v>
      </c>
      <c r="K66" s="83"/>
      <c r="L66" s="54"/>
    </row>
    <row r="67" ht="22.5" customHeight="1">
      <c r="A67" s="79">
        <v>15.0</v>
      </c>
      <c r="B67" s="80">
        <v>45961.0</v>
      </c>
      <c r="C67" s="81" t="s">
        <v>247</v>
      </c>
      <c r="D67" s="81" t="s">
        <v>285</v>
      </c>
      <c r="E67" s="82">
        <v>0.11</v>
      </c>
      <c r="F67" s="82">
        <v>13.6</v>
      </c>
      <c r="G67" s="79">
        <v>0.0</v>
      </c>
      <c r="H67" s="79">
        <v>0.0</v>
      </c>
      <c r="I67" s="79">
        <v>0.0</v>
      </c>
      <c r="J67" s="79">
        <v>17.0</v>
      </c>
      <c r="K67" s="83"/>
      <c r="L67" s="54"/>
    </row>
    <row r="68" ht="22.5" customHeight="1">
      <c r="A68" s="79">
        <v>15.0</v>
      </c>
      <c r="B68" s="80">
        <v>45961.0</v>
      </c>
      <c r="C68" s="81" t="s">
        <v>247</v>
      </c>
      <c r="D68" s="81" t="s">
        <v>275</v>
      </c>
      <c r="E68" s="82">
        <v>0.11</v>
      </c>
      <c r="F68" s="82">
        <v>14.0</v>
      </c>
      <c r="G68" s="79">
        <v>0.0</v>
      </c>
      <c r="H68" s="79">
        <v>0.0</v>
      </c>
      <c r="I68" s="79">
        <v>0.0</v>
      </c>
      <c r="J68" s="79">
        <v>18.0</v>
      </c>
      <c r="K68" s="83"/>
      <c r="L68" s="54"/>
    </row>
    <row r="69" ht="22.5" customHeight="1">
      <c r="A69" s="79">
        <v>15.0</v>
      </c>
      <c r="B69" s="80">
        <v>45961.0</v>
      </c>
      <c r="C69" s="81" t="s">
        <v>247</v>
      </c>
      <c r="D69" s="81" t="s">
        <v>266</v>
      </c>
      <c r="E69" s="82">
        <v>0.11</v>
      </c>
      <c r="F69" s="82">
        <v>16.0</v>
      </c>
      <c r="G69" s="79">
        <v>0.0</v>
      </c>
      <c r="H69" s="79">
        <v>0.0</v>
      </c>
      <c r="I69" s="79">
        <v>0.0</v>
      </c>
      <c r="J69" s="79">
        <v>19.0</v>
      </c>
      <c r="K69" s="83"/>
      <c r="L69" s="54"/>
    </row>
    <row r="70" ht="22.5" customHeight="1">
      <c r="A70" s="79">
        <v>15.0</v>
      </c>
      <c r="B70" s="80">
        <v>45961.0</v>
      </c>
      <c r="C70" s="81" t="s">
        <v>247</v>
      </c>
      <c r="D70" s="81" t="s">
        <v>458</v>
      </c>
      <c r="E70" s="82">
        <v>0.11</v>
      </c>
      <c r="F70" s="82">
        <v>14.0</v>
      </c>
      <c r="G70" s="79">
        <v>0.0</v>
      </c>
      <c r="H70" s="79">
        <v>0.0</v>
      </c>
      <c r="I70" s="79">
        <v>0.0</v>
      </c>
      <c r="J70" s="79">
        <v>8.0</v>
      </c>
      <c r="K70" s="83"/>
      <c r="L70" s="54"/>
    </row>
    <row r="71" ht="22.5" customHeight="1">
      <c r="A71" s="79">
        <v>13.0</v>
      </c>
      <c r="B71" s="80">
        <v>45960.0</v>
      </c>
      <c r="C71" s="81" t="s">
        <v>468</v>
      </c>
      <c r="D71" s="81" t="s">
        <v>810</v>
      </c>
      <c r="E71" s="82">
        <v>0.11</v>
      </c>
      <c r="F71" s="82">
        <v>10.0</v>
      </c>
      <c r="G71" s="79">
        <v>0.0</v>
      </c>
      <c r="H71" s="79">
        <v>0.0</v>
      </c>
      <c r="I71" s="79">
        <v>0.0</v>
      </c>
      <c r="J71" s="79">
        <v>3.0</v>
      </c>
      <c r="K71" s="83"/>
      <c r="L71" s="54"/>
    </row>
    <row r="72" ht="22.5" customHeight="1">
      <c r="A72" s="79">
        <v>13.0</v>
      </c>
      <c r="B72" s="80">
        <v>45960.0</v>
      </c>
      <c r="C72" s="81" t="s">
        <v>468</v>
      </c>
      <c r="D72" s="81" t="s">
        <v>811</v>
      </c>
      <c r="E72" s="82">
        <v>0.11</v>
      </c>
      <c r="F72" s="82">
        <v>13.7</v>
      </c>
      <c r="G72" s="79">
        <v>0.0</v>
      </c>
      <c r="H72" s="79">
        <v>0.0</v>
      </c>
      <c r="I72" s="79">
        <v>0.0</v>
      </c>
      <c r="J72" s="79">
        <v>1.0</v>
      </c>
      <c r="K72" s="83"/>
      <c r="L72" s="54"/>
    </row>
    <row r="73" ht="22.5" customHeight="1">
      <c r="A73" s="79">
        <v>13.0</v>
      </c>
      <c r="B73" s="80">
        <v>45960.0</v>
      </c>
      <c r="C73" s="81" t="s">
        <v>468</v>
      </c>
      <c r="D73" s="81" t="s">
        <v>812</v>
      </c>
      <c r="E73" s="82">
        <v>0.11</v>
      </c>
      <c r="F73" s="82">
        <v>13.7</v>
      </c>
      <c r="G73" s="79">
        <v>0.0</v>
      </c>
      <c r="H73" s="79">
        <v>0.0</v>
      </c>
      <c r="I73" s="79">
        <v>0.0</v>
      </c>
      <c r="J73" s="79">
        <v>3.0</v>
      </c>
      <c r="K73" s="83"/>
      <c r="L73" s="54"/>
    </row>
    <row r="74" ht="22.5" customHeight="1">
      <c r="A74" s="79">
        <v>13.0</v>
      </c>
      <c r="B74" s="80">
        <v>45960.0</v>
      </c>
      <c r="C74" s="81" t="s">
        <v>468</v>
      </c>
      <c r="D74" s="81" t="s">
        <v>813</v>
      </c>
      <c r="E74" s="82">
        <v>0.11</v>
      </c>
      <c r="F74" s="82">
        <v>10.0</v>
      </c>
      <c r="G74" s="79">
        <v>0.0</v>
      </c>
      <c r="H74" s="79">
        <v>0.0</v>
      </c>
      <c r="I74" s="79">
        <v>0.0</v>
      </c>
      <c r="J74" s="79">
        <v>2.0</v>
      </c>
      <c r="K74" s="83"/>
      <c r="L74" s="54"/>
    </row>
    <row r="75" ht="22.5" customHeight="1">
      <c r="A75" s="79">
        <v>13.0</v>
      </c>
      <c r="B75" s="80">
        <v>45960.0</v>
      </c>
      <c r="C75" s="81" t="s">
        <v>468</v>
      </c>
      <c r="D75" s="81" t="s">
        <v>814</v>
      </c>
      <c r="E75" s="82">
        <v>0.11</v>
      </c>
      <c r="F75" s="82">
        <v>12.0</v>
      </c>
      <c r="G75" s="79">
        <v>0.0</v>
      </c>
      <c r="H75" s="79">
        <v>0.0</v>
      </c>
      <c r="I75" s="79">
        <v>0.0</v>
      </c>
      <c r="J75" s="79">
        <v>2.0</v>
      </c>
      <c r="K75" s="83"/>
      <c r="L75" s="54"/>
    </row>
    <row r="76" ht="22.5" customHeight="1">
      <c r="A76" s="79">
        <v>13.0</v>
      </c>
      <c r="B76" s="80">
        <v>45960.0</v>
      </c>
      <c r="C76" s="81" t="s">
        <v>468</v>
      </c>
      <c r="D76" s="81" t="s">
        <v>815</v>
      </c>
      <c r="E76" s="82">
        <v>0.11</v>
      </c>
      <c r="F76" s="82">
        <v>15.0</v>
      </c>
      <c r="G76" s="79">
        <v>0.0</v>
      </c>
      <c r="H76" s="79">
        <v>0.0</v>
      </c>
      <c r="I76" s="79">
        <v>0.0</v>
      </c>
      <c r="J76" s="79">
        <v>2.0</v>
      </c>
      <c r="K76" s="83"/>
      <c r="L76" s="54"/>
    </row>
    <row r="77" ht="22.5" customHeight="1">
      <c r="A77" s="79">
        <v>13.0</v>
      </c>
      <c r="B77" s="80">
        <v>45960.0</v>
      </c>
      <c r="C77" s="81" t="s">
        <v>468</v>
      </c>
      <c r="D77" s="81" t="s">
        <v>816</v>
      </c>
      <c r="E77" s="82">
        <v>0.11</v>
      </c>
      <c r="F77" s="82">
        <v>10.0</v>
      </c>
      <c r="G77" s="79">
        <v>0.0</v>
      </c>
      <c r="H77" s="79">
        <v>0.0</v>
      </c>
      <c r="I77" s="79">
        <v>0.0</v>
      </c>
      <c r="J77" s="79">
        <v>2.0</v>
      </c>
      <c r="K77" s="83"/>
      <c r="L77" s="54"/>
    </row>
    <row r="78" ht="22.5" customHeight="1">
      <c r="A78" s="79">
        <v>13.0</v>
      </c>
      <c r="B78" s="80">
        <v>45959.0</v>
      </c>
      <c r="C78" s="81" t="s">
        <v>468</v>
      </c>
      <c r="D78" s="81" t="s">
        <v>817</v>
      </c>
      <c r="E78" s="82">
        <v>0.11</v>
      </c>
      <c r="F78" s="82">
        <v>15.0</v>
      </c>
      <c r="G78" s="79">
        <v>0.0</v>
      </c>
      <c r="H78" s="79">
        <v>0.0</v>
      </c>
      <c r="I78" s="79">
        <v>0.0</v>
      </c>
      <c r="J78" s="79">
        <v>1.0</v>
      </c>
      <c r="K78" s="83"/>
      <c r="L78" s="54"/>
    </row>
    <row r="79" ht="22.5" customHeight="1">
      <c r="A79" s="79">
        <v>13.0</v>
      </c>
      <c r="B79" s="80">
        <v>45959.0</v>
      </c>
      <c r="C79" s="81" t="s">
        <v>468</v>
      </c>
      <c r="D79" s="81" t="s">
        <v>818</v>
      </c>
      <c r="E79" s="82">
        <v>0.11</v>
      </c>
      <c r="F79" s="82">
        <v>15.0</v>
      </c>
      <c r="G79" s="79">
        <v>0.0</v>
      </c>
      <c r="H79" s="79">
        <v>0.0</v>
      </c>
      <c r="I79" s="79">
        <v>0.0</v>
      </c>
      <c r="J79" s="79">
        <v>2.0</v>
      </c>
      <c r="K79" s="83"/>
      <c r="L79" s="54"/>
    </row>
    <row r="80" ht="22.5" customHeight="1">
      <c r="A80" s="79">
        <v>13.0</v>
      </c>
      <c r="B80" s="80">
        <v>45958.0</v>
      </c>
      <c r="C80" s="81" t="s">
        <v>468</v>
      </c>
      <c r="D80" s="81" t="s">
        <v>819</v>
      </c>
      <c r="E80" s="82">
        <v>0.11</v>
      </c>
      <c r="F80" s="82">
        <v>12.0</v>
      </c>
      <c r="G80" s="79">
        <v>0.0</v>
      </c>
      <c r="H80" s="79">
        <v>0.0</v>
      </c>
      <c r="I80" s="79">
        <v>0.0</v>
      </c>
      <c r="J80" s="79">
        <v>1.0</v>
      </c>
      <c r="K80" s="83"/>
      <c r="L80" s="54"/>
    </row>
    <row r="81" ht="22.5" customHeight="1">
      <c r="A81" s="79">
        <v>13.0</v>
      </c>
      <c r="B81" s="80">
        <v>45958.0</v>
      </c>
      <c r="C81" s="81" t="s">
        <v>468</v>
      </c>
      <c r="D81" s="81" t="s">
        <v>820</v>
      </c>
      <c r="E81" s="82">
        <v>0.11</v>
      </c>
      <c r="F81" s="82">
        <v>12.8</v>
      </c>
      <c r="G81" s="79">
        <v>0.0</v>
      </c>
      <c r="H81" s="79">
        <v>0.0</v>
      </c>
      <c r="I81" s="79">
        <v>0.0</v>
      </c>
      <c r="J81" s="79">
        <v>2.0</v>
      </c>
      <c r="K81" s="83"/>
      <c r="L81" s="54"/>
    </row>
    <row r="82" ht="22.5" customHeight="1">
      <c r="A82" s="79">
        <v>13.0</v>
      </c>
      <c r="B82" s="80">
        <v>45957.0</v>
      </c>
      <c r="C82" s="81" t="s">
        <v>468</v>
      </c>
      <c r="D82" s="81" t="s">
        <v>821</v>
      </c>
      <c r="E82" s="82">
        <v>0.11</v>
      </c>
      <c r="F82" s="82">
        <v>12.5</v>
      </c>
      <c r="G82" s="79">
        <v>0.0</v>
      </c>
      <c r="H82" s="79">
        <v>0.0</v>
      </c>
      <c r="I82" s="79">
        <v>0.0</v>
      </c>
      <c r="J82" s="79">
        <v>1.0</v>
      </c>
      <c r="K82" s="83"/>
      <c r="L82" s="54"/>
    </row>
    <row r="83" ht="22.5" customHeight="1">
      <c r="A83" s="79">
        <v>13.0</v>
      </c>
      <c r="B83" s="80">
        <v>45957.0</v>
      </c>
      <c r="C83" s="81" t="s">
        <v>468</v>
      </c>
      <c r="D83" s="81" t="s">
        <v>822</v>
      </c>
      <c r="E83" s="82">
        <v>0.11</v>
      </c>
      <c r="F83" s="82">
        <v>12.5</v>
      </c>
      <c r="G83" s="79">
        <v>0.0</v>
      </c>
      <c r="H83" s="79">
        <v>0.0</v>
      </c>
      <c r="I83" s="79">
        <v>0.0</v>
      </c>
      <c r="J83" s="79">
        <v>1.0</v>
      </c>
      <c r="K83" s="83"/>
      <c r="L83" s="54"/>
    </row>
    <row r="84" ht="22.5" customHeight="1">
      <c r="A84" s="79">
        <v>13.0</v>
      </c>
      <c r="B84" s="80">
        <v>45957.0</v>
      </c>
      <c r="C84" s="81" t="s">
        <v>468</v>
      </c>
      <c r="D84" s="81" t="s">
        <v>823</v>
      </c>
      <c r="E84" s="82">
        <v>0.11</v>
      </c>
      <c r="F84" s="82">
        <v>16.0</v>
      </c>
      <c r="G84" s="79">
        <v>0.0</v>
      </c>
      <c r="H84" s="79">
        <v>0.0</v>
      </c>
      <c r="I84" s="79">
        <v>0.0</v>
      </c>
      <c r="J84" s="79">
        <v>0.0</v>
      </c>
      <c r="K84" s="83"/>
      <c r="L84" s="54"/>
    </row>
    <row r="85" ht="22.5" customHeight="1">
      <c r="A85" s="79">
        <v>13.0</v>
      </c>
      <c r="B85" s="80">
        <v>45956.0</v>
      </c>
      <c r="C85" s="81" t="s">
        <v>468</v>
      </c>
      <c r="D85" s="81" t="s">
        <v>824</v>
      </c>
      <c r="E85" s="82">
        <v>0.11</v>
      </c>
      <c r="F85" s="82">
        <v>12.0</v>
      </c>
      <c r="G85" s="79">
        <v>0.0</v>
      </c>
      <c r="H85" s="79">
        <v>0.0</v>
      </c>
      <c r="I85" s="79">
        <v>0.0</v>
      </c>
      <c r="J85" s="79">
        <v>0.0</v>
      </c>
      <c r="K85" s="83"/>
      <c r="L85" s="54"/>
    </row>
    <row r="86" ht="22.5" customHeight="1">
      <c r="A86" s="79">
        <v>13.0</v>
      </c>
      <c r="B86" s="80">
        <v>45956.0</v>
      </c>
      <c r="C86" s="81" t="s">
        <v>468</v>
      </c>
      <c r="D86" s="81" t="s">
        <v>825</v>
      </c>
      <c r="E86" s="82">
        <v>0.11</v>
      </c>
      <c r="F86" s="82">
        <v>12.0</v>
      </c>
      <c r="G86" s="79">
        <v>0.0</v>
      </c>
      <c r="H86" s="79">
        <v>0.0</v>
      </c>
      <c r="I86" s="79">
        <v>0.0</v>
      </c>
      <c r="J86" s="79">
        <v>0.0</v>
      </c>
      <c r="K86" s="83"/>
      <c r="L86" s="54"/>
    </row>
    <row r="87" ht="22.5" customHeight="1">
      <c r="A87" s="79">
        <v>15.0</v>
      </c>
      <c r="B87" s="80">
        <v>45956.0</v>
      </c>
      <c r="C87" s="81" t="s">
        <v>247</v>
      </c>
      <c r="D87" s="81" t="s">
        <v>456</v>
      </c>
      <c r="E87" s="82">
        <v>0.11</v>
      </c>
      <c r="F87" s="82">
        <v>18.05</v>
      </c>
      <c r="G87" s="79">
        <v>0.0</v>
      </c>
      <c r="H87" s="79">
        <v>0.0</v>
      </c>
      <c r="I87" s="79">
        <v>0.0</v>
      </c>
      <c r="J87" s="79">
        <v>3.0</v>
      </c>
      <c r="K87" s="83"/>
      <c r="L87" s="54"/>
    </row>
    <row r="88" ht="22.5" customHeight="1">
      <c r="A88" s="79">
        <v>15.0</v>
      </c>
      <c r="B88" s="80">
        <v>45956.0</v>
      </c>
      <c r="C88" s="81" t="s">
        <v>247</v>
      </c>
      <c r="D88" s="81" t="s">
        <v>453</v>
      </c>
      <c r="E88" s="82">
        <v>0.11</v>
      </c>
      <c r="F88" s="82">
        <v>15.0</v>
      </c>
      <c r="G88" s="79">
        <v>0.0</v>
      </c>
      <c r="H88" s="79">
        <v>0.0</v>
      </c>
      <c r="I88" s="79">
        <v>0.0</v>
      </c>
      <c r="J88" s="79">
        <v>3.0</v>
      </c>
      <c r="K88" s="83"/>
      <c r="L88" s="54"/>
    </row>
    <row r="89" ht="22.5" customHeight="1">
      <c r="A89" s="79">
        <v>15.0</v>
      </c>
      <c r="B89" s="80">
        <v>45956.0</v>
      </c>
      <c r="C89" s="81" t="s">
        <v>247</v>
      </c>
      <c r="D89" s="81" t="s">
        <v>451</v>
      </c>
      <c r="E89" s="82">
        <v>0.11</v>
      </c>
      <c r="F89" s="82">
        <v>17.0</v>
      </c>
      <c r="G89" s="79">
        <v>0.0</v>
      </c>
      <c r="H89" s="79">
        <v>0.0</v>
      </c>
      <c r="I89" s="79">
        <v>0.0</v>
      </c>
      <c r="J89" s="79">
        <v>3.0</v>
      </c>
      <c r="K89" s="83"/>
      <c r="L89" s="54"/>
    </row>
    <row r="90" ht="22.5" customHeight="1">
      <c r="A90" s="79">
        <v>15.0</v>
      </c>
      <c r="B90" s="80">
        <v>45956.0</v>
      </c>
      <c r="C90" s="81" t="s">
        <v>247</v>
      </c>
      <c r="D90" s="81" t="s">
        <v>433</v>
      </c>
      <c r="E90" s="82">
        <v>0.11</v>
      </c>
      <c r="F90" s="82">
        <v>17.0</v>
      </c>
      <c r="G90" s="79">
        <v>0.0</v>
      </c>
      <c r="H90" s="79">
        <v>0.0</v>
      </c>
      <c r="I90" s="79">
        <v>0.0</v>
      </c>
      <c r="J90" s="79">
        <v>5.0</v>
      </c>
      <c r="K90" s="83"/>
      <c r="L90" s="54"/>
    </row>
    <row r="91" ht="22.5" customHeight="1">
      <c r="A91" s="79">
        <v>15.0</v>
      </c>
      <c r="B91" s="80">
        <v>45956.0</v>
      </c>
      <c r="C91" s="81" t="s">
        <v>247</v>
      </c>
      <c r="D91" s="81" t="s">
        <v>422</v>
      </c>
      <c r="E91" s="82">
        <v>0.11</v>
      </c>
      <c r="F91" s="82">
        <v>15.0</v>
      </c>
      <c r="G91" s="79">
        <v>0.0</v>
      </c>
      <c r="H91" s="79">
        <v>0.0</v>
      </c>
      <c r="I91" s="79">
        <v>0.0</v>
      </c>
      <c r="J91" s="79">
        <v>6.0</v>
      </c>
      <c r="K91" s="83"/>
      <c r="L91" s="54"/>
    </row>
    <row r="92" ht="22.5" customHeight="1">
      <c r="A92" s="79">
        <v>15.0</v>
      </c>
      <c r="B92" s="80">
        <v>45956.0</v>
      </c>
      <c r="C92" s="81" t="s">
        <v>247</v>
      </c>
      <c r="D92" s="81" t="s">
        <v>295</v>
      </c>
      <c r="E92" s="82">
        <v>0.11</v>
      </c>
      <c r="F92" s="82">
        <v>17.0</v>
      </c>
      <c r="G92" s="79">
        <v>0.0</v>
      </c>
      <c r="H92" s="79">
        <v>0.0</v>
      </c>
      <c r="I92" s="79">
        <v>0.0</v>
      </c>
      <c r="J92" s="79">
        <v>11.0</v>
      </c>
      <c r="K92" s="83"/>
      <c r="L92" s="54"/>
    </row>
    <row r="93" ht="22.5" customHeight="1">
      <c r="A93" s="79">
        <v>5.0</v>
      </c>
      <c r="B93" s="80">
        <v>45956.0</v>
      </c>
      <c r="C93" s="81" t="s">
        <v>103</v>
      </c>
      <c r="D93" s="81" t="s">
        <v>826</v>
      </c>
      <c r="E93" s="82">
        <v>0.11</v>
      </c>
      <c r="F93" s="82">
        <v>7.0</v>
      </c>
      <c r="G93" s="79">
        <v>0.0</v>
      </c>
      <c r="H93" s="79">
        <v>0.0</v>
      </c>
      <c r="I93" s="79">
        <v>0.0</v>
      </c>
      <c r="J93" s="79">
        <v>50.0</v>
      </c>
      <c r="K93" s="83"/>
      <c r="L93" s="54"/>
    </row>
    <row r="94" ht="22.5" customHeight="1">
      <c r="A94" s="79">
        <v>15.0</v>
      </c>
      <c r="B94" s="80">
        <v>45956.0</v>
      </c>
      <c r="C94" s="81" t="s">
        <v>247</v>
      </c>
      <c r="D94" s="81" t="s">
        <v>443</v>
      </c>
      <c r="E94" s="82">
        <v>0.11</v>
      </c>
      <c r="F94" s="82">
        <v>18.05</v>
      </c>
      <c r="G94" s="79">
        <v>0.0</v>
      </c>
      <c r="H94" s="79">
        <v>0.0</v>
      </c>
      <c r="I94" s="79">
        <v>0.0</v>
      </c>
      <c r="J94" s="79">
        <v>4.0</v>
      </c>
      <c r="K94" s="83"/>
      <c r="L94" s="54"/>
    </row>
    <row r="95" ht="22.5" customHeight="1">
      <c r="A95" s="79">
        <v>15.0</v>
      </c>
      <c r="B95" s="80">
        <v>45955.0</v>
      </c>
      <c r="C95" s="81" t="s">
        <v>247</v>
      </c>
      <c r="D95" s="81" t="s">
        <v>465</v>
      </c>
      <c r="E95" s="82">
        <v>0.11</v>
      </c>
      <c r="F95" s="82">
        <v>15.0</v>
      </c>
      <c r="G95" s="79">
        <v>0.0</v>
      </c>
      <c r="H95" s="79">
        <v>0.0</v>
      </c>
      <c r="I95" s="79">
        <v>0.0</v>
      </c>
      <c r="J95" s="79">
        <v>1.0</v>
      </c>
      <c r="K95" s="83"/>
      <c r="L95" s="54"/>
    </row>
    <row r="96" ht="22.5" customHeight="1">
      <c r="A96" s="79">
        <v>13.0</v>
      </c>
      <c r="B96" s="80">
        <v>45955.0</v>
      </c>
      <c r="C96" s="81" t="s">
        <v>468</v>
      </c>
      <c r="D96" s="81" t="s">
        <v>827</v>
      </c>
      <c r="E96" s="82">
        <v>0.11</v>
      </c>
      <c r="F96" s="82">
        <v>10.0</v>
      </c>
      <c r="G96" s="79">
        <v>0.0</v>
      </c>
      <c r="H96" s="79">
        <v>0.0</v>
      </c>
      <c r="I96" s="79">
        <v>0.0</v>
      </c>
      <c r="J96" s="79">
        <v>0.0</v>
      </c>
      <c r="K96" s="83"/>
      <c r="L96" s="54"/>
    </row>
    <row r="97" ht="22.5" customHeight="1">
      <c r="A97" s="79">
        <v>15.0</v>
      </c>
      <c r="B97" s="80">
        <v>45955.0</v>
      </c>
      <c r="C97" s="81" t="s">
        <v>247</v>
      </c>
      <c r="D97" s="81" t="s">
        <v>438</v>
      </c>
      <c r="E97" s="82">
        <v>0.11</v>
      </c>
      <c r="F97" s="82">
        <v>15.0</v>
      </c>
      <c r="G97" s="79">
        <v>0.0</v>
      </c>
      <c r="H97" s="79">
        <v>0.0</v>
      </c>
      <c r="I97" s="79">
        <v>0.0</v>
      </c>
      <c r="J97" s="79">
        <v>4.0</v>
      </c>
      <c r="K97" s="83"/>
      <c r="L97" s="54"/>
    </row>
    <row r="98" ht="22.5" customHeight="1">
      <c r="A98" s="79">
        <v>15.0</v>
      </c>
      <c r="B98" s="80">
        <v>45955.0</v>
      </c>
      <c r="C98" s="81" t="s">
        <v>247</v>
      </c>
      <c r="D98" s="81" t="s">
        <v>414</v>
      </c>
      <c r="E98" s="82">
        <v>0.11</v>
      </c>
      <c r="F98" s="82">
        <v>15.1</v>
      </c>
      <c r="G98" s="79">
        <v>0.0</v>
      </c>
      <c r="H98" s="79">
        <v>0.0</v>
      </c>
      <c r="I98" s="79">
        <v>0.0</v>
      </c>
      <c r="J98" s="79">
        <v>6.0</v>
      </c>
      <c r="K98" s="83"/>
      <c r="L98" s="54"/>
    </row>
    <row r="99" ht="22.5" customHeight="1">
      <c r="A99" s="79">
        <v>13.0</v>
      </c>
      <c r="B99" s="80">
        <v>45955.0</v>
      </c>
      <c r="C99" s="81" t="s">
        <v>468</v>
      </c>
      <c r="D99" s="81" t="s">
        <v>828</v>
      </c>
      <c r="E99" s="82">
        <v>0.11</v>
      </c>
      <c r="F99" s="82">
        <v>16.0</v>
      </c>
      <c r="G99" s="79">
        <v>0.0</v>
      </c>
      <c r="H99" s="79">
        <v>0.0</v>
      </c>
      <c r="I99" s="79">
        <v>0.0</v>
      </c>
      <c r="J99" s="79">
        <v>0.0</v>
      </c>
      <c r="K99" s="83"/>
      <c r="L99" s="54"/>
    </row>
    <row r="100" ht="22.5" customHeight="1">
      <c r="A100" s="79">
        <v>15.0</v>
      </c>
      <c r="B100" s="80">
        <v>45955.0</v>
      </c>
      <c r="C100" s="81" t="s">
        <v>247</v>
      </c>
      <c r="D100" s="81" t="s">
        <v>435</v>
      </c>
      <c r="E100" s="82">
        <v>0.11</v>
      </c>
      <c r="F100" s="82">
        <v>15.2</v>
      </c>
      <c r="G100" s="79">
        <v>0.0</v>
      </c>
      <c r="H100" s="79">
        <v>0.0</v>
      </c>
      <c r="I100" s="79">
        <v>0.0</v>
      </c>
      <c r="J100" s="79">
        <v>4.0</v>
      </c>
      <c r="K100" s="83"/>
      <c r="L100" s="54"/>
    </row>
    <row r="101" ht="22.5" customHeight="1">
      <c r="A101" s="79">
        <v>15.0</v>
      </c>
      <c r="B101" s="80">
        <v>45955.0</v>
      </c>
      <c r="C101" s="81" t="s">
        <v>247</v>
      </c>
      <c r="D101" s="81" t="s">
        <v>276</v>
      </c>
      <c r="E101" s="82">
        <v>0.11</v>
      </c>
      <c r="F101" s="82">
        <v>15.1</v>
      </c>
      <c r="G101" s="79">
        <v>0.0</v>
      </c>
      <c r="H101" s="79">
        <v>0.0</v>
      </c>
      <c r="I101" s="79">
        <v>0.0</v>
      </c>
      <c r="J101" s="79">
        <v>12.0</v>
      </c>
      <c r="K101" s="83"/>
      <c r="L101" s="54"/>
    </row>
    <row r="102" ht="22.5" customHeight="1">
      <c r="A102" s="79">
        <v>15.0</v>
      </c>
      <c r="B102" s="80">
        <v>45955.0</v>
      </c>
      <c r="C102" s="81" t="s">
        <v>247</v>
      </c>
      <c r="D102" s="81" t="s">
        <v>268</v>
      </c>
      <c r="E102" s="82">
        <v>0.11</v>
      </c>
      <c r="F102" s="82">
        <v>15.0</v>
      </c>
      <c r="G102" s="79">
        <v>0.0</v>
      </c>
      <c r="H102" s="79">
        <v>0.0</v>
      </c>
      <c r="I102" s="79">
        <v>0.0</v>
      </c>
      <c r="J102" s="79">
        <v>12.0</v>
      </c>
      <c r="K102" s="83"/>
      <c r="L102" s="54"/>
    </row>
    <row r="103" ht="22.5" customHeight="1">
      <c r="A103" s="79">
        <v>15.0</v>
      </c>
      <c r="B103" s="80">
        <v>45955.0</v>
      </c>
      <c r="C103" s="81" t="s">
        <v>247</v>
      </c>
      <c r="D103" s="81" t="s">
        <v>262</v>
      </c>
      <c r="E103" s="82">
        <v>0.11</v>
      </c>
      <c r="F103" s="82">
        <v>14.4</v>
      </c>
      <c r="G103" s="79">
        <v>0.0</v>
      </c>
      <c r="H103" s="79">
        <v>0.0</v>
      </c>
      <c r="I103" s="79">
        <v>0.0</v>
      </c>
      <c r="J103" s="79">
        <v>13.0</v>
      </c>
      <c r="K103" s="83"/>
      <c r="L103" s="54"/>
    </row>
    <row r="104" ht="22.5" customHeight="1">
      <c r="A104" s="79">
        <v>15.0</v>
      </c>
      <c r="B104" s="80">
        <v>45955.0</v>
      </c>
      <c r="C104" s="81" t="s">
        <v>247</v>
      </c>
      <c r="D104" s="81" t="s">
        <v>259</v>
      </c>
      <c r="E104" s="82">
        <v>0.11</v>
      </c>
      <c r="F104" s="82">
        <v>15.0</v>
      </c>
      <c r="G104" s="79">
        <v>0.0</v>
      </c>
      <c r="H104" s="79">
        <v>0.0</v>
      </c>
      <c r="I104" s="79">
        <v>0.0</v>
      </c>
      <c r="J104" s="79">
        <v>13.0</v>
      </c>
      <c r="K104" s="83"/>
      <c r="L104" s="54"/>
    </row>
    <row r="105" ht="22.5" customHeight="1">
      <c r="A105" s="79">
        <v>6.0</v>
      </c>
      <c r="B105" s="80">
        <v>45955.0</v>
      </c>
      <c r="C105" s="81" t="s">
        <v>172</v>
      </c>
      <c r="D105" s="81" t="s">
        <v>829</v>
      </c>
      <c r="E105" s="82">
        <v>0.11</v>
      </c>
      <c r="F105" s="82">
        <v>12.0</v>
      </c>
      <c r="G105" s="79">
        <v>0.0</v>
      </c>
      <c r="H105" s="79">
        <v>0.0</v>
      </c>
      <c r="I105" s="79">
        <v>0.0</v>
      </c>
      <c r="J105" s="79">
        <v>31.0</v>
      </c>
      <c r="K105" s="83"/>
      <c r="L105" s="54"/>
    </row>
    <row r="106" ht="22.5" customHeight="1">
      <c r="A106" s="79">
        <v>4.0</v>
      </c>
      <c r="B106" s="80">
        <v>45955.0</v>
      </c>
      <c r="C106" s="81" t="s">
        <v>85</v>
      </c>
      <c r="D106" s="81" t="s">
        <v>830</v>
      </c>
      <c r="E106" s="82">
        <v>0.11</v>
      </c>
      <c r="F106" s="82">
        <v>15.1</v>
      </c>
      <c r="G106" s="79">
        <v>0.0</v>
      </c>
      <c r="H106" s="79">
        <v>0.0</v>
      </c>
      <c r="I106" s="79">
        <v>0.0</v>
      </c>
      <c r="J106" s="79">
        <v>51.0</v>
      </c>
      <c r="K106" s="83"/>
      <c r="L106" s="54"/>
    </row>
    <row r="107" ht="22.5" customHeight="1">
      <c r="A107" s="79">
        <v>15.0</v>
      </c>
      <c r="B107" s="80">
        <v>45955.0</v>
      </c>
      <c r="C107" s="81" t="s">
        <v>247</v>
      </c>
      <c r="D107" s="81" t="s">
        <v>286</v>
      </c>
      <c r="E107" s="82">
        <v>0.11</v>
      </c>
      <c r="F107" s="82">
        <v>15.0</v>
      </c>
      <c r="G107" s="79">
        <v>0.0</v>
      </c>
      <c r="H107" s="79">
        <v>0.0</v>
      </c>
      <c r="I107" s="79">
        <v>0.0</v>
      </c>
      <c r="J107" s="79">
        <v>11.0</v>
      </c>
      <c r="K107" s="83"/>
      <c r="L107" s="54"/>
    </row>
    <row r="108" ht="22.5" customHeight="1">
      <c r="A108" s="79">
        <v>15.0</v>
      </c>
      <c r="B108" s="80">
        <v>45954.0</v>
      </c>
      <c r="C108" s="81" t="s">
        <v>247</v>
      </c>
      <c r="D108" s="81" t="s">
        <v>400</v>
      </c>
      <c r="E108" s="82">
        <v>0.11</v>
      </c>
      <c r="F108" s="82">
        <v>15.0</v>
      </c>
      <c r="G108" s="79">
        <v>0.0</v>
      </c>
      <c r="H108" s="79">
        <v>0.0</v>
      </c>
      <c r="I108" s="79">
        <v>0.0</v>
      </c>
      <c r="J108" s="79">
        <v>7.0</v>
      </c>
      <c r="K108" s="83"/>
      <c r="L108" s="54"/>
    </row>
    <row r="109" ht="22.5" customHeight="1">
      <c r="A109" s="79">
        <v>15.0</v>
      </c>
      <c r="B109" s="80">
        <v>45954.0</v>
      </c>
      <c r="C109" s="81" t="s">
        <v>247</v>
      </c>
      <c r="D109" s="81" t="s">
        <v>447</v>
      </c>
      <c r="E109" s="82">
        <v>0.11</v>
      </c>
      <c r="F109" s="82">
        <v>18.0</v>
      </c>
      <c r="G109" s="79">
        <v>0.0</v>
      </c>
      <c r="H109" s="79">
        <v>0.0</v>
      </c>
      <c r="I109" s="79">
        <v>0.0</v>
      </c>
      <c r="J109" s="79">
        <v>2.0</v>
      </c>
      <c r="K109" s="83"/>
      <c r="L109" s="54"/>
    </row>
    <row r="110" ht="22.5" customHeight="1">
      <c r="A110" s="79">
        <v>15.0</v>
      </c>
      <c r="B110" s="80">
        <v>45954.0</v>
      </c>
      <c r="C110" s="81" t="s">
        <v>247</v>
      </c>
      <c r="D110" s="81" t="s">
        <v>463</v>
      </c>
      <c r="E110" s="82">
        <v>0.11</v>
      </c>
      <c r="F110" s="82">
        <v>19.0</v>
      </c>
      <c r="G110" s="79">
        <v>0.0</v>
      </c>
      <c r="H110" s="79">
        <v>0.0</v>
      </c>
      <c r="I110" s="79">
        <v>0.0</v>
      </c>
      <c r="J110" s="79">
        <v>0.0</v>
      </c>
      <c r="K110" s="83"/>
      <c r="L110" s="54"/>
    </row>
    <row r="111" ht="22.5" customHeight="1">
      <c r="A111" s="79">
        <v>6.0</v>
      </c>
      <c r="B111" s="80">
        <v>45953.0</v>
      </c>
      <c r="C111" s="81" t="s">
        <v>172</v>
      </c>
      <c r="D111" s="81" t="s">
        <v>831</v>
      </c>
      <c r="E111" s="82">
        <v>0.11</v>
      </c>
      <c r="F111" s="82">
        <v>14.0</v>
      </c>
      <c r="G111" s="79">
        <v>0.0</v>
      </c>
      <c r="H111" s="79">
        <v>0.0</v>
      </c>
      <c r="I111" s="79">
        <v>0.0</v>
      </c>
      <c r="J111" s="79">
        <v>29.0</v>
      </c>
      <c r="K111" s="83"/>
      <c r="L111" s="54"/>
    </row>
    <row r="112" ht="22.5" customHeight="1">
      <c r="A112" s="79">
        <v>15.0</v>
      </c>
      <c r="B112" s="80">
        <v>45953.0</v>
      </c>
      <c r="C112" s="81" t="s">
        <v>247</v>
      </c>
      <c r="D112" s="81" t="s">
        <v>397</v>
      </c>
      <c r="E112" s="82">
        <v>0.11</v>
      </c>
      <c r="F112" s="82">
        <v>19.0</v>
      </c>
      <c r="G112" s="79">
        <v>0.0</v>
      </c>
      <c r="H112" s="79">
        <v>0.0</v>
      </c>
      <c r="I112" s="79">
        <v>0.0</v>
      </c>
      <c r="J112" s="79">
        <v>6.0</v>
      </c>
      <c r="K112" s="83"/>
      <c r="L112" s="54"/>
    </row>
    <row r="113" ht="22.5" customHeight="1">
      <c r="A113" s="79">
        <v>15.0</v>
      </c>
      <c r="B113" s="80">
        <v>45953.0</v>
      </c>
      <c r="C113" s="81" t="s">
        <v>247</v>
      </c>
      <c r="D113" s="81" t="s">
        <v>408</v>
      </c>
      <c r="E113" s="82">
        <v>0.11</v>
      </c>
      <c r="F113" s="82">
        <v>14.21</v>
      </c>
      <c r="G113" s="79">
        <v>0.0</v>
      </c>
      <c r="H113" s="79">
        <v>0.0</v>
      </c>
      <c r="I113" s="79">
        <v>0.0</v>
      </c>
      <c r="J113" s="79">
        <v>5.0</v>
      </c>
      <c r="K113" s="83"/>
      <c r="L113" s="54"/>
    </row>
    <row r="114" ht="22.5" customHeight="1">
      <c r="A114" s="79">
        <v>15.0</v>
      </c>
      <c r="B114" s="80">
        <v>45953.0</v>
      </c>
      <c r="C114" s="81" t="s">
        <v>247</v>
      </c>
      <c r="D114" s="81" t="s">
        <v>418</v>
      </c>
      <c r="E114" s="82">
        <v>0.11</v>
      </c>
      <c r="F114" s="82">
        <v>16.25</v>
      </c>
      <c r="G114" s="79">
        <v>0.0</v>
      </c>
      <c r="H114" s="79">
        <v>0.0</v>
      </c>
      <c r="I114" s="79">
        <v>0.0</v>
      </c>
      <c r="J114" s="79">
        <v>4.0</v>
      </c>
      <c r="K114" s="83"/>
      <c r="L114" s="54"/>
    </row>
    <row r="115" ht="22.5" customHeight="1">
      <c r="A115" s="79">
        <v>15.0</v>
      </c>
      <c r="B115" s="80">
        <v>45953.0</v>
      </c>
      <c r="C115" s="81" t="s">
        <v>247</v>
      </c>
      <c r="D115" s="81" t="s">
        <v>445</v>
      </c>
      <c r="E115" s="82">
        <v>0.11</v>
      </c>
      <c r="F115" s="82">
        <v>14.0</v>
      </c>
      <c r="G115" s="79">
        <v>0.0</v>
      </c>
      <c r="H115" s="79">
        <v>0.0</v>
      </c>
      <c r="I115" s="79">
        <v>0.0</v>
      </c>
      <c r="J115" s="79">
        <v>1.0</v>
      </c>
      <c r="K115" s="83"/>
      <c r="L115" s="54"/>
    </row>
    <row r="116" ht="22.5" customHeight="1">
      <c r="A116" s="79">
        <v>15.0</v>
      </c>
      <c r="B116" s="80">
        <v>45953.0</v>
      </c>
      <c r="C116" s="81" t="s">
        <v>247</v>
      </c>
      <c r="D116" s="81" t="s">
        <v>452</v>
      </c>
      <c r="E116" s="82">
        <v>0.11</v>
      </c>
      <c r="F116" s="82">
        <v>16.25</v>
      </c>
      <c r="G116" s="79">
        <v>0.0</v>
      </c>
      <c r="H116" s="79">
        <v>0.0</v>
      </c>
      <c r="I116" s="79">
        <v>0.0</v>
      </c>
      <c r="J116" s="79">
        <v>0.0</v>
      </c>
      <c r="K116" s="83"/>
      <c r="L116" s="54"/>
    </row>
    <row r="117" ht="22.5" customHeight="1">
      <c r="A117" s="79">
        <v>15.0</v>
      </c>
      <c r="B117" s="80">
        <v>45953.0</v>
      </c>
      <c r="C117" s="81" t="s">
        <v>247</v>
      </c>
      <c r="D117" s="81" t="s">
        <v>457</v>
      </c>
      <c r="E117" s="82">
        <v>0.11</v>
      </c>
      <c r="F117" s="82">
        <v>19.0</v>
      </c>
      <c r="G117" s="79">
        <v>0.0</v>
      </c>
      <c r="H117" s="79">
        <v>0.0</v>
      </c>
      <c r="I117" s="79">
        <v>0.0</v>
      </c>
      <c r="J117" s="79">
        <v>0.0</v>
      </c>
      <c r="K117" s="83"/>
      <c r="L117" s="54"/>
    </row>
    <row r="118" ht="22.5" customHeight="1">
      <c r="A118" s="79">
        <v>14.0</v>
      </c>
      <c r="B118" s="80">
        <v>45952.0</v>
      </c>
      <c r="C118" s="81" t="s">
        <v>247</v>
      </c>
      <c r="D118" s="81" t="s">
        <v>446</v>
      </c>
      <c r="E118" s="82">
        <v>0.11</v>
      </c>
      <c r="F118" s="82">
        <v>17.0</v>
      </c>
      <c r="G118" s="79">
        <v>0.0</v>
      </c>
      <c r="H118" s="79">
        <v>0.0</v>
      </c>
      <c r="I118" s="79">
        <v>0.0</v>
      </c>
      <c r="J118" s="79">
        <v>0.0</v>
      </c>
      <c r="K118" s="83"/>
      <c r="L118" s="54"/>
    </row>
    <row r="119" ht="22.5" customHeight="1">
      <c r="A119" s="79">
        <v>14.0</v>
      </c>
      <c r="B119" s="80">
        <v>45952.0</v>
      </c>
      <c r="C119" s="81" t="s">
        <v>247</v>
      </c>
      <c r="D119" s="81" t="s">
        <v>432</v>
      </c>
      <c r="E119" s="82">
        <v>0.11</v>
      </c>
      <c r="F119" s="82">
        <v>15.0</v>
      </c>
      <c r="G119" s="79">
        <v>0.0</v>
      </c>
      <c r="H119" s="79">
        <v>0.0</v>
      </c>
      <c r="I119" s="79">
        <v>0.0</v>
      </c>
      <c r="J119" s="79">
        <v>1.0</v>
      </c>
      <c r="K119" s="83"/>
      <c r="L119" s="54"/>
    </row>
    <row r="120" ht="22.5" customHeight="1">
      <c r="A120" s="79">
        <v>14.0</v>
      </c>
      <c r="B120" s="80">
        <v>45952.0</v>
      </c>
      <c r="C120" s="81" t="s">
        <v>247</v>
      </c>
      <c r="D120" s="81" t="s">
        <v>440</v>
      </c>
      <c r="E120" s="82">
        <v>0.11</v>
      </c>
      <c r="F120" s="82">
        <v>19.0</v>
      </c>
      <c r="G120" s="79">
        <v>0.0</v>
      </c>
      <c r="H120" s="79">
        <v>0.0</v>
      </c>
      <c r="I120" s="79">
        <v>0.0</v>
      </c>
      <c r="J120" s="79">
        <v>1.0</v>
      </c>
      <c r="K120" s="83"/>
      <c r="L120" s="54"/>
    </row>
    <row r="121" ht="22.5" customHeight="1">
      <c r="A121" s="79">
        <v>14.0</v>
      </c>
      <c r="B121" s="80">
        <v>45951.0</v>
      </c>
      <c r="C121" s="81" t="s">
        <v>247</v>
      </c>
      <c r="D121" s="81" t="s">
        <v>427</v>
      </c>
      <c r="E121" s="82">
        <v>0.11</v>
      </c>
      <c r="F121" s="82">
        <v>19.0</v>
      </c>
      <c r="G121" s="79">
        <v>0.0</v>
      </c>
      <c r="H121" s="79">
        <v>0.0</v>
      </c>
      <c r="I121" s="79">
        <v>0.0</v>
      </c>
      <c r="J121" s="79">
        <v>1.0</v>
      </c>
      <c r="K121" s="83"/>
      <c r="L121" s="54"/>
    </row>
    <row r="122" ht="22.5" customHeight="1">
      <c r="A122" s="79">
        <v>14.0</v>
      </c>
      <c r="B122" s="80">
        <v>45951.0</v>
      </c>
      <c r="C122" s="81" t="s">
        <v>247</v>
      </c>
      <c r="D122" s="81" t="s">
        <v>428</v>
      </c>
      <c r="E122" s="82">
        <v>0.11</v>
      </c>
      <c r="F122" s="82">
        <v>17.1</v>
      </c>
      <c r="G122" s="79">
        <v>0.0</v>
      </c>
      <c r="H122" s="79">
        <v>0.0</v>
      </c>
      <c r="I122" s="79">
        <v>0.0</v>
      </c>
      <c r="J122" s="79">
        <v>1.0</v>
      </c>
      <c r="K122" s="83"/>
      <c r="L122" s="54"/>
    </row>
    <row r="123" ht="22.5" customHeight="1">
      <c r="A123" s="79">
        <v>14.0</v>
      </c>
      <c r="B123" s="80">
        <v>45951.0</v>
      </c>
      <c r="C123" s="81" t="s">
        <v>247</v>
      </c>
      <c r="D123" s="81" t="s">
        <v>429</v>
      </c>
      <c r="E123" s="82">
        <v>0.11</v>
      </c>
      <c r="F123" s="82">
        <v>25.0</v>
      </c>
      <c r="G123" s="79">
        <v>0.0</v>
      </c>
      <c r="H123" s="79">
        <v>0.0</v>
      </c>
      <c r="I123" s="79">
        <v>0.0</v>
      </c>
      <c r="J123" s="79">
        <v>1.0</v>
      </c>
      <c r="K123" s="83"/>
      <c r="L123" s="54"/>
    </row>
    <row r="124" ht="22.5" customHeight="1">
      <c r="A124" s="79">
        <v>14.0</v>
      </c>
      <c r="B124" s="80">
        <v>45951.0</v>
      </c>
      <c r="C124" s="81" t="s">
        <v>247</v>
      </c>
      <c r="D124" s="81" t="s">
        <v>430</v>
      </c>
      <c r="E124" s="82">
        <v>0.11</v>
      </c>
      <c r="F124" s="82">
        <v>18.0</v>
      </c>
      <c r="G124" s="79">
        <v>0.0</v>
      </c>
      <c r="H124" s="79">
        <v>0.0</v>
      </c>
      <c r="I124" s="79">
        <v>0.0</v>
      </c>
      <c r="J124" s="79">
        <v>1.0</v>
      </c>
      <c r="K124" s="83"/>
      <c r="L124" s="54"/>
    </row>
    <row r="125" ht="22.5" customHeight="1">
      <c r="A125" s="79">
        <v>14.0</v>
      </c>
      <c r="B125" s="80">
        <v>45950.0</v>
      </c>
      <c r="C125" s="81" t="s">
        <v>247</v>
      </c>
      <c r="D125" s="81" t="s">
        <v>409</v>
      </c>
      <c r="E125" s="82">
        <v>0.11</v>
      </c>
      <c r="F125" s="82">
        <v>16.25</v>
      </c>
      <c r="G125" s="79">
        <v>0.0</v>
      </c>
      <c r="H125" s="79">
        <v>0.0</v>
      </c>
      <c r="I125" s="79">
        <v>0.0</v>
      </c>
      <c r="J125" s="79">
        <v>2.0</v>
      </c>
      <c r="K125" s="83"/>
      <c r="L125" s="54"/>
    </row>
    <row r="126" ht="22.5" customHeight="1">
      <c r="A126" s="79">
        <v>14.0</v>
      </c>
      <c r="B126" s="80">
        <v>45950.0</v>
      </c>
      <c r="C126" s="81" t="s">
        <v>247</v>
      </c>
      <c r="D126" s="81" t="s">
        <v>426</v>
      </c>
      <c r="E126" s="82">
        <v>0.11</v>
      </c>
      <c r="F126" s="82">
        <v>16.25</v>
      </c>
      <c r="G126" s="79">
        <v>0.0</v>
      </c>
      <c r="H126" s="79">
        <v>0.0</v>
      </c>
      <c r="I126" s="79">
        <v>0.0</v>
      </c>
      <c r="J126" s="79">
        <v>0.0</v>
      </c>
      <c r="K126" s="83"/>
      <c r="L126" s="54"/>
    </row>
    <row r="127" ht="22.5" customHeight="1">
      <c r="A127" s="79">
        <v>14.0</v>
      </c>
      <c r="B127" s="80">
        <v>45950.0</v>
      </c>
      <c r="C127" s="81" t="s">
        <v>247</v>
      </c>
      <c r="D127" s="81" t="s">
        <v>421</v>
      </c>
      <c r="E127" s="82">
        <v>0.11</v>
      </c>
      <c r="F127" s="82">
        <v>19.0</v>
      </c>
      <c r="G127" s="79">
        <v>0.0</v>
      </c>
      <c r="H127" s="79">
        <v>0.0</v>
      </c>
      <c r="I127" s="79">
        <v>0.0</v>
      </c>
      <c r="J127" s="79">
        <v>0.0</v>
      </c>
      <c r="K127" s="83"/>
      <c r="L127" s="54"/>
    </row>
    <row r="128" ht="22.5" customHeight="1">
      <c r="A128" s="79">
        <v>14.0</v>
      </c>
      <c r="B128" s="80">
        <v>45950.0</v>
      </c>
      <c r="C128" s="81" t="s">
        <v>247</v>
      </c>
      <c r="D128" s="81" t="s">
        <v>288</v>
      </c>
      <c r="E128" s="82">
        <v>0.11</v>
      </c>
      <c r="F128" s="82">
        <v>16.25</v>
      </c>
      <c r="G128" s="79">
        <v>0.0</v>
      </c>
      <c r="H128" s="79">
        <v>0.0</v>
      </c>
      <c r="I128" s="79">
        <v>0.0</v>
      </c>
      <c r="J128" s="79">
        <v>5.0</v>
      </c>
      <c r="K128" s="83"/>
      <c r="L128" s="54"/>
    </row>
    <row r="129" ht="22.5" customHeight="1">
      <c r="A129" s="79">
        <v>14.0</v>
      </c>
      <c r="B129" s="80">
        <v>45950.0</v>
      </c>
      <c r="C129" s="81" t="s">
        <v>247</v>
      </c>
      <c r="D129" s="81" t="s">
        <v>267</v>
      </c>
      <c r="E129" s="82">
        <v>0.11</v>
      </c>
      <c r="F129" s="82">
        <v>16.25</v>
      </c>
      <c r="G129" s="79">
        <v>0.0</v>
      </c>
      <c r="H129" s="79">
        <v>0.0</v>
      </c>
      <c r="I129" s="79">
        <v>0.0</v>
      </c>
      <c r="J129" s="79">
        <v>8.0</v>
      </c>
      <c r="K129" s="83"/>
      <c r="L129" s="54"/>
    </row>
    <row r="130" ht="22.5" customHeight="1">
      <c r="A130" s="79">
        <v>14.0</v>
      </c>
      <c r="B130" s="80">
        <v>45950.0</v>
      </c>
      <c r="C130" s="81" t="s">
        <v>247</v>
      </c>
      <c r="D130" s="81" t="s">
        <v>260</v>
      </c>
      <c r="E130" s="82">
        <v>0.11</v>
      </c>
      <c r="F130" s="82">
        <v>19.0</v>
      </c>
      <c r="G130" s="79">
        <v>0.0</v>
      </c>
      <c r="H130" s="79">
        <v>0.0</v>
      </c>
      <c r="I130" s="79">
        <v>0.0</v>
      </c>
      <c r="J130" s="79">
        <v>8.0</v>
      </c>
      <c r="K130" s="83"/>
      <c r="L130" s="54"/>
    </row>
    <row r="131" ht="22.5" customHeight="1">
      <c r="A131" s="79">
        <v>5.0</v>
      </c>
      <c r="B131" s="80">
        <v>45950.0</v>
      </c>
      <c r="C131" s="81" t="s">
        <v>103</v>
      </c>
      <c r="D131" s="81" t="s">
        <v>832</v>
      </c>
      <c r="E131" s="82">
        <v>0.11</v>
      </c>
      <c r="F131" s="82">
        <v>15.0</v>
      </c>
      <c r="G131" s="79">
        <v>0.0</v>
      </c>
      <c r="H131" s="79">
        <v>0.0</v>
      </c>
      <c r="I131" s="79">
        <v>0.0</v>
      </c>
      <c r="J131" s="79">
        <v>44.0</v>
      </c>
      <c r="K131" s="83"/>
      <c r="L131" s="54"/>
    </row>
    <row r="132" ht="22.5" customHeight="1">
      <c r="A132" s="79">
        <v>14.0</v>
      </c>
      <c r="B132" s="80">
        <v>45949.0</v>
      </c>
      <c r="C132" s="81" t="s">
        <v>247</v>
      </c>
      <c r="D132" s="81" t="s">
        <v>410</v>
      </c>
      <c r="E132" s="82">
        <v>0.11</v>
      </c>
      <c r="F132" s="82">
        <v>18.0</v>
      </c>
      <c r="G132" s="79">
        <v>0.0</v>
      </c>
      <c r="H132" s="79">
        <v>0.0</v>
      </c>
      <c r="I132" s="79">
        <v>0.0</v>
      </c>
      <c r="J132" s="79">
        <v>1.0</v>
      </c>
      <c r="K132" s="83"/>
      <c r="L132" s="54"/>
    </row>
    <row r="133" ht="22.5" customHeight="1">
      <c r="A133" s="79">
        <v>14.0</v>
      </c>
      <c r="B133" s="80">
        <v>45949.0</v>
      </c>
      <c r="C133" s="81" t="s">
        <v>247</v>
      </c>
      <c r="D133" s="81" t="s">
        <v>411</v>
      </c>
      <c r="E133" s="82">
        <v>0.11</v>
      </c>
      <c r="F133" s="82">
        <v>18.0</v>
      </c>
      <c r="G133" s="79">
        <v>0.0</v>
      </c>
      <c r="H133" s="79">
        <v>0.0</v>
      </c>
      <c r="I133" s="79">
        <v>0.0</v>
      </c>
      <c r="J133" s="79">
        <v>0.0</v>
      </c>
      <c r="K133" s="83"/>
      <c r="L133" s="54"/>
    </row>
    <row r="134" ht="22.5" customHeight="1">
      <c r="A134" s="79">
        <v>14.0</v>
      </c>
      <c r="B134" s="80">
        <v>45949.0</v>
      </c>
      <c r="C134" s="81" t="s">
        <v>247</v>
      </c>
      <c r="D134" s="81" t="s">
        <v>407</v>
      </c>
      <c r="E134" s="82">
        <v>0.11</v>
      </c>
      <c r="F134" s="82">
        <v>18.0</v>
      </c>
      <c r="G134" s="79">
        <v>0.0</v>
      </c>
      <c r="H134" s="79">
        <v>0.0</v>
      </c>
      <c r="I134" s="79">
        <v>0.0</v>
      </c>
      <c r="J134" s="79">
        <v>1.0</v>
      </c>
      <c r="K134" s="83"/>
      <c r="L134" s="54"/>
    </row>
    <row r="135" ht="22.5" customHeight="1">
      <c r="A135" s="79">
        <v>14.0</v>
      </c>
      <c r="B135" s="80">
        <v>45949.0</v>
      </c>
      <c r="C135" s="81" t="s">
        <v>247</v>
      </c>
      <c r="D135" s="81" t="s">
        <v>420</v>
      </c>
      <c r="E135" s="82">
        <v>0.11</v>
      </c>
      <c r="F135" s="82">
        <v>15.0</v>
      </c>
      <c r="G135" s="79">
        <v>0.0</v>
      </c>
      <c r="H135" s="79">
        <v>0.0</v>
      </c>
      <c r="I135" s="79">
        <v>0.0</v>
      </c>
      <c r="J135" s="79">
        <v>0.0</v>
      </c>
      <c r="K135" s="83"/>
      <c r="L135" s="54"/>
    </row>
    <row r="136" ht="22.5" customHeight="1">
      <c r="A136" s="79">
        <v>14.0</v>
      </c>
      <c r="B136" s="80">
        <v>45949.0</v>
      </c>
      <c r="C136" s="81" t="s">
        <v>247</v>
      </c>
      <c r="D136" s="81" t="s">
        <v>416</v>
      </c>
      <c r="E136" s="82">
        <v>0.11</v>
      </c>
      <c r="F136" s="82">
        <v>15.0</v>
      </c>
      <c r="G136" s="79">
        <v>0.0</v>
      </c>
      <c r="H136" s="79">
        <v>0.0</v>
      </c>
      <c r="I136" s="79">
        <v>0.0</v>
      </c>
      <c r="J136" s="79">
        <v>0.0</v>
      </c>
      <c r="K136" s="83"/>
      <c r="L136" s="54"/>
    </row>
    <row r="137" ht="22.5" customHeight="1">
      <c r="A137" s="79">
        <v>14.0</v>
      </c>
      <c r="B137" s="80">
        <v>45949.0</v>
      </c>
      <c r="C137" s="81" t="s">
        <v>247</v>
      </c>
      <c r="D137" s="81" t="s">
        <v>399</v>
      </c>
      <c r="E137" s="82">
        <v>0.11</v>
      </c>
      <c r="F137" s="82">
        <v>15.0</v>
      </c>
      <c r="G137" s="79">
        <v>0.0</v>
      </c>
      <c r="H137" s="79">
        <v>0.0</v>
      </c>
      <c r="I137" s="79">
        <v>0.0</v>
      </c>
      <c r="J137" s="79">
        <v>2.0</v>
      </c>
      <c r="K137" s="83"/>
      <c r="L137" s="54"/>
    </row>
    <row r="138" ht="22.5" customHeight="1">
      <c r="A138" s="79">
        <v>4.0</v>
      </c>
      <c r="B138" s="80">
        <v>45949.0</v>
      </c>
      <c r="C138" s="81" t="s">
        <v>85</v>
      </c>
      <c r="D138" s="81" t="s">
        <v>833</v>
      </c>
      <c r="E138" s="82">
        <v>0.11</v>
      </c>
      <c r="F138" s="82">
        <v>12.0</v>
      </c>
      <c r="G138" s="79">
        <v>0.0</v>
      </c>
      <c r="H138" s="79">
        <v>0.0</v>
      </c>
      <c r="I138" s="79">
        <v>0.0</v>
      </c>
      <c r="J138" s="79">
        <v>45.0</v>
      </c>
      <c r="K138" s="83"/>
      <c r="L138" s="54"/>
    </row>
    <row r="139" ht="22.5" customHeight="1">
      <c r="A139" s="79">
        <v>14.0</v>
      </c>
      <c r="B139" s="80">
        <v>45949.0</v>
      </c>
      <c r="C139" s="81" t="s">
        <v>247</v>
      </c>
      <c r="D139" s="81" t="s">
        <v>283</v>
      </c>
      <c r="E139" s="82">
        <v>0.11</v>
      </c>
      <c r="F139" s="82">
        <v>19.0</v>
      </c>
      <c r="G139" s="79">
        <v>0.0</v>
      </c>
      <c r="H139" s="79">
        <v>0.0</v>
      </c>
      <c r="I139" s="79">
        <v>0.0</v>
      </c>
      <c r="J139" s="79">
        <v>5.0</v>
      </c>
      <c r="K139" s="83"/>
      <c r="L139" s="54"/>
    </row>
    <row r="140" ht="22.5" customHeight="1">
      <c r="A140" s="79">
        <v>14.0</v>
      </c>
      <c r="B140" s="80">
        <v>45949.0</v>
      </c>
      <c r="C140" s="81" t="s">
        <v>247</v>
      </c>
      <c r="D140" s="81" t="s">
        <v>282</v>
      </c>
      <c r="E140" s="82">
        <v>0.11</v>
      </c>
      <c r="F140" s="82">
        <v>15.08</v>
      </c>
      <c r="G140" s="79">
        <v>0.0</v>
      </c>
      <c r="H140" s="79">
        <v>0.0</v>
      </c>
      <c r="I140" s="79">
        <v>0.0</v>
      </c>
      <c r="J140" s="79">
        <v>5.0</v>
      </c>
      <c r="K140" s="83"/>
      <c r="L140" s="54"/>
    </row>
    <row r="141" ht="22.5" customHeight="1">
      <c r="A141" s="79">
        <v>14.0</v>
      </c>
      <c r="B141" s="80">
        <v>45949.0</v>
      </c>
      <c r="C141" s="81" t="s">
        <v>247</v>
      </c>
      <c r="D141" s="81" t="s">
        <v>258</v>
      </c>
      <c r="E141" s="82">
        <v>0.11</v>
      </c>
      <c r="F141" s="82">
        <v>19.0</v>
      </c>
      <c r="G141" s="79">
        <v>0.0</v>
      </c>
      <c r="H141" s="79">
        <v>0.0</v>
      </c>
      <c r="I141" s="79">
        <v>0.0</v>
      </c>
      <c r="J141" s="79">
        <v>7.0</v>
      </c>
      <c r="K141" s="83"/>
      <c r="L141" s="54"/>
    </row>
    <row r="142" ht="22.5" customHeight="1">
      <c r="A142" s="79">
        <v>14.0</v>
      </c>
      <c r="B142" s="80">
        <v>45949.0</v>
      </c>
      <c r="C142" s="81" t="s">
        <v>247</v>
      </c>
      <c r="D142" s="81" t="s">
        <v>254</v>
      </c>
      <c r="E142" s="82">
        <v>0.11</v>
      </c>
      <c r="F142" s="82">
        <v>20.0</v>
      </c>
      <c r="G142" s="79">
        <v>0.0</v>
      </c>
      <c r="H142" s="79">
        <v>0.0</v>
      </c>
      <c r="I142" s="79">
        <v>0.0</v>
      </c>
      <c r="J142" s="79">
        <v>8.0</v>
      </c>
      <c r="K142" s="83"/>
      <c r="L142" s="54"/>
    </row>
    <row r="143" ht="22.5" customHeight="1">
      <c r="A143" s="79">
        <v>14.0</v>
      </c>
      <c r="B143" s="80">
        <v>45949.0</v>
      </c>
      <c r="C143" s="81" t="s">
        <v>247</v>
      </c>
      <c r="D143" s="81" t="s">
        <v>287</v>
      </c>
      <c r="E143" s="82">
        <v>0.11</v>
      </c>
      <c r="F143" s="82">
        <v>20.0</v>
      </c>
      <c r="G143" s="79">
        <v>0.0</v>
      </c>
      <c r="H143" s="79">
        <v>0.0</v>
      </c>
      <c r="I143" s="79">
        <v>0.0</v>
      </c>
      <c r="J143" s="79">
        <v>5.0</v>
      </c>
      <c r="K143" s="83"/>
      <c r="L143" s="54"/>
    </row>
    <row r="144" ht="22.5" customHeight="1">
      <c r="A144" s="79">
        <v>4.0</v>
      </c>
      <c r="B144" s="80">
        <v>45949.0</v>
      </c>
      <c r="C144" s="81" t="s">
        <v>85</v>
      </c>
      <c r="D144" s="81" t="s">
        <v>834</v>
      </c>
      <c r="E144" s="82">
        <v>0.11</v>
      </c>
      <c r="F144" s="82">
        <v>12.0</v>
      </c>
      <c r="G144" s="79">
        <v>0.0</v>
      </c>
      <c r="H144" s="79">
        <v>0.0</v>
      </c>
      <c r="I144" s="79">
        <v>0.0</v>
      </c>
      <c r="J144" s="79">
        <v>45.0</v>
      </c>
      <c r="K144" s="83"/>
      <c r="L144" s="54"/>
    </row>
    <row r="145" ht="22.5" customHeight="1">
      <c r="A145" s="79">
        <v>14.0</v>
      </c>
      <c r="B145" s="80">
        <v>45948.0</v>
      </c>
      <c r="C145" s="81" t="s">
        <v>247</v>
      </c>
      <c r="D145" s="81" t="s">
        <v>309</v>
      </c>
      <c r="E145" s="82">
        <v>0.11</v>
      </c>
      <c r="F145" s="82">
        <v>19.0</v>
      </c>
      <c r="G145" s="79">
        <v>0.0</v>
      </c>
      <c r="H145" s="79">
        <v>0.0</v>
      </c>
      <c r="I145" s="79">
        <v>0.0</v>
      </c>
      <c r="J145" s="79">
        <v>1.0</v>
      </c>
      <c r="K145" s="83"/>
      <c r="L145" s="54"/>
    </row>
    <row r="146" ht="22.5" customHeight="1">
      <c r="A146" s="79">
        <v>14.0</v>
      </c>
      <c r="B146" s="80">
        <v>45948.0</v>
      </c>
      <c r="C146" s="81" t="s">
        <v>247</v>
      </c>
      <c r="D146" s="81" t="s">
        <v>311</v>
      </c>
      <c r="E146" s="82">
        <v>0.11</v>
      </c>
      <c r="F146" s="82">
        <v>18.0</v>
      </c>
      <c r="G146" s="79">
        <v>0.0</v>
      </c>
      <c r="H146" s="79">
        <v>0.0</v>
      </c>
      <c r="I146" s="79">
        <v>0.0</v>
      </c>
      <c r="J146" s="79">
        <v>1.0</v>
      </c>
      <c r="K146" s="83"/>
      <c r="L146" s="54"/>
    </row>
    <row r="147" ht="22.5" customHeight="1">
      <c r="A147" s="79">
        <v>14.0</v>
      </c>
      <c r="B147" s="80">
        <v>45948.0</v>
      </c>
      <c r="C147" s="81" t="s">
        <v>247</v>
      </c>
      <c r="D147" s="81" t="s">
        <v>396</v>
      </c>
      <c r="E147" s="82">
        <v>0.11</v>
      </c>
      <c r="F147" s="82">
        <v>15.0</v>
      </c>
      <c r="G147" s="79">
        <v>0.0</v>
      </c>
      <c r="H147" s="79">
        <v>0.0</v>
      </c>
      <c r="I147" s="79">
        <v>0.0</v>
      </c>
      <c r="J147" s="79">
        <v>1.0</v>
      </c>
      <c r="K147" s="83"/>
      <c r="L147" s="54"/>
    </row>
    <row r="148" ht="22.5" customHeight="1">
      <c r="A148" s="79">
        <v>14.0</v>
      </c>
      <c r="B148" s="80">
        <v>45948.0</v>
      </c>
      <c r="C148" s="81" t="s">
        <v>247</v>
      </c>
      <c r="D148" s="81" t="s">
        <v>281</v>
      </c>
      <c r="E148" s="82">
        <v>0.11</v>
      </c>
      <c r="F148" s="82">
        <v>15.0</v>
      </c>
      <c r="G148" s="79">
        <v>0.0</v>
      </c>
      <c r="H148" s="79">
        <v>0.0</v>
      </c>
      <c r="I148" s="79">
        <v>0.0</v>
      </c>
      <c r="J148" s="79">
        <v>4.0</v>
      </c>
      <c r="K148" s="83"/>
      <c r="L148" s="54"/>
    </row>
    <row r="149" ht="22.5" customHeight="1">
      <c r="A149" s="79">
        <v>14.0</v>
      </c>
      <c r="B149" s="80">
        <v>45948.0</v>
      </c>
      <c r="C149" s="81" t="s">
        <v>247</v>
      </c>
      <c r="D149" s="81" t="s">
        <v>405</v>
      </c>
      <c r="E149" s="82">
        <v>0.11</v>
      </c>
      <c r="F149" s="82">
        <v>17.5</v>
      </c>
      <c r="G149" s="79">
        <v>0.0</v>
      </c>
      <c r="H149" s="79">
        <v>0.0</v>
      </c>
      <c r="I149" s="79">
        <v>0.0</v>
      </c>
      <c r="J149" s="79">
        <v>0.0</v>
      </c>
      <c r="K149" s="83"/>
      <c r="L149" s="54"/>
    </row>
    <row r="150" ht="22.5" customHeight="1">
      <c r="A150" s="79">
        <v>14.0</v>
      </c>
      <c r="B150" s="80">
        <v>45948.0</v>
      </c>
      <c r="C150" s="81" t="s">
        <v>247</v>
      </c>
      <c r="D150" s="81" t="s">
        <v>406</v>
      </c>
      <c r="E150" s="82">
        <v>0.11</v>
      </c>
      <c r="F150" s="82">
        <v>15.0</v>
      </c>
      <c r="G150" s="79">
        <v>0.0</v>
      </c>
      <c r="H150" s="79">
        <v>0.0</v>
      </c>
      <c r="I150" s="79">
        <v>0.0</v>
      </c>
      <c r="J150" s="79">
        <v>0.0</v>
      </c>
      <c r="K150" s="83"/>
      <c r="L150" s="54"/>
    </row>
    <row r="151" ht="22.5" customHeight="1">
      <c r="A151" s="79">
        <v>14.0</v>
      </c>
      <c r="B151" s="80">
        <v>45948.0</v>
      </c>
      <c r="C151" s="81" t="s">
        <v>247</v>
      </c>
      <c r="D151" s="81" t="s">
        <v>308</v>
      </c>
      <c r="E151" s="82">
        <v>0.11</v>
      </c>
      <c r="F151" s="82">
        <v>19.0</v>
      </c>
      <c r="G151" s="79">
        <v>0.0</v>
      </c>
      <c r="H151" s="79">
        <v>0.0</v>
      </c>
      <c r="I151" s="79">
        <v>0.0</v>
      </c>
      <c r="J151" s="79">
        <v>1.0</v>
      </c>
      <c r="K151" s="83"/>
      <c r="L151" s="54"/>
    </row>
    <row r="152" ht="22.5" customHeight="1">
      <c r="A152" s="79">
        <v>14.0</v>
      </c>
      <c r="B152" s="80">
        <v>45948.0</v>
      </c>
      <c r="C152" s="81" t="s">
        <v>247</v>
      </c>
      <c r="D152" s="81" t="s">
        <v>403</v>
      </c>
      <c r="E152" s="82">
        <v>0.11</v>
      </c>
      <c r="F152" s="82">
        <v>17.5</v>
      </c>
      <c r="G152" s="79">
        <v>0.0</v>
      </c>
      <c r="H152" s="79">
        <v>0.0</v>
      </c>
      <c r="I152" s="79">
        <v>0.0</v>
      </c>
      <c r="J152" s="79">
        <v>0.0</v>
      </c>
      <c r="K152" s="83"/>
      <c r="L152" s="54"/>
    </row>
    <row r="153" ht="22.5" customHeight="1">
      <c r="A153" s="79">
        <v>14.0</v>
      </c>
      <c r="B153" s="80">
        <v>45948.0</v>
      </c>
      <c r="C153" s="81" t="s">
        <v>247</v>
      </c>
      <c r="D153" s="81" t="s">
        <v>306</v>
      </c>
      <c r="E153" s="82">
        <v>0.11</v>
      </c>
      <c r="F153" s="82">
        <v>18.0</v>
      </c>
      <c r="G153" s="79">
        <v>0.0</v>
      </c>
      <c r="H153" s="79">
        <v>0.0</v>
      </c>
      <c r="I153" s="79">
        <v>0.0</v>
      </c>
      <c r="J153" s="79">
        <v>2.0</v>
      </c>
      <c r="K153" s="83"/>
      <c r="L153" s="54"/>
    </row>
    <row r="154" ht="22.5" customHeight="1">
      <c r="A154" s="79">
        <v>5.0</v>
      </c>
      <c r="B154" s="80">
        <v>45948.0</v>
      </c>
      <c r="C154" s="81" t="s">
        <v>103</v>
      </c>
      <c r="D154" s="81" t="s">
        <v>835</v>
      </c>
      <c r="E154" s="82">
        <v>0.11</v>
      </c>
      <c r="F154" s="82">
        <v>4.0</v>
      </c>
      <c r="G154" s="79">
        <v>0.0</v>
      </c>
      <c r="H154" s="79">
        <v>0.0</v>
      </c>
      <c r="I154" s="79">
        <v>0.0</v>
      </c>
      <c r="J154" s="79">
        <v>42.0</v>
      </c>
      <c r="K154" s="83"/>
      <c r="L154" s="54"/>
    </row>
    <row r="155" ht="22.5" customHeight="1">
      <c r="A155" s="79">
        <v>14.0</v>
      </c>
      <c r="B155" s="80">
        <v>45948.0</v>
      </c>
      <c r="C155" s="81" t="s">
        <v>247</v>
      </c>
      <c r="D155" s="81" t="s">
        <v>299</v>
      </c>
      <c r="E155" s="82">
        <v>0.11</v>
      </c>
      <c r="F155" s="82">
        <v>16.0</v>
      </c>
      <c r="G155" s="79">
        <v>0.0</v>
      </c>
      <c r="H155" s="79">
        <v>0.0</v>
      </c>
      <c r="I155" s="79">
        <v>0.0</v>
      </c>
      <c r="J155" s="79">
        <v>2.0</v>
      </c>
      <c r="K155" s="83"/>
      <c r="L155" s="54"/>
    </row>
    <row r="156" ht="22.5" customHeight="1">
      <c r="A156" s="79">
        <v>14.0</v>
      </c>
      <c r="B156" s="80">
        <v>45948.0</v>
      </c>
      <c r="C156" s="81" t="s">
        <v>247</v>
      </c>
      <c r="D156" s="81" t="s">
        <v>298</v>
      </c>
      <c r="E156" s="82">
        <v>0.11</v>
      </c>
      <c r="F156" s="82">
        <v>18.0</v>
      </c>
      <c r="G156" s="79">
        <v>0.0</v>
      </c>
      <c r="H156" s="79">
        <v>0.0</v>
      </c>
      <c r="I156" s="79">
        <v>0.0</v>
      </c>
      <c r="J156" s="79">
        <v>2.0</v>
      </c>
      <c r="K156" s="83"/>
      <c r="L156" s="54"/>
    </row>
    <row r="157" ht="22.5" customHeight="1">
      <c r="A157" s="79">
        <v>14.0</v>
      </c>
      <c r="B157" s="80">
        <v>45948.0</v>
      </c>
      <c r="C157" s="81" t="s">
        <v>247</v>
      </c>
      <c r="D157" s="81" t="s">
        <v>290</v>
      </c>
      <c r="E157" s="82">
        <v>0.11</v>
      </c>
      <c r="F157" s="82">
        <v>18.0</v>
      </c>
      <c r="G157" s="79">
        <v>0.0</v>
      </c>
      <c r="H157" s="79">
        <v>0.0</v>
      </c>
      <c r="I157" s="79">
        <v>0.0</v>
      </c>
      <c r="J157" s="79">
        <v>3.0</v>
      </c>
      <c r="K157" s="83"/>
      <c r="L157" s="54"/>
    </row>
    <row r="158" ht="22.5" customHeight="1">
      <c r="A158" s="79">
        <v>6.0</v>
      </c>
      <c r="B158" s="80">
        <v>45948.0</v>
      </c>
      <c r="C158" s="81" t="s">
        <v>172</v>
      </c>
      <c r="D158" s="81" t="s">
        <v>836</v>
      </c>
      <c r="E158" s="82">
        <v>0.11</v>
      </c>
      <c r="F158" s="82">
        <v>12.0</v>
      </c>
      <c r="G158" s="79">
        <v>0.0</v>
      </c>
      <c r="H158" s="79">
        <v>0.0</v>
      </c>
      <c r="I158" s="79">
        <v>0.0</v>
      </c>
      <c r="J158" s="79">
        <v>24.0</v>
      </c>
      <c r="K158" s="83"/>
      <c r="L158" s="54"/>
    </row>
    <row r="159" ht="22.5" customHeight="1">
      <c r="A159" s="79">
        <v>4.0</v>
      </c>
      <c r="B159" s="80">
        <v>45948.0</v>
      </c>
      <c r="C159" s="81" t="s">
        <v>85</v>
      </c>
      <c r="D159" s="81" t="s">
        <v>837</v>
      </c>
      <c r="E159" s="82">
        <v>0.11</v>
      </c>
      <c r="F159" s="82">
        <v>12.5</v>
      </c>
      <c r="G159" s="79">
        <v>0.0</v>
      </c>
      <c r="H159" s="79">
        <v>0.0</v>
      </c>
      <c r="I159" s="79">
        <v>0.0</v>
      </c>
      <c r="J159" s="79">
        <v>44.0</v>
      </c>
      <c r="K159" s="83"/>
      <c r="L159" s="54"/>
    </row>
    <row r="160" ht="22.5" customHeight="1">
      <c r="A160" s="79">
        <v>4.0</v>
      </c>
      <c r="B160" s="80">
        <v>45948.0</v>
      </c>
      <c r="C160" s="81" t="s">
        <v>85</v>
      </c>
      <c r="D160" s="81" t="s">
        <v>838</v>
      </c>
      <c r="E160" s="82">
        <v>0.11</v>
      </c>
      <c r="F160" s="82">
        <v>12.5</v>
      </c>
      <c r="G160" s="79">
        <v>0.0</v>
      </c>
      <c r="H160" s="79">
        <v>0.0</v>
      </c>
      <c r="I160" s="79">
        <v>0.0</v>
      </c>
      <c r="J160" s="79">
        <v>44.0</v>
      </c>
      <c r="K160" s="83"/>
      <c r="L160" s="54"/>
    </row>
    <row r="161" ht="22.5" customHeight="1">
      <c r="A161" s="79">
        <v>14.0</v>
      </c>
      <c r="B161" s="80">
        <v>45948.0</v>
      </c>
      <c r="C161" s="81" t="s">
        <v>247</v>
      </c>
      <c r="D161" s="81" t="s">
        <v>301</v>
      </c>
      <c r="E161" s="82">
        <v>0.11</v>
      </c>
      <c r="F161" s="82">
        <v>15.2</v>
      </c>
      <c r="G161" s="79">
        <v>0.0</v>
      </c>
      <c r="H161" s="79">
        <v>0.0</v>
      </c>
      <c r="I161" s="79">
        <v>0.0</v>
      </c>
      <c r="J161" s="79">
        <v>2.0</v>
      </c>
      <c r="K161" s="83"/>
      <c r="L161" s="54"/>
    </row>
    <row r="162" ht="22.5" customHeight="1">
      <c r="A162" s="79">
        <v>14.0</v>
      </c>
      <c r="B162" s="80">
        <v>45946.0</v>
      </c>
      <c r="C162" s="81" t="s">
        <v>247</v>
      </c>
      <c r="D162" s="81" t="s">
        <v>296</v>
      </c>
      <c r="E162" s="82">
        <v>0.11</v>
      </c>
      <c r="F162" s="82">
        <v>19.0</v>
      </c>
      <c r="G162" s="79">
        <v>0.0</v>
      </c>
      <c r="H162" s="79">
        <v>0.0</v>
      </c>
      <c r="I162" s="79">
        <v>0.0</v>
      </c>
      <c r="J162" s="79">
        <v>1.0</v>
      </c>
      <c r="K162" s="83"/>
      <c r="L162" s="54"/>
    </row>
    <row r="163" ht="22.5" customHeight="1">
      <c r="A163" s="79">
        <v>14.0</v>
      </c>
      <c r="B163" s="80">
        <v>45946.0</v>
      </c>
      <c r="C163" s="81" t="s">
        <v>247</v>
      </c>
      <c r="D163" s="81" t="s">
        <v>305</v>
      </c>
      <c r="E163" s="82">
        <v>0.11</v>
      </c>
      <c r="F163" s="82">
        <v>19.0</v>
      </c>
      <c r="G163" s="79">
        <v>0.0</v>
      </c>
      <c r="H163" s="79">
        <v>0.0</v>
      </c>
      <c r="I163" s="79">
        <v>0.0</v>
      </c>
      <c r="J163" s="79">
        <v>0.0</v>
      </c>
      <c r="K163" s="83"/>
      <c r="L163" s="54"/>
    </row>
    <row r="164" ht="22.5" customHeight="1">
      <c r="A164" s="79">
        <v>14.0</v>
      </c>
      <c r="B164" s="80">
        <v>45946.0</v>
      </c>
      <c r="C164" s="81" t="s">
        <v>247</v>
      </c>
      <c r="D164" s="81" t="s">
        <v>302</v>
      </c>
      <c r="E164" s="82">
        <v>0.11</v>
      </c>
      <c r="F164" s="82">
        <v>15.0</v>
      </c>
      <c r="G164" s="79">
        <v>0.0</v>
      </c>
      <c r="H164" s="79">
        <v>0.0</v>
      </c>
      <c r="I164" s="79">
        <v>0.0</v>
      </c>
      <c r="J164" s="79">
        <v>0.0</v>
      </c>
      <c r="K164" s="83"/>
      <c r="L164" s="54"/>
    </row>
    <row r="165" ht="22.5" customHeight="1">
      <c r="A165" s="79">
        <v>14.0</v>
      </c>
      <c r="B165" s="80">
        <v>45946.0</v>
      </c>
      <c r="C165" s="81" t="s">
        <v>247</v>
      </c>
      <c r="D165" s="81" t="s">
        <v>294</v>
      </c>
      <c r="E165" s="82">
        <v>0.11</v>
      </c>
      <c r="F165" s="82">
        <v>15.0</v>
      </c>
      <c r="G165" s="79">
        <v>0.0</v>
      </c>
      <c r="H165" s="79">
        <v>0.0</v>
      </c>
      <c r="I165" s="79">
        <v>0.0</v>
      </c>
      <c r="J165" s="79">
        <v>1.0</v>
      </c>
      <c r="K165" s="83"/>
      <c r="L165" s="54"/>
    </row>
    <row r="166" ht="22.5" customHeight="1">
      <c r="A166" s="79">
        <v>14.0</v>
      </c>
      <c r="B166" s="80">
        <v>45946.0</v>
      </c>
      <c r="C166" s="81" t="s">
        <v>247</v>
      </c>
      <c r="D166" s="81" t="s">
        <v>289</v>
      </c>
      <c r="E166" s="82">
        <v>0.11</v>
      </c>
      <c r="F166" s="82">
        <v>15.0</v>
      </c>
      <c r="G166" s="79">
        <v>0.0</v>
      </c>
      <c r="H166" s="79">
        <v>0.0</v>
      </c>
      <c r="I166" s="79">
        <v>0.0</v>
      </c>
      <c r="J166" s="79">
        <v>1.0</v>
      </c>
      <c r="K166" s="83"/>
      <c r="L166" s="54"/>
    </row>
    <row r="167" ht="22.5" customHeight="1">
      <c r="A167" s="79">
        <v>14.0</v>
      </c>
      <c r="B167" s="80">
        <v>45946.0</v>
      </c>
      <c r="C167" s="81" t="s">
        <v>247</v>
      </c>
      <c r="D167" s="81" t="s">
        <v>278</v>
      </c>
      <c r="E167" s="82">
        <v>0.11</v>
      </c>
      <c r="F167" s="82">
        <v>17.6</v>
      </c>
      <c r="G167" s="79">
        <v>0.0</v>
      </c>
      <c r="H167" s="79">
        <v>0.0</v>
      </c>
      <c r="I167" s="79">
        <v>0.0</v>
      </c>
      <c r="J167" s="79">
        <v>2.0</v>
      </c>
      <c r="K167" s="83"/>
      <c r="L167" s="54"/>
    </row>
    <row r="168" ht="22.5" customHeight="1">
      <c r="A168" s="79">
        <v>6.0</v>
      </c>
      <c r="B168" s="80">
        <v>45946.0</v>
      </c>
      <c r="C168" s="81" t="s">
        <v>172</v>
      </c>
      <c r="D168" s="81" t="s">
        <v>839</v>
      </c>
      <c r="E168" s="82">
        <v>0.11</v>
      </c>
      <c r="F168" s="82">
        <v>15.0</v>
      </c>
      <c r="G168" s="79">
        <v>0.0</v>
      </c>
      <c r="H168" s="79">
        <v>0.0</v>
      </c>
      <c r="I168" s="79">
        <v>0.0</v>
      </c>
      <c r="J168" s="79">
        <v>22.0</v>
      </c>
      <c r="K168" s="83"/>
      <c r="L168" s="54"/>
    </row>
    <row r="169" ht="22.5" customHeight="1">
      <c r="A169" s="79">
        <v>14.0</v>
      </c>
      <c r="B169" s="80">
        <v>45946.0</v>
      </c>
      <c r="C169" s="81" t="s">
        <v>247</v>
      </c>
      <c r="D169" s="81" t="s">
        <v>293</v>
      </c>
      <c r="E169" s="82">
        <v>0.11</v>
      </c>
      <c r="F169" s="82">
        <v>15.0</v>
      </c>
      <c r="G169" s="79">
        <v>0.0</v>
      </c>
      <c r="H169" s="79">
        <v>0.0</v>
      </c>
      <c r="I169" s="79">
        <v>0.0</v>
      </c>
      <c r="J169" s="79">
        <v>1.0</v>
      </c>
      <c r="K169" s="83"/>
      <c r="L169" s="54"/>
    </row>
    <row r="170" ht="22.5" customHeight="1">
      <c r="A170" s="79">
        <v>99.0</v>
      </c>
      <c r="B170" s="80">
        <v>45945.0</v>
      </c>
      <c r="C170" s="81" t="s">
        <v>840</v>
      </c>
      <c r="D170" s="81" t="s">
        <v>841</v>
      </c>
      <c r="E170" s="82">
        <v>0.11</v>
      </c>
      <c r="F170" s="82">
        <v>84.15</v>
      </c>
      <c r="G170" s="79">
        <v>0.0</v>
      </c>
      <c r="H170" s="79">
        <v>0.0</v>
      </c>
      <c r="I170" s="79">
        <v>0.0</v>
      </c>
      <c r="J170" s="79">
        <v>59.0</v>
      </c>
      <c r="K170" s="83"/>
      <c r="L170" s="54"/>
    </row>
    <row r="171" ht="22.5" customHeight="1">
      <c r="A171" s="79">
        <v>4.0</v>
      </c>
      <c r="B171" s="80">
        <v>45945.0</v>
      </c>
      <c r="C171" s="81" t="s">
        <v>85</v>
      </c>
      <c r="D171" s="81" t="s">
        <v>842</v>
      </c>
      <c r="E171" s="82">
        <v>0.11</v>
      </c>
      <c r="F171" s="82">
        <v>11.0</v>
      </c>
      <c r="G171" s="79">
        <v>0.0</v>
      </c>
      <c r="H171" s="79">
        <v>0.0</v>
      </c>
      <c r="I171" s="79">
        <v>0.0</v>
      </c>
      <c r="J171" s="79">
        <v>41.0</v>
      </c>
      <c r="K171" s="83"/>
      <c r="L171" s="54"/>
    </row>
    <row r="172" ht="22.5" customHeight="1">
      <c r="A172" s="79">
        <v>14.0</v>
      </c>
      <c r="B172" s="80">
        <v>45945.0</v>
      </c>
      <c r="C172" s="81" t="s">
        <v>247</v>
      </c>
      <c r="D172" s="81" t="s">
        <v>270</v>
      </c>
      <c r="E172" s="82">
        <v>0.11</v>
      </c>
      <c r="F172" s="82">
        <v>17.0</v>
      </c>
      <c r="G172" s="79">
        <v>0.0</v>
      </c>
      <c r="H172" s="79">
        <v>0.0</v>
      </c>
      <c r="I172" s="79">
        <v>0.0</v>
      </c>
      <c r="J172" s="79">
        <v>2.0</v>
      </c>
      <c r="K172" s="83"/>
      <c r="L172" s="54"/>
    </row>
    <row r="173" ht="22.5" customHeight="1">
      <c r="A173" s="79">
        <v>14.0</v>
      </c>
      <c r="B173" s="80">
        <v>45945.0</v>
      </c>
      <c r="C173" s="81" t="s">
        <v>247</v>
      </c>
      <c r="D173" s="81" t="s">
        <v>273</v>
      </c>
      <c r="E173" s="82">
        <v>0.11</v>
      </c>
      <c r="F173" s="82">
        <v>20.0</v>
      </c>
      <c r="G173" s="79">
        <v>0.0</v>
      </c>
      <c r="H173" s="79">
        <v>0.0</v>
      </c>
      <c r="I173" s="79">
        <v>0.0</v>
      </c>
      <c r="J173" s="79">
        <v>2.0</v>
      </c>
      <c r="K173" s="83"/>
      <c r="L173" s="54"/>
    </row>
    <row r="174" ht="22.5" customHeight="1">
      <c r="A174" s="79">
        <v>6.0</v>
      </c>
      <c r="B174" s="80">
        <v>45944.0</v>
      </c>
      <c r="C174" s="81" t="s">
        <v>172</v>
      </c>
      <c r="D174" s="81" t="s">
        <v>843</v>
      </c>
      <c r="E174" s="82">
        <v>0.11</v>
      </c>
      <c r="F174" s="82">
        <v>14.0</v>
      </c>
      <c r="G174" s="79">
        <v>0.0</v>
      </c>
      <c r="H174" s="79">
        <v>0.0</v>
      </c>
      <c r="I174" s="79">
        <v>0.0</v>
      </c>
      <c r="J174" s="79">
        <v>20.0</v>
      </c>
      <c r="K174" s="83"/>
      <c r="L174" s="54"/>
    </row>
    <row r="175" ht="22.5" customHeight="1">
      <c r="A175" s="79">
        <v>14.0</v>
      </c>
      <c r="B175" s="80">
        <v>45943.0</v>
      </c>
      <c r="C175" s="81" t="s">
        <v>247</v>
      </c>
      <c r="D175" s="81" t="s">
        <v>274</v>
      </c>
      <c r="E175" s="82">
        <v>0.11</v>
      </c>
      <c r="F175" s="82">
        <v>19.8</v>
      </c>
      <c r="G175" s="79">
        <v>0.0</v>
      </c>
      <c r="H175" s="79">
        <v>0.0</v>
      </c>
      <c r="I175" s="79">
        <v>0.0</v>
      </c>
      <c r="J175" s="79">
        <v>0.0</v>
      </c>
      <c r="K175" s="83"/>
      <c r="L175" s="54"/>
    </row>
    <row r="176" ht="22.5" customHeight="1">
      <c r="A176" s="79">
        <v>14.0</v>
      </c>
      <c r="B176" s="80">
        <v>45943.0</v>
      </c>
      <c r="C176" s="81" t="s">
        <v>247</v>
      </c>
      <c r="D176" s="81" t="s">
        <v>269</v>
      </c>
      <c r="E176" s="82">
        <v>0.11</v>
      </c>
      <c r="F176" s="82">
        <v>15.0</v>
      </c>
      <c r="G176" s="79">
        <v>0.0</v>
      </c>
      <c r="H176" s="79">
        <v>0.0</v>
      </c>
      <c r="I176" s="79">
        <v>0.0</v>
      </c>
      <c r="J176" s="79">
        <v>0.0</v>
      </c>
      <c r="K176" s="83"/>
      <c r="L176" s="54"/>
    </row>
    <row r="177" ht="22.5" customHeight="1">
      <c r="A177" s="79">
        <v>14.0</v>
      </c>
      <c r="B177" s="80">
        <v>45943.0</v>
      </c>
      <c r="C177" s="81" t="s">
        <v>247</v>
      </c>
      <c r="D177" s="81" t="s">
        <v>249</v>
      </c>
      <c r="E177" s="82">
        <v>0.11</v>
      </c>
      <c r="F177" s="82">
        <v>16.0</v>
      </c>
      <c r="G177" s="79">
        <v>0.0</v>
      </c>
      <c r="H177" s="79">
        <v>0.0</v>
      </c>
      <c r="I177" s="79">
        <v>0.0</v>
      </c>
      <c r="J177" s="79">
        <v>2.0</v>
      </c>
      <c r="K177" s="83"/>
      <c r="L177" s="54"/>
    </row>
    <row r="178" ht="22.5" customHeight="1">
      <c r="A178" s="79">
        <v>14.0</v>
      </c>
      <c r="B178" s="80">
        <v>45943.0</v>
      </c>
      <c r="C178" s="81" t="s">
        <v>247</v>
      </c>
      <c r="D178" s="81" t="s">
        <v>265</v>
      </c>
      <c r="E178" s="82">
        <v>0.11</v>
      </c>
      <c r="F178" s="82">
        <v>16.0</v>
      </c>
      <c r="G178" s="79">
        <v>0.0</v>
      </c>
      <c r="H178" s="79">
        <v>0.0</v>
      </c>
      <c r="I178" s="79">
        <v>0.0</v>
      </c>
      <c r="J178" s="79">
        <v>1.0</v>
      </c>
      <c r="K178" s="83"/>
      <c r="L178" s="54"/>
    </row>
    <row r="179" ht="22.5" customHeight="1">
      <c r="A179" s="79">
        <v>14.0</v>
      </c>
      <c r="B179" s="80">
        <v>45942.0</v>
      </c>
      <c r="C179" s="81" t="s">
        <v>247</v>
      </c>
      <c r="D179" s="81" t="s">
        <v>252</v>
      </c>
      <c r="E179" s="82">
        <v>0.11</v>
      </c>
      <c r="F179" s="82">
        <v>17.6</v>
      </c>
      <c r="G179" s="79">
        <v>0.0</v>
      </c>
      <c r="H179" s="79">
        <v>0.0</v>
      </c>
      <c r="I179" s="79">
        <v>0.0</v>
      </c>
      <c r="J179" s="79">
        <v>1.0</v>
      </c>
      <c r="K179" s="83"/>
      <c r="L179" s="54"/>
    </row>
    <row r="180" ht="22.5" customHeight="1">
      <c r="A180" s="79">
        <v>14.0</v>
      </c>
      <c r="B180" s="80">
        <v>45942.0</v>
      </c>
      <c r="C180" s="81" t="s">
        <v>247</v>
      </c>
      <c r="D180" s="81" t="s">
        <v>253</v>
      </c>
      <c r="E180" s="82">
        <v>0.11</v>
      </c>
      <c r="F180" s="82">
        <v>16.0</v>
      </c>
      <c r="G180" s="79">
        <v>0.0</v>
      </c>
      <c r="H180" s="79">
        <v>0.0</v>
      </c>
      <c r="I180" s="79">
        <v>0.0</v>
      </c>
      <c r="J180" s="79">
        <v>1.0</v>
      </c>
      <c r="K180" s="83"/>
      <c r="L180" s="54"/>
    </row>
    <row r="181" ht="22.5" customHeight="1">
      <c r="A181" s="79">
        <v>14.0</v>
      </c>
      <c r="B181" s="80">
        <v>45942.0</v>
      </c>
      <c r="C181" s="81" t="s">
        <v>247</v>
      </c>
      <c r="D181" s="81" t="s">
        <v>264</v>
      </c>
      <c r="E181" s="82">
        <v>0.11</v>
      </c>
      <c r="F181" s="82">
        <v>19.0</v>
      </c>
      <c r="G181" s="79">
        <v>0.0</v>
      </c>
      <c r="H181" s="79">
        <v>0.0</v>
      </c>
      <c r="I181" s="79">
        <v>0.0</v>
      </c>
      <c r="J181" s="79">
        <v>0.0</v>
      </c>
      <c r="K181" s="83"/>
      <c r="L181" s="54"/>
    </row>
    <row r="182" ht="22.5" customHeight="1">
      <c r="A182" s="79">
        <v>14.0</v>
      </c>
      <c r="B182" s="80">
        <v>45941.0</v>
      </c>
      <c r="C182" s="81" t="s">
        <v>247</v>
      </c>
      <c r="D182" s="81" t="s">
        <v>248</v>
      </c>
      <c r="E182" s="82">
        <v>0.11</v>
      </c>
      <c r="F182" s="82">
        <v>22.0</v>
      </c>
      <c r="G182" s="79">
        <v>0.0</v>
      </c>
      <c r="H182" s="79">
        <v>0.0</v>
      </c>
      <c r="I182" s="79">
        <v>0.0</v>
      </c>
      <c r="J182" s="79">
        <v>0.0</v>
      </c>
      <c r="K182" s="83"/>
      <c r="L182" s="54"/>
    </row>
    <row r="183" ht="22.5" customHeight="1">
      <c r="A183" s="79">
        <v>14.0</v>
      </c>
      <c r="B183" s="80">
        <v>45941.0</v>
      </c>
      <c r="C183" s="81" t="s">
        <v>247</v>
      </c>
      <c r="D183" s="81" t="s">
        <v>250</v>
      </c>
      <c r="E183" s="82">
        <v>0.11</v>
      </c>
      <c r="F183" s="82">
        <v>21.0</v>
      </c>
      <c r="G183" s="79">
        <v>0.0</v>
      </c>
      <c r="H183" s="79">
        <v>0.0</v>
      </c>
      <c r="I183" s="79">
        <v>0.0</v>
      </c>
      <c r="J183" s="79">
        <v>0.0</v>
      </c>
      <c r="K183" s="83"/>
      <c r="L183" s="54"/>
    </row>
    <row r="184" ht="22.5" customHeight="1">
      <c r="A184" s="79">
        <v>14.0</v>
      </c>
      <c r="B184" s="80">
        <v>45941.0</v>
      </c>
      <c r="C184" s="81" t="s">
        <v>247</v>
      </c>
      <c r="D184" s="81" t="s">
        <v>251</v>
      </c>
      <c r="E184" s="82">
        <v>0.11</v>
      </c>
      <c r="F184" s="82">
        <v>20.0</v>
      </c>
      <c r="G184" s="79">
        <v>0.0</v>
      </c>
      <c r="H184" s="79">
        <v>0.0</v>
      </c>
      <c r="I184" s="79">
        <v>0.0</v>
      </c>
      <c r="J184" s="79">
        <v>0.0</v>
      </c>
      <c r="K184" s="83"/>
      <c r="L184" s="54"/>
    </row>
    <row r="185" ht="22.5" customHeight="1">
      <c r="A185" s="79">
        <v>14.0</v>
      </c>
      <c r="B185" s="80">
        <v>45941.0</v>
      </c>
      <c r="C185" s="81" t="s">
        <v>247</v>
      </c>
      <c r="D185" s="81" t="s">
        <v>255</v>
      </c>
      <c r="E185" s="82">
        <v>0.11</v>
      </c>
      <c r="F185" s="82">
        <v>19.0</v>
      </c>
      <c r="G185" s="79">
        <v>0.0</v>
      </c>
      <c r="H185" s="79">
        <v>0.0</v>
      </c>
      <c r="I185" s="79">
        <v>0.0</v>
      </c>
      <c r="J185" s="79">
        <v>0.0</v>
      </c>
      <c r="K185" s="83"/>
      <c r="L185" s="54"/>
    </row>
    <row r="186" ht="22.5" customHeight="1">
      <c r="A186" s="79">
        <v>6.0</v>
      </c>
      <c r="B186" s="80">
        <v>45941.0</v>
      </c>
      <c r="C186" s="81" t="s">
        <v>172</v>
      </c>
      <c r="D186" s="81" t="s">
        <v>844</v>
      </c>
      <c r="E186" s="82">
        <v>0.11</v>
      </c>
      <c r="F186" s="82">
        <v>16.0</v>
      </c>
      <c r="G186" s="79">
        <v>0.0</v>
      </c>
      <c r="H186" s="79">
        <v>0.0</v>
      </c>
      <c r="I186" s="79">
        <v>0.0</v>
      </c>
      <c r="J186" s="79">
        <v>17.0</v>
      </c>
      <c r="K186" s="83"/>
      <c r="L186" s="54"/>
    </row>
    <row r="187" ht="22.5" customHeight="1">
      <c r="A187" s="79">
        <v>6.0</v>
      </c>
      <c r="B187" s="80">
        <v>45940.0</v>
      </c>
      <c r="C187" s="81" t="s">
        <v>172</v>
      </c>
      <c r="D187" s="81" t="s">
        <v>845</v>
      </c>
      <c r="E187" s="82">
        <v>0.11</v>
      </c>
      <c r="F187" s="82">
        <v>10.0</v>
      </c>
      <c r="G187" s="79">
        <v>0.0</v>
      </c>
      <c r="H187" s="79">
        <v>0.0</v>
      </c>
      <c r="I187" s="79">
        <v>0.0</v>
      </c>
      <c r="J187" s="79">
        <v>16.0</v>
      </c>
      <c r="K187" s="83"/>
      <c r="L187" s="54"/>
    </row>
    <row r="188" ht="22.5" customHeight="1">
      <c r="A188" s="79">
        <v>4.0</v>
      </c>
      <c r="B188" s="80">
        <v>45939.0</v>
      </c>
      <c r="C188" s="81" t="s">
        <v>85</v>
      </c>
      <c r="D188" s="81" t="s">
        <v>846</v>
      </c>
      <c r="E188" s="82">
        <v>0.11</v>
      </c>
      <c r="F188" s="82">
        <v>14.0</v>
      </c>
      <c r="G188" s="79">
        <v>0.0</v>
      </c>
      <c r="H188" s="79">
        <v>0.0</v>
      </c>
      <c r="I188" s="79">
        <v>0.0</v>
      </c>
      <c r="J188" s="79">
        <v>35.0</v>
      </c>
      <c r="K188" s="83"/>
      <c r="L188" s="54"/>
    </row>
    <row r="189" ht="22.5" customHeight="1">
      <c r="A189" s="79">
        <v>4.0</v>
      </c>
      <c r="B189" s="80">
        <v>45938.0</v>
      </c>
      <c r="C189" s="81" t="s">
        <v>85</v>
      </c>
      <c r="D189" s="81" t="s">
        <v>847</v>
      </c>
      <c r="E189" s="82">
        <v>0.11</v>
      </c>
      <c r="F189" s="82">
        <v>20.0</v>
      </c>
      <c r="G189" s="79">
        <v>0.0</v>
      </c>
      <c r="H189" s="79">
        <v>0.0</v>
      </c>
      <c r="I189" s="79">
        <v>0.0</v>
      </c>
      <c r="J189" s="79">
        <v>34.0</v>
      </c>
      <c r="K189" s="83"/>
      <c r="L189" s="54"/>
    </row>
    <row r="190" ht="22.5" customHeight="1">
      <c r="A190" s="79">
        <v>97.0</v>
      </c>
      <c r="B190" s="80">
        <v>45937.0</v>
      </c>
      <c r="C190" s="81" t="s">
        <v>840</v>
      </c>
      <c r="D190" s="81" t="s">
        <v>848</v>
      </c>
      <c r="E190" s="82">
        <v>0.11</v>
      </c>
      <c r="F190" s="82">
        <v>79.08</v>
      </c>
      <c r="G190" s="79">
        <v>0.0</v>
      </c>
      <c r="H190" s="79">
        <v>0.0</v>
      </c>
      <c r="I190" s="79">
        <v>0.0</v>
      </c>
      <c r="J190" s="79">
        <v>51.0</v>
      </c>
      <c r="K190" s="83"/>
      <c r="L190" s="54"/>
    </row>
    <row r="191" ht="22.5" customHeight="1">
      <c r="A191" s="79">
        <v>98.0</v>
      </c>
      <c r="B191" s="80">
        <v>45937.0</v>
      </c>
      <c r="C191" s="81" t="s">
        <v>840</v>
      </c>
      <c r="D191" s="81" t="s">
        <v>849</v>
      </c>
      <c r="E191" s="82">
        <v>0.11</v>
      </c>
      <c r="F191" s="82">
        <v>42.8</v>
      </c>
      <c r="G191" s="79">
        <v>0.0</v>
      </c>
      <c r="H191" s="79">
        <v>0.0</v>
      </c>
      <c r="I191" s="79">
        <v>0.0</v>
      </c>
      <c r="J191" s="79">
        <v>82.0</v>
      </c>
      <c r="K191" s="83"/>
      <c r="L191" s="54"/>
    </row>
    <row r="192" ht="22.5" customHeight="1">
      <c r="A192" s="79">
        <v>4.0</v>
      </c>
      <c r="B192" s="80">
        <v>45937.0</v>
      </c>
      <c r="C192" s="81" t="s">
        <v>85</v>
      </c>
      <c r="D192" s="81" t="s">
        <v>850</v>
      </c>
      <c r="E192" s="82">
        <v>0.11</v>
      </c>
      <c r="F192" s="82">
        <v>15.0</v>
      </c>
      <c r="G192" s="79">
        <v>0.0</v>
      </c>
      <c r="H192" s="79">
        <v>0.0</v>
      </c>
      <c r="I192" s="79">
        <v>0.0</v>
      </c>
      <c r="J192" s="79">
        <v>33.0</v>
      </c>
      <c r="K192" s="83"/>
      <c r="L192" s="54"/>
    </row>
    <row r="193" ht="22.5" customHeight="1">
      <c r="A193" s="79">
        <v>6.0</v>
      </c>
      <c r="B193" s="80">
        <v>45937.0</v>
      </c>
      <c r="C193" s="81" t="s">
        <v>172</v>
      </c>
      <c r="D193" s="81" t="s">
        <v>851</v>
      </c>
      <c r="E193" s="82">
        <v>0.11</v>
      </c>
      <c r="F193" s="82">
        <v>16.0</v>
      </c>
      <c r="G193" s="79">
        <v>0.0</v>
      </c>
      <c r="H193" s="79">
        <v>0.0</v>
      </c>
      <c r="I193" s="79">
        <v>0.0</v>
      </c>
      <c r="J193" s="79">
        <v>13.0</v>
      </c>
      <c r="K193" s="83"/>
      <c r="L193" s="54"/>
    </row>
    <row r="194" ht="22.5" customHeight="1">
      <c r="A194" s="79">
        <v>6.0</v>
      </c>
      <c r="B194" s="80">
        <v>45935.0</v>
      </c>
      <c r="C194" s="81" t="s">
        <v>172</v>
      </c>
      <c r="D194" s="81" t="s">
        <v>852</v>
      </c>
      <c r="E194" s="82">
        <v>0.11</v>
      </c>
      <c r="F194" s="82">
        <v>18.525</v>
      </c>
      <c r="G194" s="79">
        <v>0.0</v>
      </c>
      <c r="H194" s="79">
        <v>0.0</v>
      </c>
      <c r="I194" s="79">
        <v>0.0</v>
      </c>
      <c r="J194" s="79">
        <v>11.0</v>
      </c>
      <c r="K194" s="83"/>
      <c r="L194" s="54"/>
    </row>
    <row r="195" ht="22.5" customHeight="1">
      <c r="A195" s="79">
        <v>6.0</v>
      </c>
      <c r="B195" s="80">
        <v>45935.0</v>
      </c>
      <c r="C195" s="81" t="s">
        <v>172</v>
      </c>
      <c r="D195" s="81" t="s">
        <v>853</v>
      </c>
      <c r="E195" s="82">
        <v>0.11</v>
      </c>
      <c r="F195" s="82">
        <v>14.0</v>
      </c>
      <c r="G195" s="79">
        <v>0.0</v>
      </c>
      <c r="H195" s="79">
        <v>0.0</v>
      </c>
      <c r="I195" s="79">
        <v>0.0</v>
      </c>
      <c r="J195" s="79">
        <v>11.0</v>
      </c>
      <c r="K195" s="83"/>
      <c r="L195" s="54"/>
    </row>
    <row r="196" ht="22.5" customHeight="1">
      <c r="A196" s="79">
        <v>6.0</v>
      </c>
      <c r="B196" s="80">
        <v>45935.0</v>
      </c>
      <c r="C196" s="81" t="s">
        <v>172</v>
      </c>
      <c r="D196" s="81" t="s">
        <v>854</v>
      </c>
      <c r="E196" s="82">
        <v>0.11</v>
      </c>
      <c r="F196" s="82">
        <v>19.0</v>
      </c>
      <c r="G196" s="79">
        <v>0.0</v>
      </c>
      <c r="H196" s="79">
        <v>0.0</v>
      </c>
      <c r="I196" s="79">
        <v>0.0</v>
      </c>
      <c r="J196" s="79">
        <v>11.0</v>
      </c>
      <c r="K196" s="83"/>
      <c r="L196" s="54"/>
    </row>
    <row r="197" ht="22.5" customHeight="1">
      <c r="A197" s="79">
        <v>6.0</v>
      </c>
      <c r="B197" s="80">
        <v>45935.0</v>
      </c>
      <c r="C197" s="81" t="s">
        <v>172</v>
      </c>
      <c r="D197" s="81" t="s">
        <v>855</v>
      </c>
      <c r="E197" s="82">
        <v>0.11</v>
      </c>
      <c r="F197" s="82">
        <v>20.0</v>
      </c>
      <c r="G197" s="79">
        <v>0.0</v>
      </c>
      <c r="H197" s="79">
        <v>0.0</v>
      </c>
      <c r="I197" s="79">
        <v>0.0</v>
      </c>
      <c r="J197" s="79">
        <v>11.0</v>
      </c>
      <c r="K197" s="83"/>
      <c r="L197" s="54"/>
    </row>
    <row r="198" ht="22.5" customHeight="1">
      <c r="A198" s="79">
        <v>6.0</v>
      </c>
      <c r="B198" s="80">
        <v>45935.0</v>
      </c>
      <c r="C198" s="81" t="s">
        <v>172</v>
      </c>
      <c r="D198" s="81" t="s">
        <v>856</v>
      </c>
      <c r="E198" s="82">
        <v>0.11</v>
      </c>
      <c r="F198" s="82">
        <v>15.0</v>
      </c>
      <c r="G198" s="79">
        <v>0.0</v>
      </c>
      <c r="H198" s="79">
        <v>0.0</v>
      </c>
      <c r="I198" s="79">
        <v>0.0</v>
      </c>
      <c r="J198" s="79">
        <v>11.0</v>
      </c>
      <c r="K198" s="83"/>
      <c r="L198" s="54"/>
    </row>
    <row r="199" ht="22.5" customHeight="1">
      <c r="A199" s="79">
        <v>5.0</v>
      </c>
      <c r="B199" s="80">
        <v>45935.0</v>
      </c>
      <c r="C199" s="81" t="s">
        <v>103</v>
      </c>
      <c r="D199" s="81" t="s">
        <v>857</v>
      </c>
      <c r="E199" s="82">
        <v>0.11</v>
      </c>
      <c r="F199" s="82">
        <v>6.0</v>
      </c>
      <c r="G199" s="79">
        <v>0.0</v>
      </c>
      <c r="H199" s="79">
        <v>0.0</v>
      </c>
      <c r="I199" s="79">
        <v>0.0</v>
      </c>
      <c r="J199" s="79">
        <v>29.0</v>
      </c>
      <c r="K199" s="83"/>
      <c r="L199" s="54"/>
    </row>
    <row r="200" ht="22.5" customHeight="1">
      <c r="A200" s="79">
        <v>6.0</v>
      </c>
      <c r="B200" s="80">
        <v>45935.0</v>
      </c>
      <c r="C200" s="81" t="s">
        <v>172</v>
      </c>
      <c r="D200" s="81" t="s">
        <v>858</v>
      </c>
      <c r="E200" s="82">
        <v>0.11</v>
      </c>
      <c r="F200" s="82">
        <v>18.525</v>
      </c>
      <c r="G200" s="79">
        <v>0.0</v>
      </c>
      <c r="H200" s="79">
        <v>0.0</v>
      </c>
      <c r="I200" s="79">
        <v>0.0</v>
      </c>
      <c r="J200" s="79">
        <v>11.0</v>
      </c>
      <c r="K200" s="83"/>
      <c r="L200" s="54"/>
    </row>
    <row r="201" ht="22.5" customHeight="1">
      <c r="A201" s="79">
        <v>4.0</v>
      </c>
      <c r="B201" s="80">
        <v>45934.0</v>
      </c>
      <c r="C201" s="81" t="s">
        <v>85</v>
      </c>
      <c r="D201" s="81" t="s">
        <v>859</v>
      </c>
      <c r="E201" s="82">
        <v>0.11</v>
      </c>
      <c r="F201" s="82">
        <v>12.5</v>
      </c>
      <c r="G201" s="79">
        <v>0.0</v>
      </c>
      <c r="H201" s="79">
        <v>0.0</v>
      </c>
      <c r="I201" s="79">
        <v>0.0</v>
      </c>
      <c r="J201" s="79">
        <v>30.0</v>
      </c>
      <c r="K201" s="83"/>
      <c r="L201" s="54"/>
    </row>
    <row r="202" ht="22.5" customHeight="1">
      <c r="A202" s="79">
        <v>6.0</v>
      </c>
      <c r="B202" s="80">
        <v>45932.0</v>
      </c>
      <c r="C202" s="81" t="s">
        <v>172</v>
      </c>
      <c r="D202" s="81" t="s">
        <v>860</v>
      </c>
      <c r="E202" s="82">
        <v>0.11</v>
      </c>
      <c r="F202" s="82">
        <v>20.0</v>
      </c>
      <c r="G202" s="79">
        <v>0.0</v>
      </c>
      <c r="H202" s="79">
        <v>0.0</v>
      </c>
      <c r="I202" s="79">
        <v>0.0</v>
      </c>
      <c r="J202" s="79">
        <v>8.0</v>
      </c>
      <c r="K202" s="83"/>
      <c r="L202" s="54"/>
    </row>
    <row r="203" ht="22.5" customHeight="1">
      <c r="A203" s="79">
        <v>6.0</v>
      </c>
      <c r="B203" s="80">
        <v>45931.0</v>
      </c>
      <c r="C203" s="81" t="s">
        <v>172</v>
      </c>
      <c r="D203" s="81" t="s">
        <v>861</v>
      </c>
      <c r="E203" s="82">
        <v>0.11</v>
      </c>
      <c r="F203" s="82">
        <v>25.0</v>
      </c>
      <c r="G203" s="79">
        <v>0.0</v>
      </c>
      <c r="H203" s="79">
        <v>0.0</v>
      </c>
      <c r="I203" s="79">
        <v>0.0</v>
      </c>
      <c r="J203" s="79">
        <v>7.0</v>
      </c>
      <c r="K203" s="83"/>
      <c r="L203" s="54"/>
    </row>
    <row r="204" ht="22.5" customHeight="1">
      <c r="A204" s="79">
        <v>6.0</v>
      </c>
      <c r="B204" s="80">
        <v>45930.0</v>
      </c>
      <c r="C204" s="81" t="s">
        <v>172</v>
      </c>
      <c r="D204" s="81" t="s">
        <v>862</v>
      </c>
      <c r="E204" s="82">
        <v>0.11</v>
      </c>
      <c r="F204" s="82">
        <v>40.0</v>
      </c>
      <c r="G204" s="79">
        <v>0.0</v>
      </c>
      <c r="H204" s="79">
        <v>0.0</v>
      </c>
      <c r="I204" s="79">
        <v>0.0</v>
      </c>
      <c r="J204" s="79">
        <v>6.0</v>
      </c>
      <c r="K204" s="83"/>
      <c r="L204" s="54"/>
    </row>
    <row r="205" ht="22.5" customHeight="1">
      <c r="A205" s="79">
        <v>4.0</v>
      </c>
      <c r="B205" s="80">
        <v>45929.0</v>
      </c>
      <c r="C205" s="81" t="s">
        <v>85</v>
      </c>
      <c r="D205" s="81" t="s">
        <v>863</v>
      </c>
      <c r="E205" s="82">
        <v>0.11</v>
      </c>
      <c r="F205" s="82">
        <v>12.5</v>
      </c>
      <c r="G205" s="79">
        <v>0.0</v>
      </c>
      <c r="H205" s="79">
        <v>0.0</v>
      </c>
      <c r="I205" s="79">
        <v>0.0</v>
      </c>
      <c r="J205" s="79">
        <v>25.0</v>
      </c>
      <c r="K205" s="83"/>
      <c r="L205" s="54"/>
    </row>
    <row r="206" ht="22.5" customHeight="1">
      <c r="A206" s="79">
        <v>4.0</v>
      </c>
      <c r="B206" s="80">
        <v>45929.0</v>
      </c>
      <c r="C206" s="81" t="s">
        <v>85</v>
      </c>
      <c r="D206" s="81" t="s">
        <v>864</v>
      </c>
      <c r="E206" s="82">
        <v>0.11</v>
      </c>
      <c r="F206" s="82">
        <v>12.5</v>
      </c>
      <c r="G206" s="79">
        <v>0.0</v>
      </c>
      <c r="H206" s="79">
        <v>0.0</v>
      </c>
      <c r="I206" s="79">
        <v>0.0</v>
      </c>
      <c r="J206" s="79">
        <v>25.0</v>
      </c>
      <c r="K206" s="83"/>
      <c r="L206" s="54"/>
    </row>
    <row r="207" ht="22.5" customHeight="1">
      <c r="A207" s="79">
        <v>6.0</v>
      </c>
      <c r="B207" s="80">
        <v>45929.0</v>
      </c>
      <c r="C207" s="81" t="s">
        <v>172</v>
      </c>
      <c r="D207" s="81" t="s">
        <v>865</v>
      </c>
      <c r="E207" s="82">
        <v>0.11</v>
      </c>
      <c r="F207" s="82">
        <v>15.0</v>
      </c>
      <c r="G207" s="79">
        <v>0.0</v>
      </c>
      <c r="H207" s="79">
        <v>0.0</v>
      </c>
      <c r="I207" s="79">
        <v>0.0</v>
      </c>
      <c r="J207" s="79">
        <v>5.0</v>
      </c>
      <c r="K207" s="83"/>
      <c r="L207" s="54"/>
    </row>
    <row r="208" ht="22.5" customHeight="1">
      <c r="A208" s="79">
        <v>6.0</v>
      </c>
      <c r="B208" s="80">
        <v>45929.0</v>
      </c>
      <c r="C208" s="81" t="s">
        <v>172</v>
      </c>
      <c r="D208" s="81" t="s">
        <v>866</v>
      </c>
      <c r="E208" s="82">
        <v>0.11</v>
      </c>
      <c r="F208" s="82">
        <v>19.0</v>
      </c>
      <c r="G208" s="79">
        <v>0.0</v>
      </c>
      <c r="H208" s="79">
        <v>0.0</v>
      </c>
      <c r="I208" s="79">
        <v>0.0</v>
      </c>
      <c r="J208" s="79">
        <v>5.0</v>
      </c>
      <c r="K208" s="83"/>
      <c r="L208" s="54"/>
    </row>
    <row r="209" ht="22.5" customHeight="1">
      <c r="A209" s="79">
        <v>6.0</v>
      </c>
      <c r="B209" s="80">
        <v>45929.0</v>
      </c>
      <c r="C209" s="81" t="s">
        <v>172</v>
      </c>
      <c r="D209" s="81" t="s">
        <v>867</v>
      </c>
      <c r="E209" s="82">
        <v>0.11</v>
      </c>
      <c r="F209" s="82">
        <v>23.0</v>
      </c>
      <c r="G209" s="79">
        <v>0.0</v>
      </c>
      <c r="H209" s="79">
        <v>0.0</v>
      </c>
      <c r="I209" s="79">
        <v>0.0</v>
      </c>
      <c r="J209" s="79">
        <v>5.0</v>
      </c>
      <c r="K209" s="83"/>
      <c r="L209" s="54"/>
    </row>
    <row r="210" ht="22.5" customHeight="1">
      <c r="A210" s="79">
        <v>6.0</v>
      </c>
      <c r="B210" s="80">
        <v>45929.0</v>
      </c>
      <c r="C210" s="81" t="s">
        <v>172</v>
      </c>
      <c r="D210" s="81" t="s">
        <v>868</v>
      </c>
      <c r="E210" s="82">
        <v>0.11</v>
      </c>
      <c r="F210" s="82">
        <v>24.0</v>
      </c>
      <c r="G210" s="79">
        <v>0.0</v>
      </c>
      <c r="H210" s="79">
        <v>0.0</v>
      </c>
      <c r="I210" s="79">
        <v>0.0</v>
      </c>
      <c r="J210" s="79">
        <v>5.0</v>
      </c>
      <c r="K210" s="83"/>
      <c r="L210" s="54"/>
    </row>
    <row r="211" ht="22.5" customHeight="1">
      <c r="A211" s="79">
        <v>6.0</v>
      </c>
      <c r="B211" s="80">
        <v>45928.0</v>
      </c>
      <c r="C211" s="81" t="s">
        <v>172</v>
      </c>
      <c r="D211" s="81" t="s">
        <v>869</v>
      </c>
      <c r="E211" s="82">
        <v>0.11</v>
      </c>
      <c r="F211" s="82">
        <v>20.0</v>
      </c>
      <c r="G211" s="79">
        <v>0.0</v>
      </c>
      <c r="H211" s="79">
        <v>0.0</v>
      </c>
      <c r="I211" s="79">
        <v>0.0</v>
      </c>
      <c r="J211" s="79">
        <v>4.0</v>
      </c>
      <c r="K211" s="83"/>
      <c r="L211" s="54"/>
    </row>
    <row r="212" ht="22.5" customHeight="1">
      <c r="A212" s="79">
        <v>6.0</v>
      </c>
      <c r="B212" s="80">
        <v>45928.0</v>
      </c>
      <c r="C212" s="81" t="s">
        <v>172</v>
      </c>
      <c r="D212" s="81" t="s">
        <v>870</v>
      </c>
      <c r="E212" s="82">
        <v>0.11</v>
      </c>
      <c r="F212" s="82">
        <v>25.0</v>
      </c>
      <c r="G212" s="79">
        <v>0.0</v>
      </c>
      <c r="H212" s="79">
        <v>0.0</v>
      </c>
      <c r="I212" s="79">
        <v>0.0</v>
      </c>
      <c r="J212" s="79">
        <v>4.0</v>
      </c>
      <c r="K212" s="83"/>
      <c r="L212" s="54"/>
    </row>
    <row r="213" ht="22.5" customHeight="1">
      <c r="A213" s="79">
        <v>6.0</v>
      </c>
      <c r="B213" s="80">
        <v>45928.0</v>
      </c>
      <c r="C213" s="81" t="s">
        <v>172</v>
      </c>
      <c r="D213" s="81" t="s">
        <v>871</v>
      </c>
      <c r="E213" s="82">
        <v>0.11</v>
      </c>
      <c r="F213" s="82">
        <v>17.0</v>
      </c>
      <c r="G213" s="79">
        <v>0.0</v>
      </c>
      <c r="H213" s="79">
        <v>0.0</v>
      </c>
      <c r="I213" s="79">
        <v>0.0</v>
      </c>
      <c r="J213" s="79">
        <v>4.0</v>
      </c>
      <c r="K213" s="83"/>
      <c r="L213" s="54"/>
    </row>
    <row r="214" ht="22.5" customHeight="1">
      <c r="A214" s="79">
        <v>6.0</v>
      </c>
      <c r="B214" s="80">
        <v>45928.0</v>
      </c>
      <c r="C214" s="81" t="s">
        <v>172</v>
      </c>
      <c r="D214" s="81" t="s">
        <v>872</v>
      </c>
      <c r="E214" s="82">
        <v>0.11</v>
      </c>
      <c r="F214" s="82">
        <v>20.0</v>
      </c>
      <c r="G214" s="79">
        <v>0.0</v>
      </c>
      <c r="H214" s="79">
        <v>0.0</v>
      </c>
      <c r="I214" s="79">
        <v>0.0</v>
      </c>
      <c r="J214" s="79">
        <v>4.0</v>
      </c>
      <c r="K214" s="83"/>
      <c r="L214" s="54"/>
    </row>
    <row r="215" ht="22.5" customHeight="1">
      <c r="A215" s="79">
        <v>5.0</v>
      </c>
      <c r="B215" s="80">
        <v>45928.0</v>
      </c>
      <c r="C215" s="81" t="s">
        <v>103</v>
      </c>
      <c r="D215" s="81" t="s">
        <v>873</v>
      </c>
      <c r="E215" s="82">
        <v>0.11</v>
      </c>
      <c r="F215" s="82">
        <v>8.0</v>
      </c>
      <c r="G215" s="79">
        <v>0.0</v>
      </c>
      <c r="H215" s="79">
        <v>0.0</v>
      </c>
      <c r="I215" s="79">
        <v>0.0</v>
      </c>
      <c r="J215" s="79">
        <v>22.0</v>
      </c>
      <c r="K215" s="83"/>
      <c r="L215" s="54"/>
    </row>
    <row r="216" ht="22.5" customHeight="1">
      <c r="A216" s="79">
        <v>4.0</v>
      </c>
      <c r="B216" s="80">
        <v>45928.0</v>
      </c>
      <c r="C216" s="81" t="s">
        <v>85</v>
      </c>
      <c r="D216" s="81" t="s">
        <v>874</v>
      </c>
      <c r="E216" s="82">
        <v>0.11</v>
      </c>
      <c r="F216" s="82">
        <v>15.2</v>
      </c>
      <c r="G216" s="79">
        <v>0.0</v>
      </c>
      <c r="H216" s="79">
        <v>0.0</v>
      </c>
      <c r="I216" s="79">
        <v>0.0</v>
      </c>
      <c r="J216" s="79">
        <v>24.0</v>
      </c>
      <c r="K216" s="83"/>
      <c r="L216" s="54"/>
    </row>
    <row r="217" ht="22.5" customHeight="1">
      <c r="A217" s="79">
        <v>4.0</v>
      </c>
      <c r="B217" s="80">
        <v>45928.0</v>
      </c>
      <c r="C217" s="81" t="s">
        <v>85</v>
      </c>
      <c r="D217" s="81" t="s">
        <v>875</v>
      </c>
      <c r="E217" s="82">
        <v>0.11</v>
      </c>
      <c r="F217" s="82">
        <v>15.2</v>
      </c>
      <c r="G217" s="79">
        <v>0.0</v>
      </c>
      <c r="H217" s="79">
        <v>0.0</v>
      </c>
      <c r="I217" s="79">
        <v>0.0</v>
      </c>
      <c r="J217" s="79">
        <v>24.0</v>
      </c>
      <c r="K217" s="83"/>
      <c r="L217" s="54"/>
    </row>
    <row r="218" ht="22.5" customHeight="1">
      <c r="A218" s="79">
        <v>4.0</v>
      </c>
      <c r="B218" s="80">
        <v>45928.0</v>
      </c>
      <c r="C218" s="81" t="s">
        <v>85</v>
      </c>
      <c r="D218" s="81" t="s">
        <v>876</v>
      </c>
      <c r="E218" s="82">
        <v>0.11</v>
      </c>
      <c r="F218" s="82">
        <v>13.5</v>
      </c>
      <c r="G218" s="79">
        <v>0.0</v>
      </c>
      <c r="H218" s="79">
        <v>0.0</v>
      </c>
      <c r="I218" s="79">
        <v>0.0</v>
      </c>
      <c r="J218" s="79">
        <v>24.0</v>
      </c>
      <c r="K218" s="83"/>
      <c r="L218" s="54"/>
    </row>
    <row r="219" ht="22.5" customHeight="1">
      <c r="A219" s="79">
        <v>5.0</v>
      </c>
      <c r="B219" s="80">
        <v>45928.0</v>
      </c>
      <c r="C219" s="81" t="s">
        <v>103</v>
      </c>
      <c r="D219" s="81" t="s">
        <v>877</v>
      </c>
      <c r="E219" s="82">
        <v>0.11</v>
      </c>
      <c r="F219" s="82">
        <v>9.0</v>
      </c>
      <c r="G219" s="79">
        <v>0.0</v>
      </c>
      <c r="H219" s="79">
        <v>0.0</v>
      </c>
      <c r="I219" s="79">
        <v>0.0</v>
      </c>
      <c r="J219" s="79">
        <v>22.0</v>
      </c>
      <c r="K219" s="83"/>
      <c r="L219" s="54"/>
    </row>
    <row r="220" ht="22.5" customHeight="1">
      <c r="A220" s="79">
        <v>4.0</v>
      </c>
      <c r="B220" s="80">
        <v>45928.0</v>
      </c>
      <c r="C220" s="81" t="s">
        <v>85</v>
      </c>
      <c r="D220" s="81" t="s">
        <v>878</v>
      </c>
      <c r="E220" s="82">
        <v>0.11</v>
      </c>
      <c r="F220" s="82">
        <v>15.0</v>
      </c>
      <c r="G220" s="79">
        <v>0.0</v>
      </c>
      <c r="H220" s="79">
        <v>0.0</v>
      </c>
      <c r="I220" s="79">
        <v>0.0</v>
      </c>
      <c r="J220" s="79">
        <v>24.0</v>
      </c>
      <c r="K220" s="83"/>
      <c r="L220" s="54"/>
    </row>
    <row r="221" ht="22.5" customHeight="1">
      <c r="A221" s="79">
        <v>4.0</v>
      </c>
      <c r="B221" s="80">
        <v>45928.0</v>
      </c>
      <c r="C221" s="81" t="s">
        <v>85</v>
      </c>
      <c r="D221" s="81" t="s">
        <v>879</v>
      </c>
      <c r="E221" s="82">
        <v>0.11</v>
      </c>
      <c r="F221" s="82">
        <v>15.2</v>
      </c>
      <c r="G221" s="79">
        <v>0.0</v>
      </c>
      <c r="H221" s="79">
        <v>0.0</v>
      </c>
      <c r="I221" s="79">
        <v>0.0</v>
      </c>
      <c r="J221" s="79">
        <v>24.0</v>
      </c>
      <c r="K221" s="83"/>
      <c r="L221" s="54"/>
    </row>
    <row r="222" ht="22.5" customHeight="1">
      <c r="A222" s="79">
        <v>6.0</v>
      </c>
      <c r="B222" s="80">
        <v>45927.0</v>
      </c>
      <c r="C222" s="81" t="s">
        <v>172</v>
      </c>
      <c r="D222" s="81" t="s">
        <v>880</v>
      </c>
      <c r="E222" s="82">
        <v>0.11</v>
      </c>
      <c r="F222" s="82">
        <v>25.0</v>
      </c>
      <c r="G222" s="79">
        <v>0.0</v>
      </c>
      <c r="H222" s="79">
        <v>0.0</v>
      </c>
      <c r="I222" s="79">
        <v>0.0</v>
      </c>
      <c r="J222" s="79">
        <v>3.0</v>
      </c>
      <c r="K222" s="83"/>
      <c r="L222" s="54"/>
    </row>
    <row r="223" ht="22.5" customHeight="1">
      <c r="A223" s="79">
        <v>6.0</v>
      </c>
      <c r="B223" s="80">
        <v>45927.0</v>
      </c>
      <c r="C223" s="81" t="s">
        <v>172</v>
      </c>
      <c r="D223" s="81" t="s">
        <v>881</v>
      </c>
      <c r="E223" s="82">
        <v>0.11</v>
      </c>
      <c r="F223" s="82">
        <v>16.8</v>
      </c>
      <c r="G223" s="79">
        <v>0.0</v>
      </c>
      <c r="H223" s="79">
        <v>0.0</v>
      </c>
      <c r="I223" s="79">
        <v>0.0</v>
      </c>
      <c r="J223" s="79">
        <v>3.0</v>
      </c>
      <c r="K223" s="83"/>
      <c r="L223" s="54"/>
    </row>
    <row r="224" ht="22.5" customHeight="1">
      <c r="A224" s="79">
        <v>6.0</v>
      </c>
      <c r="B224" s="80">
        <v>45927.0</v>
      </c>
      <c r="C224" s="81" t="s">
        <v>172</v>
      </c>
      <c r="D224" s="81" t="s">
        <v>882</v>
      </c>
      <c r="E224" s="82">
        <v>0.11</v>
      </c>
      <c r="F224" s="82">
        <v>18.0</v>
      </c>
      <c r="G224" s="79">
        <v>0.0</v>
      </c>
      <c r="H224" s="79">
        <v>0.0</v>
      </c>
      <c r="I224" s="79">
        <v>0.0</v>
      </c>
      <c r="J224" s="79">
        <v>3.0</v>
      </c>
      <c r="K224" s="83"/>
      <c r="L224" s="54"/>
    </row>
    <row r="225" ht="22.5" customHeight="1">
      <c r="A225" s="79">
        <v>4.0</v>
      </c>
      <c r="B225" s="80">
        <v>45927.0</v>
      </c>
      <c r="C225" s="81" t="s">
        <v>85</v>
      </c>
      <c r="D225" s="81" t="s">
        <v>883</v>
      </c>
      <c r="E225" s="82">
        <v>0.11</v>
      </c>
      <c r="F225" s="82">
        <v>12.4</v>
      </c>
      <c r="G225" s="79">
        <v>0.0</v>
      </c>
      <c r="H225" s="79">
        <v>0.0</v>
      </c>
      <c r="I225" s="79">
        <v>0.0</v>
      </c>
      <c r="J225" s="79">
        <v>23.0</v>
      </c>
      <c r="K225" s="83"/>
      <c r="L225" s="54"/>
    </row>
    <row r="226" ht="22.5" customHeight="1">
      <c r="A226" s="79">
        <v>4.0</v>
      </c>
      <c r="B226" s="80">
        <v>45927.0</v>
      </c>
      <c r="C226" s="81" t="s">
        <v>85</v>
      </c>
      <c r="D226" s="81" t="s">
        <v>884</v>
      </c>
      <c r="E226" s="82">
        <v>0.11</v>
      </c>
      <c r="F226" s="82">
        <v>12.4</v>
      </c>
      <c r="G226" s="79">
        <v>0.0</v>
      </c>
      <c r="H226" s="79">
        <v>0.0</v>
      </c>
      <c r="I226" s="79">
        <v>0.0</v>
      </c>
      <c r="J226" s="79">
        <v>23.0</v>
      </c>
      <c r="K226" s="83"/>
      <c r="L226" s="54"/>
    </row>
    <row r="227" ht="22.5" customHeight="1">
      <c r="A227" s="79">
        <v>96.0</v>
      </c>
      <c r="B227" s="80">
        <v>45927.0</v>
      </c>
      <c r="C227" s="81" t="s">
        <v>840</v>
      </c>
      <c r="D227" s="81" t="s">
        <v>885</v>
      </c>
      <c r="E227" s="82">
        <v>0.11</v>
      </c>
      <c r="F227" s="82">
        <v>32.0</v>
      </c>
      <c r="G227" s="79">
        <v>0.0</v>
      </c>
      <c r="H227" s="79">
        <v>0.0</v>
      </c>
      <c r="I227" s="79">
        <v>0.0</v>
      </c>
      <c r="J227" s="79">
        <v>41.0</v>
      </c>
      <c r="K227" s="83"/>
      <c r="L227" s="54"/>
    </row>
    <row r="228" ht="22.5" customHeight="1">
      <c r="A228" s="79">
        <v>6.0</v>
      </c>
      <c r="B228" s="80">
        <v>45927.0</v>
      </c>
      <c r="C228" s="81" t="s">
        <v>172</v>
      </c>
      <c r="D228" s="81" t="s">
        <v>886</v>
      </c>
      <c r="E228" s="82">
        <v>0.11</v>
      </c>
      <c r="F228" s="82">
        <v>22.0</v>
      </c>
      <c r="G228" s="79">
        <v>0.0</v>
      </c>
      <c r="H228" s="79">
        <v>0.0</v>
      </c>
      <c r="I228" s="79">
        <v>0.0</v>
      </c>
      <c r="J228" s="79">
        <v>3.0</v>
      </c>
      <c r="K228" s="83"/>
      <c r="L228" s="54"/>
    </row>
    <row r="229" ht="22.5" customHeight="1">
      <c r="A229" s="79">
        <v>6.0</v>
      </c>
      <c r="B229" s="80">
        <v>45927.0</v>
      </c>
      <c r="C229" s="81" t="s">
        <v>172</v>
      </c>
      <c r="D229" s="81" t="s">
        <v>887</v>
      </c>
      <c r="E229" s="82">
        <v>0.11</v>
      </c>
      <c r="F229" s="82">
        <v>9.0</v>
      </c>
      <c r="G229" s="79">
        <v>0.0</v>
      </c>
      <c r="H229" s="79">
        <v>0.0</v>
      </c>
      <c r="I229" s="79">
        <v>0.0</v>
      </c>
      <c r="J229" s="79">
        <v>3.0</v>
      </c>
      <c r="K229" s="83"/>
      <c r="L229" s="54"/>
    </row>
    <row r="230" ht="22.5" customHeight="1">
      <c r="A230" s="79">
        <v>4.0</v>
      </c>
      <c r="B230" s="80">
        <v>45926.0</v>
      </c>
      <c r="C230" s="81" t="s">
        <v>85</v>
      </c>
      <c r="D230" s="81" t="s">
        <v>888</v>
      </c>
      <c r="E230" s="82">
        <v>0.11</v>
      </c>
      <c r="F230" s="82">
        <v>13.5</v>
      </c>
      <c r="G230" s="79">
        <v>0.0</v>
      </c>
      <c r="H230" s="79">
        <v>0.0</v>
      </c>
      <c r="I230" s="79">
        <v>0.0</v>
      </c>
      <c r="J230" s="79">
        <v>22.0</v>
      </c>
      <c r="K230" s="83"/>
      <c r="L230" s="54"/>
    </row>
    <row r="231" ht="22.5" customHeight="1">
      <c r="A231" s="79">
        <v>6.0</v>
      </c>
      <c r="B231" s="80">
        <v>45925.0</v>
      </c>
      <c r="C231" s="81" t="s">
        <v>172</v>
      </c>
      <c r="D231" s="81" t="s">
        <v>889</v>
      </c>
      <c r="E231" s="82">
        <v>0.11</v>
      </c>
      <c r="F231" s="82">
        <v>18.0</v>
      </c>
      <c r="G231" s="79">
        <v>0.0</v>
      </c>
      <c r="H231" s="79">
        <v>0.0</v>
      </c>
      <c r="I231" s="79">
        <v>0.0</v>
      </c>
      <c r="J231" s="79">
        <v>1.0</v>
      </c>
      <c r="K231" s="83"/>
      <c r="L231" s="54"/>
    </row>
    <row r="232" ht="22.5" customHeight="1">
      <c r="A232" s="79">
        <v>6.0</v>
      </c>
      <c r="B232" s="80">
        <v>45924.0</v>
      </c>
      <c r="C232" s="81" t="s">
        <v>172</v>
      </c>
      <c r="D232" s="81" t="s">
        <v>890</v>
      </c>
      <c r="E232" s="82">
        <v>0.11</v>
      </c>
      <c r="F232" s="82">
        <v>22.0</v>
      </c>
      <c r="G232" s="79">
        <v>0.0</v>
      </c>
      <c r="H232" s="79">
        <v>0.0</v>
      </c>
      <c r="I232" s="79">
        <v>0.0</v>
      </c>
      <c r="J232" s="79">
        <v>0.0</v>
      </c>
      <c r="K232" s="83"/>
      <c r="L232" s="54"/>
    </row>
    <row r="233" ht="22.5" customHeight="1">
      <c r="A233" s="79">
        <v>5.0</v>
      </c>
      <c r="B233" s="80">
        <v>45924.0</v>
      </c>
      <c r="C233" s="81" t="s">
        <v>103</v>
      </c>
      <c r="D233" s="81" t="s">
        <v>891</v>
      </c>
      <c r="E233" s="82">
        <v>0.11</v>
      </c>
      <c r="F233" s="82">
        <v>3.0</v>
      </c>
      <c r="G233" s="79">
        <v>0.0</v>
      </c>
      <c r="H233" s="79">
        <v>0.0</v>
      </c>
      <c r="I233" s="79">
        <v>0.0</v>
      </c>
      <c r="J233" s="79">
        <v>18.0</v>
      </c>
      <c r="K233" s="83"/>
      <c r="L233" s="54"/>
    </row>
    <row r="234" ht="22.5" customHeight="1">
      <c r="A234" s="79">
        <v>5.0</v>
      </c>
      <c r="B234" s="80">
        <v>45924.0</v>
      </c>
      <c r="C234" s="81" t="s">
        <v>103</v>
      </c>
      <c r="D234" s="81" t="s">
        <v>892</v>
      </c>
      <c r="E234" s="82">
        <v>0.11</v>
      </c>
      <c r="F234" s="82">
        <v>4.0</v>
      </c>
      <c r="G234" s="79">
        <v>0.0</v>
      </c>
      <c r="H234" s="79">
        <v>0.0</v>
      </c>
      <c r="I234" s="79">
        <v>0.0</v>
      </c>
      <c r="J234" s="79">
        <v>18.0</v>
      </c>
      <c r="K234" s="83"/>
      <c r="L234" s="54"/>
    </row>
    <row r="235" ht="22.5" customHeight="1">
      <c r="A235" s="79">
        <v>4.0</v>
      </c>
      <c r="B235" s="80">
        <v>45924.0</v>
      </c>
      <c r="C235" s="81" t="s">
        <v>85</v>
      </c>
      <c r="D235" s="81" t="s">
        <v>893</v>
      </c>
      <c r="E235" s="82">
        <v>0.11</v>
      </c>
      <c r="F235" s="82">
        <v>15.0</v>
      </c>
      <c r="G235" s="79">
        <v>0.0</v>
      </c>
      <c r="H235" s="79">
        <v>0.0</v>
      </c>
      <c r="I235" s="79">
        <v>0.0</v>
      </c>
      <c r="J235" s="79">
        <v>20.0</v>
      </c>
      <c r="K235" s="83"/>
      <c r="L235" s="54"/>
    </row>
    <row r="236" ht="22.5" customHeight="1">
      <c r="A236" s="79">
        <v>95.0</v>
      </c>
      <c r="B236" s="80">
        <v>45924.0</v>
      </c>
      <c r="C236" s="81" t="s">
        <v>840</v>
      </c>
      <c r="D236" s="81" t="s">
        <v>894</v>
      </c>
      <c r="E236" s="82">
        <v>0.11</v>
      </c>
      <c r="F236" s="82">
        <v>37.0</v>
      </c>
      <c r="G236" s="79">
        <v>0.0</v>
      </c>
      <c r="H236" s="79">
        <v>0.0</v>
      </c>
      <c r="I236" s="79">
        <v>0.0</v>
      </c>
      <c r="J236" s="79">
        <v>38.0</v>
      </c>
      <c r="K236" s="83"/>
      <c r="L236" s="54"/>
    </row>
    <row r="237" ht="22.5" customHeight="1">
      <c r="A237" s="79">
        <v>5.0</v>
      </c>
      <c r="B237" s="80">
        <v>45923.0</v>
      </c>
      <c r="C237" s="81" t="s">
        <v>103</v>
      </c>
      <c r="D237" s="81" t="s">
        <v>895</v>
      </c>
      <c r="E237" s="82">
        <v>0.11</v>
      </c>
      <c r="F237" s="82">
        <v>6.0</v>
      </c>
      <c r="G237" s="79">
        <v>0.0</v>
      </c>
      <c r="H237" s="79">
        <v>0.0</v>
      </c>
      <c r="I237" s="79">
        <v>0.0</v>
      </c>
      <c r="J237" s="79">
        <v>17.0</v>
      </c>
      <c r="K237" s="83"/>
      <c r="L237" s="54"/>
    </row>
    <row r="238" ht="22.5" customHeight="1">
      <c r="A238" s="79">
        <v>4.0</v>
      </c>
      <c r="B238" s="80">
        <v>45922.0</v>
      </c>
      <c r="C238" s="81" t="s">
        <v>85</v>
      </c>
      <c r="D238" s="81" t="s">
        <v>896</v>
      </c>
      <c r="E238" s="82">
        <v>0.11</v>
      </c>
      <c r="F238" s="82">
        <v>13.5</v>
      </c>
      <c r="G238" s="79">
        <v>0.0</v>
      </c>
      <c r="H238" s="79">
        <v>0.0</v>
      </c>
      <c r="I238" s="79">
        <v>0.0</v>
      </c>
      <c r="J238" s="79">
        <v>18.0</v>
      </c>
      <c r="K238" s="83"/>
      <c r="L238" s="54"/>
    </row>
    <row r="239" ht="22.5" customHeight="1">
      <c r="A239" s="79">
        <v>4.0</v>
      </c>
      <c r="B239" s="80">
        <v>45922.0</v>
      </c>
      <c r="C239" s="81" t="s">
        <v>85</v>
      </c>
      <c r="D239" s="81" t="s">
        <v>897</v>
      </c>
      <c r="E239" s="82">
        <v>0.11</v>
      </c>
      <c r="F239" s="82">
        <v>17.5</v>
      </c>
      <c r="G239" s="79">
        <v>0.0</v>
      </c>
      <c r="H239" s="79">
        <v>0.0</v>
      </c>
      <c r="I239" s="79">
        <v>0.0</v>
      </c>
      <c r="J239" s="79">
        <v>18.0</v>
      </c>
      <c r="K239" s="83"/>
      <c r="L239" s="54"/>
    </row>
    <row r="240" ht="22.5" customHeight="1">
      <c r="A240" s="79">
        <v>4.0</v>
      </c>
      <c r="B240" s="80">
        <v>45922.0</v>
      </c>
      <c r="C240" s="81" t="s">
        <v>85</v>
      </c>
      <c r="D240" s="81" t="s">
        <v>898</v>
      </c>
      <c r="E240" s="82">
        <v>0.11</v>
      </c>
      <c r="F240" s="82">
        <v>13.5</v>
      </c>
      <c r="G240" s="79">
        <v>0.0</v>
      </c>
      <c r="H240" s="79">
        <v>0.0</v>
      </c>
      <c r="I240" s="79">
        <v>0.0</v>
      </c>
      <c r="J240" s="79">
        <v>18.0</v>
      </c>
      <c r="K240" s="83"/>
      <c r="L240" s="54"/>
    </row>
    <row r="241" ht="22.5" customHeight="1">
      <c r="A241" s="79">
        <v>5.0</v>
      </c>
      <c r="B241" s="80">
        <v>45922.0</v>
      </c>
      <c r="C241" s="81" t="s">
        <v>103</v>
      </c>
      <c r="D241" s="81" t="s">
        <v>899</v>
      </c>
      <c r="E241" s="82">
        <v>0.11</v>
      </c>
      <c r="F241" s="82">
        <v>6.0</v>
      </c>
      <c r="G241" s="79">
        <v>0.0</v>
      </c>
      <c r="H241" s="79">
        <v>0.0</v>
      </c>
      <c r="I241" s="79">
        <v>0.0</v>
      </c>
      <c r="J241" s="79">
        <v>16.0</v>
      </c>
      <c r="K241" s="83"/>
      <c r="L241" s="54"/>
    </row>
    <row r="242" ht="22.5" customHeight="1">
      <c r="A242" s="79">
        <v>5.0</v>
      </c>
      <c r="B242" s="80">
        <v>45922.0</v>
      </c>
      <c r="C242" s="81" t="s">
        <v>103</v>
      </c>
      <c r="D242" s="81" t="s">
        <v>900</v>
      </c>
      <c r="E242" s="82">
        <v>0.11</v>
      </c>
      <c r="F242" s="82">
        <v>6.0</v>
      </c>
      <c r="G242" s="79">
        <v>0.0</v>
      </c>
      <c r="H242" s="79">
        <v>0.0</v>
      </c>
      <c r="I242" s="79">
        <v>0.0</v>
      </c>
      <c r="J242" s="79">
        <v>16.0</v>
      </c>
      <c r="K242" s="83"/>
      <c r="L242" s="54"/>
    </row>
    <row r="243" ht="22.5" customHeight="1">
      <c r="A243" s="79">
        <v>5.0</v>
      </c>
      <c r="B243" s="80">
        <v>45922.0</v>
      </c>
      <c r="C243" s="81" t="s">
        <v>103</v>
      </c>
      <c r="D243" s="81" t="s">
        <v>901</v>
      </c>
      <c r="E243" s="82">
        <v>0.11</v>
      </c>
      <c r="F243" s="82">
        <v>5.4</v>
      </c>
      <c r="G243" s="79">
        <v>0.0</v>
      </c>
      <c r="H243" s="79">
        <v>0.0</v>
      </c>
      <c r="I243" s="79">
        <v>0.0</v>
      </c>
      <c r="J243" s="79">
        <v>16.0</v>
      </c>
      <c r="K243" s="83"/>
      <c r="L243" s="54"/>
    </row>
    <row r="244" ht="22.5" customHeight="1">
      <c r="A244" s="79">
        <v>5.0</v>
      </c>
      <c r="B244" s="80">
        <v>45921.0</v>
      </c>
      <c r="C244" s="81" t="s">
        <v>103</v>
      </c>
      <c r="D244" s="81" t="s">
        <v>902</v>
      </c>
      <c r="E244" s="82">
        <v>0.11</v>
      </c>
      <c r="F244" s="82">
        <v>6.0</v>
      </c>
      <c r="G244" s="79">
        <v>0.0</v>
      </c>
      <c r="H244" s="79">
        <v>0.0</v>
      </c>
      <c r="I244" s="79">
        <v>0.0</v>
      </c>
      <c r="J244" s="79">
        <v>15.0</v>
      </c>
      <c r="K244" s="83"/>
      <c r="L244" s="54"/>
    </row>
    <row r="245" ht="22.5" customHeight="1">
      <c r="A245" s="79">
        <v>4.0</v>
      </c>
      <c r="B245" s="80">
        <v>45920.0</v>
      </c>
      <c r="C245" s="81" t="s">
        <v>85</v>
      </c>
      <c r="D245" s="81" t="s">
        <v>903</v>
      </c>
      <c r="E245" s="82">
        <v>0.11</v>
      </c>
      <c r="F245" s="82">
        <v>15.5</v>
      </c>
      <c r="G245" s="79">
        <v>0.0</v>
      </c>
      <c r="H245" s="79">
        <v>0.0</v>
      </c>
      <c r="I245" s="79">
        <v>0.0</v>
      </c>
      <c r="J245" s="79">
        <v>16.0</v>
      </c>
      <c r="K245" s="83"/>
      <c r="L245" s="54"/>
    </row>
    <row r="246" ht="22.5" customHeight="1">
      <c r="A246" s="79">
        <v>5.0</v>
      </c>
      <c r="B246" s="80">
        <v>45918.0</v>
      </c>
      <c r="C246" s="81" t="s">
        <v>103</v>
      </c>
      <c r="D246" s="81" t="s">
        <v>904</v>
      </c>
      <c r="E246" s="82">
        <v>0.11</v>
      </c>
      <c r="F246" s="82">
        <v>22.0</v>
      </c>
      <c r="G246" s="79">
        <v>0.0</v>
      </c>
      <c r="H246" s="79">
        <v>0.0</v>
      </c>
      <c r="I246" s="79">
        <v>0.0</v>
      </c>
      <c r="J246" s="79">
        <v>12.0</v>
      </c>
      <c r="K246" s="83"/>
      <c r="L246" s="54"/>
    </row>
    <row r="247" ht="22.5" customHeight="1">
      <c r="A247" s="79">
        <v>5.0</v>
      </c>
      <c r="B247" s="80">
        <v>45917.0</v>
      </c>
      <c r="C247" s="81" t="s">
        <v>103</v>
      </c>
      <c r="D247" s="81" t="s">
        <v>905</v>
      </c>
      <c r="E247" s="82">
        <v>0.11</v>
      </c>
      <c r="F247" s="82">
        <v>17.0</v>
      </c>
      <c r="G247" s="79">
        <v>0.0</v>
      </c>
      <c r="H247" s="79">
        <v>0.0</v>
      </c>
      <c r="I247" s="79">
        <v>0.0</v>
      </c>
      <c r="J247" s="79">
        <v>11.0</v>
      </c>
      <c r="K247" s="83"/>
      <c r="L247" s="54"/>
    </row>
    <row r="248" ht="22.5" customHeight="1">
      <c r="A248" s="79">
        <v>4.0</v>
      </c>
      <c r="B248" s="80">
        <v>45916.0</v>
      </c>
      <c r="C248" s="81" t="s">
        <v>85</v>
      </c>
      <c r="D248" s="81" t="s">
        <v>906</v>
      </c>
      <c r="E248" s="82">
        <v>0.11</v>
      </c>
      <c r="F248" s="82">
        <v>14.0</v>
      </c>
      <c r="G248" s="79">
        <v>0.0</v>
      </c>
      <c r="H248" s="79">
        <v>0.0</v>
      </c>
      <c r="I248" s="79">
        <v>0.0</v>
      </c>
      <c r="J248" s="79">
        <v>12.0</v>
      </c>
      <c r="K248" s="83"/>
      <c r="L248" s="54"/>
    </row>
    <row r="249" ht="22.5" customHeight="1">
      <c r="A249" s="79">
        <v>4.0</v>
      </c>
      <c r="B249" s="80">
        <v>45915.0</v>
      </c>
      <c r="C249" s="81" t="s">
        <v>85</v>
      </c>
      <c r="D249" s="81" t="s">
        <v>907</v>
      </c>
      <c r="E249" s="82">
        <v>0.11</v>
      </c>
      <c r="F249" s="82">
        <v>19.0</v>
      </c>
      <c r="G249" s="79">
        <v>0.0</v>
      </c>
      <c r="H249" s="79">
        <v>0.0</v>
      </c>
      <c r="I249" s="79">
        <v>0.0</v>
      </c>
      <c r="J249" s="79">
        <v>11.0</v>
      </c>
      <c r="K249" s="83"/>
      <c r="L249" s="54"/>
    </row>
    <row r="250" ht="22.5" customHeight="1">
      <c r="A250" s="79">
        <v>4.0</v>
      </c>
      <c r="B250" s="80">
        <v>45915.0</v>
      </c>
      <c r="C250" s="81" t="s">
        <v>85</v>
      </c>
      <c r="D250" s="81" t="s">
        <v>908</v>
      </c>
      <c r="E250" s="82">
        <v>0.11</v>
      </c>
      <c r="F250" s="82">
        <v>14.0</v>
      </c>
      <c r="G250" s="79">
        <v>0.0</v>
      </c>
      <c r="H250" s="79">
        <v>0.0</v>
      </c>
      <c r="I250" s="79">
        <v>0.0</v>
      </c>
      <c r="J250" s="79">
        <v>11.0</v>
      </c>
      <c r="K250" s="83"/>
      <c r="L250" s="54"/>
    </row>
    <row r="251" ht="22.5" customHeight="1">
      <c r="A251" s="79">
        <v>4.0</v>
      </c>
      <c r="B251" s="80">
        <v>45915.0</v>
      </c>
      <c r="C251" s="81" t="s">
        <v>85</v>
      </c>
      <c r="D251" s="81" t="s">
        <v>909</v>
      </c>
      <c r="E251" s="82">
        <v>0.11</v>
      </c>
      <c r="F251" s="82">
        <v>14.0</v>
      </c>
      <c r="G251" s="79">
        <v>0.0</v>
      </c>
      <c r="H251" s="79">
        <v>0.0</v>
      </c>
      <c r="I251" s="79">
        <v>0.0</v>
      </c>
      <c r="J251" s="79">
        <v>11.0</v>
      </c>
      <c r="K251" s="83"/>
      <c r="L251" s="54"/>
    </row>
    <row r="252" ht="22.5" customHeight="1">
      <c r="A252" s="79">
        <v>4.0</v>
      </c>
      <c r="B252" s="80">
        <v>45915.0</v>
      </c>
      <c r="C252" s="81" t="s">
        <v>85</v>
      </c>
      <c r="D252" s="81" t="s">
        <v>910</v>
      </c>
      <c r="E252" s="82">
        <v>0.11</v>
      </c>
      <c r="F252" s="82">
        <v>14.0</v>
      </c>
      <c r="G252" s="79">
        <v>0.0</v>
      </c>
      <c r="H252" s="79">
        <v>0.0</v>
      </c>
      <c r="I252" s="79">
        <v>0.0</v>
      </c>
      <c r="J252" s="79">
        <v>11.0</v>
      </c>
      <c r="K252" s="83"/>
      <c r="L252" s="54"/>
    </row>
    <row r="253" ht="22.5" customHeight="1">
      <c r="A253" s="79">
        <v>93.0</v>
      </c>
      <c r="B253" s="80">
        <v>45915.0</v>
      </c>
      <c r="C253" s="81" t="s">
        <v>840</v>
      </c>
      <c r="D253" s="81" t="s">
        <v>911</v>
      </c>
      <c r="E253" s="82">
        <v>0.11</v>
      </c>
      <c r="F253" s="82">
        <v>200.0</v>
      </c>
      <c r="G253" s="79">
        <v>0.0</v>
      </c>
      <c r="H253" s="79">
        <v>0.0</v>
      </c>
      <c r="I253" s="79">
        <v>0.0</v>
      </c>
      <c r="J253" s="79">
        <v>29.0</v>
      </c>
      <c r="K253" s="83"/>
      <c r="L253" s="54"/>
    </row>
    <row r="254" ht="22.5" customHeight="1">
      <c r="A254" s="79">
        <v>94.0</v>
      </c>
      <c r="B254" s="80">
        <v>45915.0</v>
      </c>
      <c r="C254" s="81" t="s">
        <v>840</v>
      </c>
      <c r="D254" s="81" t="s">
        <v>912</v>
      </c>
      <c r="E254" s="82">
        <v>0.11</v>
      </c>
      <c r="F254" s="82">
        <v>45.0</v>
      </c>
      <c r="G254" s="79">
        <v>0.0</v>
      </c>
      <c r="H254" s="79">
        <v>0.0</v>
      </c>
      <c r="I254" s="79">
        <v>0.0</v>
      </c>
      <c r="J254" s="79">
        <v>29.0</v>
      </c>
      <c r="K254" s="83"/>
      <c r="L254" s="54"/>
    </row>
    <row r="255" ht="22.5" customHeight="1">
      <c r="A255" s="79">
        <v>4.0</v>
      </c>
      <c r="B255" s="80">
        <v>45914.0</v>
      </c>
      <c r="C255" s="81" t="s">
        <v>85</v>
      </c>
      <c r="D255" s="81" t="s">
        <v>913</v>
      </c>
      <c r="E255" s="82">
        <v>0.11</v>
      </c>
      <c r="F255" s="82">
        <v>14.0</v>
      </c>
      <c r="G255" s="79">
        <v>0.0</v>
      </c>
      <c r="H255" s="79">
        <v>0.0</v>
      </c>
      <c r="I255" s="79">
        <v>0.0</v>
      </c>
      <c r="J255" s="79">
        <v>10.0</v>
      </c>
      <c r="K255" s="83"/>
      <c r="L255" s="54"/>
    </row>
    <row r="256" ht="22.5" customHeight="1">
      <c r="A256" s="79">
        <v>4.0</v>
      </c>
      <c r="B256" s="80">
        <v>45914.0</v>
      </c>
      <c r="C256" s="81" t="s">
        <v>85</v>
      </c>
      <c r="D256" s="81" t="s">
        <v>914</v>
      </c>
      <c r="E256" s="82">
        <v>0.11</v>
      </c>
      <c r="F256" s="82">
        <v>14.95</v>
      </c>
      <c r="G256" s="79">
        <v>0.0</v>
      </c>
      <c r="H256" s="79">
        <v>0.0</v>
      </c>
      <c r="I256" s="79">
        <v>0.0</v>
      </c>
      <c r="J256" s="79">
        <v>10.0</v>
      </c>
      <c r="K256" s="83"/>
      <c r="L256" s="54"/>
    </row>
    <row r="257" ht="22.5" customHeight="1">
      <c r="A257" s="79">
        <v>4.0</v>
      </c>
      <c r="B257" s="80">
        <v>45914.0</v>
      </c>
      <c r="C257" s="81" t="s">
        <v>85</v>
      </c>
      <c r="D257" s="81" t="s">
        <v>915</v>
      </c>
      <c r="E257" s="82">
        <v>0.11</v>
      </c>
      <c r="F257" s="82">
        <v>13.0</v>
      </c>
      <c r="G257" s="79">
        <v>0.0</v>
      </c>
      <c r="H257" s="79">
        <v>0.0</v>
      </c>
      <c r="I257" s="79">
        <v>0.0</v>
      </c>
      <c r="J257" s="79">
        <v>10.0</v>
      </c>
      <c r="K257" s="83"/>
      <c r="L257" s="54"/>
    </row>
    <row r="258" ht="22.5" customHeight="1">
      <c r="A258" s="79">
        <v>4.0</v>
      </c>
      <c r="B258" s="80">
        <v>45914.0</v>
      </c>
      <c r="C258" s="81" t="s">
        <v>85</v>
      </c>
      <c r="D258" s="81" t="s">
        <v>916</v>
      </c>
      <c r="E258" s="82">
        <v>0.11</v>
      </c>
      <c r="F258" s="82">
        <v>14.0</v>
      </c>
      <c r="G258" s="79">
        <v>0.0</v>
      </c>
      <c r="H258" s="79">
        <v>0.0</v>
      </c>
      <c r="I258" s="79">
        <v>0.0</v>
      </c>
      <c r="J258" s="79">
        <v>10.0</v>
      </c>
      <c r="K258" s="83"/>
      <c r="L258" s="54"/>
    </row>
    <row r="259" ht="22.5" customHeight="1">
      <c r="A259" s="79">
        <v>92.0</v>
      </c>
      <c r="B259" s="80">
        <v>45914.0</v>
      </c>
      <c r="C259" s="81" t="s">
        <v>840</v>
      </c>
      <c r="D259" s="81" t="s">
        <v>917</v>
      </c>
      <c r="E259" s="82">
        <v>0.11</v>
      </c>
      <c r="F259" s="82">
        <v>31.0</v>
      </c>
      <c r="G259" s="79">
        <v>0.0</v>
      </c>
      <c r="H259" s="79">
        <v>0.0</v>
      </c>
      <c r="I259" s="79">
        <v>0.0</v>
      </c>
      <c r="J259" s="79">
        <v>28.0</v>
      </c>
      <c r="K259" s="83"/>
      <c r="L259" s="54"/>
    </row>
    <row r="260" ht="22.5" customHeight="1">
      <c r="A260" s="79">
        <v>4.0</v>
      </c>
      <c r="B260" s="80">
        <v>45914.0</v>
      </c>
      <c r="C260" s="81" t="s">
        <v>85</v>
      </c>
      <c r="D260" s="81" t="s">
        <v>918</v>
      </c>
      <c r="E260" s="82">
        <v>0.11</v>
      </c>
      <c r="F260" s="82">
        <v>20.0</v>
      </c>
      <c r="G260" s="79">
        <v>0.0</v>
      </c>
      <c r="H260" s="79">
        <v>0.0</v>
      </c>
      <c r="I260" s="79">
        <v>0.0</v>
      </c>
      <c r="J260" s="79">
        <v>10.0</v>
      </c>
      <c r="K260" s="83"/>
      <c r="L260" s="54"/>
    </row>
    <row r="261" ht="22.5" customHeight="1">
      <c r="A261" s="79">
        <v>4.0</v>
      </c>
      <c r="B261" s="80">
        <v>45913.0</v>
      </c>
      <c r="C261" s="81" t="s">
        <v>85</v>
      </c>
      <c r="D261" s="81" t="s">
        <v>919</v>
      </c>
      <c r="E261" s="82">
        <v>0.11</v>
      </c>
      <c r="F261" s="82">
        <v>15.0</v>
      </c>
      <c r="G261" s="79">
        <v>0.0</v>
      </c>
      <c r="H261" s="79">
        <v>0.0</v>
      </c>
      <c r="I261" s="79">
        <v>0.0</v>
      </c>
      <c r="J261" s="79">
        <v>9.0</v>
      </c>
      <c r="K261" s="83"/>
      <c r="L261" s="54"/>
    </row>
    <row r="262" ht="22.5" customHeight="1">
      <c r="A262" s="79">
        <v>4.0</v>
      </c>
      <c r="B262" s="80">
        <v>45913.0</v>
      </c>
      <c r="C262" s="81" t="s">
        <v>85</v>
      </c>
      <c r="D262" s="81" t="s">
        <v>920</v>
      </c>
      <c r="E262" s="82">
        <v>0.11</v>
      </c>
      <c r="F262" s="82">
        <v>12.0</v>
      </c>
      <c r="G262" s="79">
        <v>0.0</v>
      </c>
      <c r="H262" s="79">
        <v>0.0</v>
      </c>
      <c r="I262" s="79">
        <v>0.0</v>
      </c>
      <c r="J262" s="79">
        <v>9.0</v>
      </c>
      <c r="K262" s="83"/>
      <c r="L262" s="54"/>
    </row>
    <row r="263" ht="22.5" customHeight="1">
      <c r="A263" s="79">
        <v>3.0</v>
      </c>
      <c r="B263" s="80">
        <v>45911.0</v>
      </c>
      <c r="C263" s="81" t="s">
        <v>69</v>
      </c>
      <c r="D263" s="81" t="s">
        <v>921</v>
      </c>
      <c r="E263" s="82">
        <v>0.11</v>
      </c>
      <c r="F263" s="82">
        <v>5.0</v>
      </c>
      <c r="G263" s="79">
        <v>0.0</v>
      </c>
      <c r="H263" s="79">
        <v>0.0</v>
      </c>
      <c r="I263" s="79">
        <v>0.0</v>
      </c>
      <c r="J263" s="79">
        <v>10.0</v>
      </c>
      <c r="K263" s="83"/>
      <c r="L263" s="54"/>
    </row>
    <row r="264" ht="22.5" customHeight="1">
      <c r="A264" s="79">
        <v>4.0</v>
      </c>
      <c r="B264" s="80">
        <v>45911.0</v>
      </c>
      <c r="C264" s="81" t="s">
        <v>85</v>
      </c>
      <c r="D264" s="81" t="s">
        <v>922</v>
      </c>
      <c r="E264" s="82">
        <v>0.11</v>
      </c>
      <c r="F264" s="82">
        <v>17.575</v>
      </c>
      <c r="G264" s="79">
        <v>0.0</v>
      </c>
      <c r="H264" s="79">
        <v>0.0</v>
      </c>
      <c r="I264" s="79">
        <v>0.0</v>
      </c>
      <c r="J264" s="79">
        <v>7.0</v>
      </c>
      <c r="K264" s="83"/>
      <c r="L264" s="54"/>
    </row>
    <row r="265" ht="22.5" customHeight="1">
      <c r="A265" s="79">
        <v>4.0</v>
      </c>
      <c r="B265" s="80">
        <v>45911.0</v>
      </c>
      <c r="C265" s="81" t="s">
        <v>85</v>
      </c>
      <c r="D265" s="81" t="s">
        <v>923</v>
      </c>
      <c r="E265" s="82">
        <v>0.11</v>
      </c>
      <c r="F265" s="82">
        <v>17.575</v>
      </c>
      <c r="G265" s="79">
        <v>0.0</v>
      </c>
      <c r="H265" s="79">
        <v>0.0</v>
      </c>
      <c r="I265" s="79">
        <v>0.0</v>
      </c>
      <c r="J265" s="79">
        <v>7.0</v>
      </c>
      <c r="K265" s="83"/>
      <c r="L265" s="54"/>
    </row>
    <row r="266" ht="22.5" customHeight="1">
      <c r="A266" s="79">
        <v>4.0</v>
      </c>
      <c r="B266" s="80">
        <v>45910.0</v>
      </c>
      <c r="C266" s="81" t="s">
        <v>85</v>
      </c>
      <c r="D266" s="81" t="s">
        <v>924</v>
      </c>
      <c r="E266" s="82">
        <v>0.11</v>
      </c>
      <c r="F266" s="82">
        <v>14.95</v>
      </c>
      <c r="G266" s="79">
        <v>0.0</v>
      </c>
      <c r="H266" s="79">
        <v>0.0</v>
      </c>
      <c r="I266" s="79">
        <v>0.0</v>
      </c>
      <c r="J266" s="79">
        <v>6.0</v>
      </c>
      <c r="K266" s="83"/>
      <c r="L266" s="54"/>
    </row>
    <row r="267" ht="22.5" customHeight="1">
      <c r="A267" s="79">
        <v>4.0</v>
      </c>
      <c r="B267" s="80">
        <v>45910.0</v>
      </c>
      <c r="C267" s="81" t="s">
        <v>85</v>
      </c>
      <c r="D267" s="81" t="s">
        <v>925</v>
      </c>
      <c r="E267" s="82">
        <v>0.11</v>
      </c>
      <c r="F267" s="82">
        <v>14.95</v>
      </c>
      <c r="G267" s="79">
        <v>0.0</v>
      </c>
      <c r="H267" s="79">
        <v>0.0</v>
      </c>
      <c r="I267" s="79">
        <v>0.0</v>
      </c>
      <c r="J267" s="79">
        <v>6.0</v>
      </c>
      <c r="K267" s="83"/>
      <c r="L267" s="54"/>
    </row>
    <row r="268" ht="22.5" customHeight="1">
      <c r="A268" s="79">
        <v>4.0</v>
      </c>
      <c r="B268" s="80">
        <v>45910.0</v>
      </c>
      <c r="C268" s="81" t="s">
        <v>85</v>
      </c>
      <c r="D268" s="81" t="s">
        <v>926</v>
      </c>
      <c r="E268" s="82">
        <v>0.11</v>
      </c>
      <c r="F268" s="82">
        <v>17.0</v>
      </c>
      <c r="G268" s="79">
        <v>0.0</v>
      </c>
      <c r="H268" s="79">
        <v>0.0</v>
      </c>
      <c r="I268" s="79">
        <v>0.0</v>
      </c>
      <c r="J268" s="79">
        <v>6.0</v>
      </c>
      <c r="K268" s="83"/>
      <c r="L268" s="54"/>
    </row>
    <row r="269" ht="22.5" customHeight="1">
      <c r="A269" s="79">
        <v>4.0</v>
      </c>
      <c r="B269" s="80">
        <v>45909.0</v>
      </c>
      <c r="C269" s="81" t="s">
        <v>85</v>
      </c>
      <c r="D269" s="81" t="s">
        <v>927</v>
      </c>
      <c r="E269" s="82">
        <v>0.11</v>
      </c>
      <c r="F269" s="82">
        <v>15.0</v>
      </c>
      <c r="G269" s="79">
        <v>0.0</v>
      </c>
      <c r="H269" s="79">
        <v>0.0</v>
      </c>
      <c r="I269" s="79">
        <v>0.0</v>
      </c>
      <c r="J269" s="79">
        <v>5.0</v>
      </c>
      <c r="K269" s="83"/>
      <c r="L269" s="54"/>
    </row>
    <row r="270" ht="22.5" customHeight="1">
      <c r="A270" s="79">
        <v>4.0</v>
      </c>
      <c r="B270" s="80">
        <v>45909.0</v>
      </c>
      <c r="C270" s="81" t="s">
        <v>85</v>
      </c>
      <c r="D270" s="81" t="s">
        <v>928</v>
      </c>
      <c r="E270" s="82">
        <v>0.11</v>
      </c>
      <c r="F270" s="82">
        <v>16.0</v>
      </c>
      <c r="G270" s="79">
        <v>0.0</v>
      </c>
      <c r="H270" s="79">
        <v>0.0</v>
      </c>
      <c r="I270" s="79">
        <v>0.0</v>
      </c>
      <c r="J270" s="79">
        <v>5.0</v>
      </c>
      <c r="K270" s="83"/>
      <c r="L270" s="54"/>
    </row>
    <row r="271" ht="22.5" customHeight="1">
      <c r="A271" s="79">
        <v>4.0</v>
      </c>
      <c r="B271" s="80">
        <v>45909.0</v>
      </c>
      <c r="C271" s="81" t="s">
        <v>85</v>
      </c>
      <c r="D271" s="81" t="s">
        <v>929</v>
      </c>
      <c r="E271" s="82">
        <v>0.11</v>
      </c>
      <c r="F271" s="82">
        <v>15.0</v>
      </c>
      <c r="G271" s="79">
        <v>0.0</v>
      </c>
      <c r="H271" s="79">
        <v>0.0</v>
      </c>
      <c r="I271" s="79">
        <v>0.0</v>
      </c>
      <c r="J271" s="79">
        <v>5.0</v>
      </c>
      <c r="K271" s="83"/>
      <c r="L271" s="54"/>
    </row>
    <row r="272" ht="22.5" customHeight="1">
      <c r="A272" s="79">
        <v>91.0</v>
      </c>
      <c r="B272" s="80">
        <v>45906.0</v>
      </c>
      <c r="C272" s="81" t="s">
        <v>840</v>
      </c>
      <c r="D272" s="81" t="s">
        <v>930</v>
      </c>
      <c r="E272" s="82">
        <v>0.11</v>
      </c>
      <c r="F272" s="82">
        <v>45.0</v>
      </c>
      <c r="G272" s="79">
        <v>0.0</v>
      </c>
      <c r="H272" s="79">
        <v>0.0</v>
      </c>
      <c r="I272" s="79">
        <v>0.0</v>
      </c>
      <c r="J272" s="79">
        <v>20.0</v>
      </c>
      <c r="K272" s="83"/>
      <c r="L272" s="54"/>
    </row>
    <row r="273" ht="22.5" customHeight="1">
      <c r="A273" s="79">
        <v>2.0</v>
      </c>
      <c r="B273" s="80">
        <v>45905.0</v>
      </c>
      <c r="C273" s="81" t="s">
        <v>931</v>
      </c>
      <c r="D273" s="81" t="s">
        <v>932</v>
      </c>
      <c r="E273" s="82">
        <v>0.11</v>
      </c>
      <c r="F273" s="82">
        <v>13.0</v>
      </c>
      <c r="G273" s="79">
        <v>0.0</v>
      </c>
      <c r="H273" s="79">
        <v>0.0</v>
      </c>
      <c r="I273" s="79">
        <v>0.0</v>
      </c>
      <c r="J273" s="79">
        <v>79.0</v>
      </c>
      <c r="L273" s="54"/>
    </row>
    <row r="274" ht="22.5" customHeight="1">
      <c r="A274" s="79">
        <v>2.0</v>
      </c>
      <c r="B274" s="80">
        <v>45905.0</v>
      </c>
      <c r="C274" s="81" t="s">
        <v>931</v>
      </c>
      <c r="D274" s="81" t="s">
        <v>933</v>
      </c>
      <c r="E274" s="82">
        <v>0.11</v>
      </c>
      <c r="F274" s="82">
        <v>17.6</v>
      </c>
      <c r="G274" s="79">
        <v>0.0</v>
      </c>
      <c r="H274" s="79">
        <v>0.0</v>
      </c>
      <c r="I274" s="79">
        <v>0.0</v>
      </c>
      <c r="J274" s="79">
        <v>47.0</v>
      </c>
      <c r="L274" s="54"/>
    </row>
    <row r="275" ht="22.5" customHeight="1">
      <c r="A275" s="79">
        <v>90.0</v>
      </c>
      <c r="B275" s="80">
        <v>45904.0</v>
      </c>
      <c r="C275" s="81" t="s">
        <v>840</v>
      </c>
      <c r="D275" s="81" t="s">
        <v>934</v>
      </c>
      <c r="E275" s="82">
        <v>0.11</v>
      </c>
      <c r="F275" s="82">
        <v>40.0</v>
      </c>
      <c r="G275" s="79">
        <v>0.0</v>
      </c>
      <c r="H275" s="79">
        <v>0.0</v>
      </c>
      <c r="I275" s="79">
        <v>0.0</v>
      </c>
      <c r="J275" s="79">
        <v>18.0</v>
      </c>
      <c r="K275" s="83"/>
      <c r="L275" s="54"/>
    </row>
    <row r="276" ht="22.5" customHeight="1">
      <c r="A276" s="79">
        <v>2.0</v>
      </c>
      <c r="B276" s="80">
        <v>45904.0</v>
      </c>
      <c r="C276" s="81" t="s">
        <v>931</v>
      </c>
      <c r="D276" s="81" t="s">
        <v>935</v>
      </c>
      <c r="E276" s="82">
        <v>0.11</v>
      </c>
      <c r="F276" s="82">
        <v>23.0</v>
      </c>
      <c r="G276" s="79">
        <v>0.0</v>
      </c>
      <c r="H276" s="79">
        <v>0.0</v>
      </c>
      <c r="I276" s="79">
        <v>0.0</v>
      </c>
      <c r="J276" s="79">
        <v>18.0</v>
      </c>
      <c r="L276" s="54"/>
    </row>
    <row r="277" ht="22.5" customHeight="1">
      <c r="A277" s="79">
        <v>2.0</v>
      </c>
      <c r="B277" s="80">
        <v>45903.0</v>
      </c>
      <c r="C277" s="81" t="s">
        <v>931</v>
      </c>
      <c r="D277" s="81" t="s">
        <v>936</v>
      </c>
      <c r="E277" s="82">
        <v>0.11</v>
      </c>
      <c r="F277" s="82">
        <v>5.0</v>
      </c>
      <c r="G277" s="79">
        <v>0.0</v>
      </c>
      <c r="H277" s="79">
        <v>0.0</v>
      </c>
      <c r="I277" s="79">
        <v>0.0</v>
      </c>
      <c r="J277" s="79">
        <v>17.0</v>
      </c>
      <c r="L277" s="54"/>
    </row>
    <row r="278" ht="22.5" customHeight="1">
      <c r="A278" s="79">
        <v>2.0</v>
      </c>
      <c r="B278" s="80">
        <v>45903.0</v>
      </c>
      <c r="C278" s="81" t="s">
        <v>931</v>
      </c>
      <c r="D278" s="81" t="s">
        <v>937</v>
      </c>
      <c r="E278" s="82">
        <v>0.11</v>
      </c>
      <c r="F278" s="82">
        <v>5.0</v>
      </c>
      <c r="G278" s="79">
        <v>0.0</v>
      </c>
      <c r="H278" s="79">
        <v>0.0</v>
      </c>
      <c r="I278" s="79">
        <v>0.0</v>
      </c>
      <c r="J278" s="79">
        <v>17.0</v>
      </c>
      <c r="L278" s="54"/>
    </row>
    <row r="279" ht="22.5" customHeight="1">
      <c r="A279" s="79">
        <v>2.0</v>
      </c>
      <c r="B279" s="80">
        <v>45903.0</v>
      </c>
      <c r="C279" s="81" t="s">
        <v>931</v>
      </c>
      <c r="D279" s="81" t="s">
        <v>938</v>
      </c>
      <c r="E279" s="82">
        <v>0.11</v>
      </c>
      <c r="F279" s="82">
        <v>4.0</v>
      </c>
      <c r="G279" s="79">
        <v>0.0</v>
      </c>
      <c r="H279" s="79">
        <v>0.0</v>
      </c>
      <c r="I279" s="79">
        <v>0.0</v>
      </c>
      <c r="J279" s="79">
        <v>17.0</v>
      </c>
      <c r="L279" s="54"/>
    </row>
    <row r="280" ht="22.5" customHeight="1">
      <c r="A280" s="79">
        <v>2.0</v>
      </c>
      <c r="B280" s="80">
        <v>45903.0</v>
      </c>
      <c r="C280" s="81" t="s">
        <v>931</v>
      </c>
      <c r="D280" s="81" t="s">
        <v>939</v>
      </c>
      <c r="E280" s="82">
        <v>0.11</v>
      </c>
      <c r="F280" s="82">
        <v>12.0</v>
      </c>
      <c r="G280" s="79">
        <v>0.0</v>
      </c>
      <c r="H280" s="79">
        <v>0.0</v>
      </c>
      <c r="I280" s="79">
        <v>0.0</v>
      </c>
      <c r="J280" s="79">
        <v>77.0</v>
      </c>
      <c r="L280" s="54"/>
    </row>
    <row r="281" ht="22.5" customHeight="1">
      <c r="A281" s="79">
        <v>89.0</v>
      </c>
      <c r="B281" s="80">
        <v>45903.0</v>
      </c>
      <c r="C281" s="81" t="s">
        <v>840</v>
      </c>
      <c r="D281" s="81" t="s">
        <v>940</v>
      </c>
      <c r="E281" s="82">
        <v>0.11</v>
      </c>
      <c r="F281" s="82">
        <v>90.0</v>
      </c>
      <c r="G281" s="79">
        <v>0.0</v>
      </c>
      <c r="H281" s="79">
        <v>0.0</v>
      </c>
      <c r="I281" s="79">
        <v>0.0</v>
      </c>
      <c r="J281" s="79">
        <v>5.0</v>
      </c>
      <c r="K281" s="83"/>
      <c r="L281" s="54"/>
    </row>
    <row r="282" ht="22.5" customHeight="1">
      <c r="A282" s="79">
        <v>88.0</v>
      </c>
      <c r="B282" s="80">
        <v>45901.0</v>
      </c>
      <c r="C282" s="81" t="s">
        <v>840</v>
      </c>
      <c r="D282" s="81" t="s">
        <v>941</v>
      </c>
      <c r="E282" s="82">
        <v>0.11</v>
      </c>
      <c r="F282" s="82">
        <v>55.0</v>
      </c>
      <c r="G282" s="79">
        <v>0.0</v>
      </c>
      <c r="H282" s="79">
        <v>0.0</v>
      </c>
      <c r="I282" s="79">
        <v>0.0</v>
      </c>
      <c r="J282" s="79">
        <v>3.0</v>
      </c>
      <c r="K282" s="83"/>
      <c r="L282" s="54"/>
    </row>
    <row r="283" ht="22.5" customHeight="1">
      <c r="A283" s="79">
        <v>3.0</v>
      </c>
      <c r="B283" s="80">
        <v>45901.0</v>
      </c>
      <c r="C283" s="81" t="s">
        <v>69</v>
      </c>
      <c r="D283" s="81" t="s">
        <v>942</v>
      </c>
      <c r="E283" s="82">
        <v>0.11</v>
      </c>
      <c r="F283" s="82">
        <v>25.0</v>
      </c>
      <c r="G283" s="79">
        <v>0.0</v>
      </c>
      <c r="H283" s="79">
        <v>0.0</v>
      </c>
      <c r="I283" s="79">
        <v>0.0</v>
      </c>
      <c r="J283" s="79">
        <v>0.0</v>
      </c>
      <c r="K283" s="83"/>
      <c r="L283" s="54"/>
    </row>
    <row r="284" ht="22.5" customHeight="1">
      <c r="A284" s="79">
        <v>3.0</v>
      </c>
      <c r="B284" s="80">
        <v>45901.0</v>
      </c>
      <c r="C284" s="81" t="s">
        <v>69</v>
      </c>
      <c r="D284" s="81" t="s">
        <v>942</v>
      </c>
      <c r="E284" s="82">
        <v>0.11</v>
      </c>
      <c r="F284" s="82">
        <v>25.0</v>
      </c>
      <c r="G284" s="79">
        <v>0.0</v>
      </c>
      <c r="H284" s="79">
        <v>0.0</v>
      </c>
      <c r="I284" s="79">
        <v>0.0</v>
      </c>
      <c r="J284" s="79">
        <v>0.0</v>
      </c>
      <c r="K284" s="83"/>
      <c r="L284" s="54"/>
    </row>
  </sheetData>
  <conditionalFormatting sqref="A2:K284">
    <cfRule type="expression" dxfId="10" priority="1">
      <formula>COUNTIF($A2:$K2,"*VPHB*")&gt;0</formula>
    </cfRule>
  </conditionalFormatting>
  <conditionalFormatting sqref="A2:K284">
    <cfRule type="expression" dxfId="14" priority="2">
      <formula>COUNTIF($A2:$K2,"*JLF*")&gt;0</formula>
    </cfRule>
  </conditionalFormatting>
  <conditionalFormatting sqref="A2:K284">
    <cfRule type="expression" dxfId="15" priority="3">
      <formula>COUNTIF($A2:$K2,"*JMHF*")&gt;0</formula>
    </cfRule>
  </conditionalFormatting>
  <conditionalFormatting sqref="A2:K284">
    <cfRule type="expression" dxfId="7" priority="4">
      <formula>COUNTIF($A2:$K2,"*PCF*")&gt;0</formula>
    </cfRule>
  </conditionalFormatting>
  <conditionalFormatting sqref="A2:K284">
    <cfRule type="expression" dxfId="8" priority="5">
      <formula>COUNTIF($A2:$K2,"*PTNFF*")&gt;0</formula>
    </cfRule>
  </conditionalFormatting>
  <conditionalFormatting sqref="A2:K284">
    <cfRule type="expression" dxfId="16" priority="6">
      <formula>COUNTIF($A2:$K2,"*PTHF*")&gt;0</formula>
    </cfRule>
  </conditionalFormatting>
  <conditionalFormatting sqref="A2:K284">
    <cfRule type="expression" dxfId="17" priority="7">
      <formula>COUNTIF($A2:$K2,"*SMHF*")&gt;0</formula>
    </cfRule>
  </conditionalFormatting>
  <conditionalFormatting sqref="A2:K284">
    <cfRule type="expression" dxfId="6" priority="8">
      <formula>COUNTIF($A2:$K2,"*VTHF*")&gt;0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4" t="s">
        <v>0</v>
      </c>
      <c r="B1" s="84" t="s">
        <v>943</v>
      </c>
      <c r="C1" s="85" t="s">
        <v>787</v>
      </c>
      <c r="D1" s="86" t="s">
        <v>944</v>
      </c>
      <c r="E1" s="87" t="s">
        <v>945</v>
      </c>
      <c r="F1" s="88" t="s">
        <v>946</v>
      </c>
    </row>
    <row r="2">
      <c r="A2" s="89" t="s">
        <v>947</v>
      </c>
      <c r="C2" s="90"/>
      <c r="D2" s="91"/>
      <c r="E2" s="92"/>
      <c r="F2" s="93"/>
    </row>
    <row r="3">
      <c r="A3" s="89">
        <v>88.0</v>
      </c>
      <c r="B3" s="84" t="s">
        <v>840</v>
      </c>
      <c r="C3" s="85">
        <v>45901.0</v>
      </c>
      <c r="D3" s="86">
        <v>16.82</v>
      </c>
      <c r="E3" s="87">
        <v>1.44</v>
      </c>
      <c r="F3" s="88">
        <v>1.0</v>
      </c>
    </row>
    <row r="4">
      <c r="A4" s="89">
        <v>3.0</v>
      </c>
      <c r="B4" s="84" t="s">
        <v>69</v>
      </c>
      <c r="C4" s="85">
        <v>45901.0</v>
      </c>
      <c r="D4" s="86">
        <v>25.0</v>
      </c>
      <c r="E4" s="87"/>
      <c r="F4" s="88">
        <v>1.0</v>
      </c>
    </row>
    <row r="5">
      <c r="A5" s="89">
        <v>2.0</v>
      </c>
      <c r="B5" s="84" t="s">
        <v>931</v>
      </c>
      <c r="C5" s="85">
        <v>45903.0</v>
      </c>
      <c r="D5" s="86">
        <v>-0.55</v>
      </c>
      <c r="E5" s="87">
        <v>0.9</v>
      </c>
      <c r="F5" s="88">
        <v>1.0</v>
      </c>
    </row>
    <row r="6">
      <c r="A6" s="89">
        <v>2.0</v>
      </c>
      <c r="B6" s="84" t="s">
        <v>931</v>
      </c>
      <c r="C6" s="85">
        <v>45903.0</v>
      </c>
      <c r="D6" s="86">
        <v>-0.55</v>
      </c>
      <c r="E6" s="87">
        <v>0.9</v>
      </c>
      <c r="F6" s="88">
        <v>1.0</v>
      </c>
    </row>
    <row r="7">
      <c r="A7" s="89">
        <v>2.0</v>
      </c>
      <c r="B7" s="84" t="s">
        <v>931</v>
      </c>
      <c r="C7" s="85">
        <v>45903.0</v>
      </c>
      <c r="D7" s="86">
        <v>-1.55</v>
      </c>
      <c r="E7" s="87">
        <v>0.72</v>
      </c>
      <c r="F7" s="88">
        <v>1.0</v>
      </c>
    </row>
    <row r="8">
      <c r="A8" s="89">
        <v>2.0</v>
      </c>
      <c r="B8" s="84" t="s">
        <v>931</v>
      </c>
      <c r="C8" s="85">
        <v>45903.0</v>
      </c>
      <c r="D8" s="86">
        <v>6.45</v>
      </c>
      <c r="E8" s="87">
        <v>2.16</v>
      </c>
      <c r="F8" s="88">
        <v>1.0</v>
      </c>
    </row>
    <row r="9">
      <c r="A9" s="89">
        <v>89.0</v>
      </c>
      <c r="B9" s="84" t="s">
        <v>840</v>
      </c>
      <c r="C9" s="85">
        <v>45903.0</v>
      </c>
      <c r="D9" s="86">
        <v>78.81</v>
      </c>
      <c r="E9" s="87">
        <v>8.04</v>
      </c>
      <c r="F9" s="88">
        <v>1.0</v>
      </c>
    </row>
    <row r="10">
      <c r="A10" s="89">
        <v>90.0</v>
      </c>
      <c r="B10" s="84" t="s">
        <v>840</v>
      </c>
      <c r="C10" s="85">
        <v>45904.0</v>
      </c>
      <c r="D10" s="86">
        <v>-3.54</v>
      </c>
      <c r="E10" s="87">
        <v>0.92</v>
      </c>
      <c r="F10" s="88">
        <v>1.0</v>
      </c>
    </row>
    <row r="11">
      <c r="A11" s="89">
        <v>2.0</v>
      </c>
      <c r="B11" s="84" t="s">
        <v>931</v>
      </c>
      <c r="C11" s="85">
        <v>45904.0</v>
      </c>
      <c r="D11" s="86">
        <v>17.45</v>
      </c>
      <c r="E11" s="87">
        <v>4.15</v>
      </c>
      <c r="F11" s="88">
        <v>1.0</v>
      </c>
    </row>
    <row r="12">
      <c r="A12" s="89">
        <v>2.0</v>
      </c>
      <c r="B12" s="84" t="s">
        <v>931</v>
      </c>
      <c r="C12" s="85">
        <v>45905.0</v>
      </c>
      <c r="D12" s="86">
        <v>7.45</v>
      </c>
      <c r="E12" s="87">
        <v>2.34</v>
      </c>
      <c r="F12" s="88">
        <v>1.0</v>
      </c>
    </row>
    <row r="13">
      <c r="A13" s="89">
        <v>2.0</v>
      </c>
      <c r="B13" s="84" t="s">
        <v>931</v>
      </c>
      <c r="C13" s="85">
        <v>45905.0</v>
      </c>
      <c r="D13" s="86">
        <v>12.05</v>
      </c>
      <c r="E13" s="87">
        <v>3.17</v>
      </c>
      <c r="F13" s="88">
        <v>1.0</v>
      </c>
    </row>
    <row r="14">
      <c r="A14" s="89">
        <v>91.0</v>
      </c>
      <c r="B14" s="84" t="s">
        <v>840</v>
      </c>
      <c r="C14" s="85">
        <v>45906.0</v>
      </c>
      <c r="D14" s="86">
        <v>-145.0</v>
      </c>
      <c r="E14" s="87">
        <v>0.24</v>
      </c>
      <c r="F14" s="88">
        <v>1.0</v>
      </c>
    </row>
    <row r="15">
      <c r="A15" s="89" t="s">
        <v>948</v>
      </c>
      <c r="C15" s="90"/>
      <c r="D15" s="86">
        <v>12.84</v>
      </c>
      <c r="E15" s="87">
        <v>2.27</v>
      </c>
      <c r="F15" s="88">
        <v>12.0</v>
      </c>
    </row>
    <row r="16">
      <c r="C16" s="90"/>
      <c r="D16" s="91"/>
      <c r="E16" s="92"/>
      <c r="F16" s="93"/>
    </row>
    <row r="17">
      <c r="A17" s="89" t="s">
        <v>949</v>
      </c>
      <c r="C17" s="90"/>
      <c r="D17" s="91"/>
      <c r="E17" s="92"/>
      <c r="F17" s="93"/>
    </row>
    <row r="18">
      <c r="A18" s="89">
        <v>4.0</v>
      </c>
      <c r="B18" s="84" t="s">
        <v>85</v>
      </c>
      <c r="C18" s="85">
        <v>45909.0</v>
      </c>
      <c r="D18" s="86">
        <v>7.92</v>
      </c>
      <c r="E18" s="87">
        <v>2.12</v>
      </c>
      <c r="F18" s="88">
        <v>1.0</v>
      </c>
    </row>
    <row r="19">
      <c r="A19" s="89">
        <v>4.0</v>
      </c>
      <c r="B19" s="84" t="s">
        <v>85</v>
      </c>
      <c r="C19" s="85">
        <v>45909.0</v>
      </c>
      <c r="D19" s="86">
        <v>8.92</v>
      </c>
      <c r="E19" s="87">
        <v>2.26</v>
      </c>
      <c r="F19" s="88">
        <v>1.0</v>
      </c>
    </row>
    <row r="20">
      <c r="A20" s="89">
        <v>4.0</v>
      </c>
      <c r="B20" s="84" t="s">
        <v>85</v>
      </c>
      <c r="C20" s="85">
        <v>45909.0</v>
      </c>
      <c r="D20" s="86">
        <v>7.92</v>
      </c>
      <c r="E20" s="87">
        <v>2.12</v>
      </c>
      <c r="F20" s="88">
        <v>1.0</v>
      </c>
    </row>
    <row r="21">
      <c r="A21" s="89">
        <v>4.0</v>
      </c>
      <c r="B21" s="84" t="s">
        <v>85</v>
      </c>
      <c r="C21" s="85">
        <v>45910.0</v>
      </c>
      <c r="D21" s="86">
        <v>7.87</v>
      </c>
      <c r="E21" s="87">
        <v>2.11</v>
      </c>
      <c r="F21" s="88">
        <v>1.0</v>
      </c>
    </row>
    <row r="22">
      <c r="A22" s="89">
        <v>4.0</v>
      </c>
      <c r="B22" s="84" t="s">
        <v>85</v>
      </c>
      <c r="C22" s="85">
        <v>45910.0</v>
      </c>
      <c r="D22" s="86">
        <v>7.87</v>
      </c>
      <c r="E22" s="87">
        <v>2.11</v>
      </c>
      <c r="F22" s="88">
        <v>1.0</v>
      </c>
    </row>
    <row r="23">
      <c r="A23" s="89">
        <v>4.0</v>
      </c>
      <c r="B23" s="84" t="s">
        <v>85</v>
      </c>
      <c r="C23" s="85">
        <v>45910.0</v>
      </c>
      <c r="D23" s="86">
        <v>9.92</v>
      </c>
      <c r="E23" s="87">
        <v>2.4</v>
      </c>
      <c r="F23" s="88">
        <v>1.0</v>
      </c>
    </row>
    <row r="24">
      <c r="A24" s="89">
        <v>3.0</v>
      </c>
      <c r="B24" s="84" t="s">
        <v>69</v>
      </c>
      <c r="C24" s="85">
        <v>45911.0</v>
      </c>
      <c r="D24" s="86">
        <v>5.0</v>
      </c>
      <c r="E24" s="87"/>
      <c r="F24" s="88">
        <v>1.0</v>
      </c>
    </row>
    <row r="25">
      <c r="A25" s="89">
        <v>4.0</v>
      </c>
      <c r="B25" s="84" t="s">
        <v>85</v>
      </c>
      <c r="C25" s="85">
        <v>45911.0</v>
      </c>
      <c r="D25" s="86">
        <v>10.5</v>
      </c>
      <c r="E25" s="87">
        <v>2.48</v>
      </c>
      <c r="F25" s="88">
        <v>1.0</v>
      </c>
    </row>
    <row r="26">
      <c r="A26" s="89">
        <v>4.0</v>
      </c>
      <c r="B26" s="84" t="s">
        <v>85</v>
      </c>
      <c r="C26" s="85">
        <v>45911.0</v>
      </c>
      <c r="D26" s="86">
        <v>10.5</v>
      </c>
      <c r="E26" s="87">
        <v>2.48</v>
      </c>
      <c r="F26" s="88">
        <v>1.0</v>
      </c>
    </row>
    <row r="27">
      <c r="A27" s="89">
        <v>4.0</v>
      </c>
      <c r="B27" s="84" t="s">
        <v>85</v>
      </c>
      <c r="C27" s="85">
        <v>45913.0</v>
      </c>
      <c r="D27" s="86">
        <v>7.92</v>
      </c>
      <c r="E27" s="87">
        <v>2.12</v>
      </c>
      <c r="F27" s="88">
        <v>1.0</v>
      </c>
    </row>
    <row r="28">
      <c r="A28" s="89">
        <v>4.0</v>
      </c>
      <c r="B28" s="84" t="s">
        <v>85</v>
      </c>
      <c r="C28" s="85">
        <v>45913.0</v>
      </c>
      <c r="D28" s="86">
        <v>4.92</v>
      </c>
      <c r="E28" s="87">
        <v>1.69</v>
      </c>
      <c r="F28" s="88">
        <v>1.0</v>
      </c>
    </row>
    <row r="29">
      <c r="A29" s="89">
        <v>4.0</v>
      </c>
      <c r="B29" s="84" t="s">
        <v>85</v>
      </c>
      <c r="C29" s="85">
        <v>45914.0</v>
      </c>
      <c r="D29" s="86">
        <v>6.92</v>
      </c>
      <c r="E29" s="87">
        <v>1.98</v>
      </c>
      <c r="F29" s="88">
        <v>1.0</v>
      </c>
    </row>
    <row r="30">
      <c r="A30" s="89">
        <v>4.0</v>
      </c>
      <c r="B30" s="84" t="s">
        <v>85</v>
      </c>
      <c r="C30" s="85">
        <v>45914.0</v>
      </c>
      <c r="D30" s="86">
        <v>7.87</v>
      </c>
      <c r="E30" s="87">
        <v>2.11</v>
      </c>
      <c r="F30" s="88">
        <v>1.0</v>
      </c>
    </row>
    <row r="31">
      <c r="A31" s="89">
        <v>4.0</v>
      </c>
      <c r="B31" s="84" t="s">
        <v>85</v>
      </c>
      <c r="C31" s="85">
        <v>45914.0</v>
      </c>
      <c r="D31" s="86">
        <v>5.92</v>
      </c>
      <c r="E31" s="87">
        <v>1.84</v>
      </c>
      <c r="F31" s="88">
        <v>1.0</v>
      </c>
    </row>
    <row r="32">
      <c r="A32" s="89">
        <v>4.0</v>
      </c>
      <c r="B32" s="84" t="s">
        <v>85</v>
      </c>
      <c r="C32" s="85">
        <v>45914.0</v>
      </c>
      <c r="D32" s="86">
        <v>6.92</v>
      </c>
      <c r="E32" s="87">
        <v>1.98</v>
      </c>
      <c r="F32" s="88">
        <v>1.0</v>
      </c>
    </row>
    <row r="33">
      <c r="A33" s="89">
        <v>92.0</v>
      </c>
      <c r="B33" s="84" t="s">
        <v>840</v>
      </c>
      <c r="C33" s="85">
        <v>45914.0</v>
      </c>
      <c r="D33" s="86">
        <v>-52.54</v>
      </c>
      <c r="E33" s="87">
        <v>0.37</v>
      </c>
      <c r="F33" s="88">
        <v>1.0</v>
      </c>
    </row>
    <row r="34">
      <c r="A34" s="89">
        <v>4.0</v>
      </c>
      <c r="B34" s="84" t="s">
        <v>85</v>
      </c>
      <c r="C34" s="85">
        <v>45914.0</v>
      </c>
      <c r="D34" s="86">
        <v>12.92</v>
      </c>
      <c r="E34" s="87">
        <v>2.82</v>
      </c>
      <c r="F34" s="88">
        <v>1.0</v>
      </c>
    </row>
    <row r="35">
      <c r="A35" s="89" t="s">
        <v>950</v>
      </c>
      <c r="C35" s="90"/>
      <c r="D35" s="86">
        <v>77.27</v>
      </c>
      <c r="E35" s="87">
        <v>2.06</v>
      </c>
      <c r="F35" s="88">
        <v>17.0</v>
      </c>
    </row>
    <row r="36">
      <c r="C36" s="90"/>
      <c r="D36" s="91"/>
      <c r="E36" s="92"/>
      <c r="F36" s="93"/>
    </row>
    <row r="37">
      <c r="A37" s="89" t="s">
        <v>951</v>
      </c>
      <c r="C37" s="90"/>
      <c r="D37" s="91"/>
      <c r="E37" s="92"/>
      <c r="F37" s="93"/>
    </row>
    <row r="38">
      <c r="A38" s="89">
        <v>4.0</v>
      </c>
      <c r="B38" s="84" t="s">
        <v>85</v>
      </c>
      <c r="C38" s="85">
        <v>45915.0</v>
      </c>
      <c r="D38" s="86">
        <v>11.92</v>
      </c>
      <c r="E38" s="87">
        <v>2.68</v>
      </c>
      <c r="F38" s="88">
        <v>1.0</v>
      </c>
    </row>
    <row r="39">
      <c r="A39" s="89">
        <v>4.0</v>
      </c>
      <c r="B39" s="84" t="s">
        <v>85</v>
      </c>
      <c r="C39" s="85">
        <v>45915.0</v>
      </c>
      <c r="D39" s="86">
        <v>6.92</v>
      </c>
      <c r="E39" s="87">
        <v>1.98</v>
      </c>
      <c r="F39" s="88">
        <v>1.0</v>
      </c>
    </row>
    <row r="40">
      <c r="A40" s="89">
        <v>4.0</v>
      </c>
      <c r="B40" s="84" t="s">
        <v>85</v>
      </c>
      <c r="C40" s="85">
        <v>45915.0</v>
      </c>
      <c r="D40" s="86">
        <v>6.92</v>
      </c>
      <c r="E40" s="87">
        <v>1.98</v>
      </c>
      <c r="F40" s="88">
        <v>1.0</v>
      </c>
    </row>
    <row r="41">
      <c r="A41" s="89">
        <v>4.0</v>
      </c>
      <c r="B41" s="84" t="s">
        <v>85</v>
      </c>
      <c r="C41" s="85">
        <v>45915.0</v>
      </c>
      <c r="D41" s="86">
        <v>6.92</v>
      </c>
      <c r="E41" s="87">
        <v>1.98</v>
      </c>
      <c r="F41" s="88">
        <v>1.0</v>
      </c>
    </row>
    <row r="42">
      <c r="A42" s="89">
        <v>93.0</v>
      </c>
      <c r="B42" s="84" t="s">
        <v>840</v>
      </c>
      <c r="C42" s="85">
        <v>45915.0</v>
      </c>
      <c r="D42" s="86">
        <v>121.25</v>
      </c>
      <c r="E42" s="87">
        <v>2.54</v>
      </c>
      <c r="F42" s="88">
        <v>1.0</v>
      </c>
    </row>
    <row r="43">
      <c r="A43" s="89">
        <v>94.0</v>
      </c>
      <c r="B43" s="84" t="s">
        <v>840</v>
      </c>
      <c r="C43" s="85">
        <v>45915.0</v>
      </c>
      <c r="D43" s="86">
        <v>-15.61</v>
      </c>
      <c r="E43" s="87">
        <v>0.74</v>
      </c>
      <c r="F43" s="88">
        <v>1.0</v>
      </c>
    </row>
    <row r="44">
      <c r="A44" s="89">
        <v>4.0</v>
      </c>
      <c r="B44" s="84" t="s">
        <v>85</v>
      </c>
      <c r="C44" s="85">
        <v>45916.0</v>
      </c>
      <c r="D44" s="86">
        <v>6.92</v>
      </c>
      <c r="E44" s="87">
        <v>1.98</v>
      </c>
      <c r="F44" s="88">
        <v>1.0</v>
      </c>
    </row>
    <row r="45">
      <c r="A45" s="89">
        <v>5.0</v>
      </c>
      <c r="B45" s="84" t="s">
        <v>103</v>
      </c>
      <c r="C45" s="85">
        <v>45917.0</v>
      </c>
      <c r="D45" s="86">
        <v>15.57</v>
      </c>
      <c r="E45" s="87">
        <v>11.89</v>
      </c>
      <c r="F45" s="88">
        <v>1.0</v>
      </c>
    </row>
    <row r="46">
      <c r="A46" s="89">
        <v>5.0</v>
      </c>
      <c r="B46" s="84" t="s">
        <v>103</v>
      </c>
      <c r="C46" s="85">
        <v>45918.0</v>
      </c>
      <c r="D46" s="86">
        <v>20.57</v>
      </c>
      <c r="E46" s="87">
        <v>15.38</v>
      </c>
      <c r="F46" s="88">
        <v>1.0</v>
      </c>
    </row>
    <row r="47">
      <c r="A47" s="89">
        <v>4.0</v>
      </c>
      <c r="B47" s="84" t="s">
        <v>85</v>
      </c>
      <c r="C47" s="85">
        <v>45920.0</v>
      </c>
      <c r="D47" s="86">
        <v>8.42</v>
      </c>
      <c r="E47" s="87">
        <v>2.19</v>
      </c>
      <c r="F47" s="88">
        <v>1.0</v>
      </c>
    </row>
    <row r="48">
      <c r="A48" s="89">
        <v>5.0</v>
      </c>
      <c r="B48" s="84" t="s">
        <v>103</v>
      </c>
      <c r="C48" s="85">
        <v>45921.0</v>
      </c>
      <c r="D48" s="86">
        <v>4.57</v>
      </c>
      <c r="E48" s="87">
        <v>4.19</v>
      </c>
      <c r="F48" s="88">
        <v>1.0</v>
      </c>
    </row>
    <row r="49">
      <c r="A49" s="89" t="s">
        <v>952</v>
      </c>
      <c r="C49" s="90"/>
      <c r="D49" s="86">
        <v>194.37</v>
      </c>
      <c r="E49" s="87">
        <v>4.32</v>
      </c>
      <c r="F49" s="88">
        <v>11.0</v>
      </c>
    </row>
    <row r="50">
      <c r="C50" s="90"/>
      <c r="D50" s="91"/>
      <c r="E50" s="92"/>
      <c r="F50" s="93"/>
    </row>
    <row r="51">
      <c r="A51" s="89" t="s">
        <v>953</v>
      </c>
      <c r="C51" s="90"/>
      <c r="D51" s="91"/>
      <c r="E51" s="92"/>
      <c r="F51" s="93"/>
    </row>
    <row r="52">
      <c r="A52" s="89">
        <v>4.0</v>
      </c>
      <c r="B52" s="84" t="s">
        <v>85</v>
      </c>
      <c r="C52" s="85">
        <v>45922.0</v>
      </c>
      <c r="D52" s="86">
        <v>6.42</v>
      </c>
      <c r="E52" s="87">
        <v>1.91</v>
      </c>
      <c r="F52" s="88">
        <v>1.0</v>
      </c>
    </row>
    <row r="53">
      <c r="A53" s="89">
        <v>4.0</v>
      </c>
      <c r="B53" s="84" t="s">
        <v>85</v>
      </c>
      <c r="C53" s="85">
        <v>45922.0</v>
      </c>
      <c r="D53" s="86">
        <v>10.42</v>
      </c>
      <c r="E53" s="87">
        <v>2.47</v>
      </c>
      <c r="F53" s="88">
        <v>1.0</v>
      </c>
    </row>
    <row r="54">
      <c r="A54" s="89">
        <v>4.0</v>
      </c>
      <c r="B54" s="84" t="s">
        <v>85</v>
      </c>
      <c r="C54" s="85">
        <v>45922.0</v>
      </c>
      <c r="D54" s="86">
        <v>6.42</v>
      </c>
      <c r="E54" s="87">
        <v>1.91</v>
      </c>
      <c r="F54" s="88">
        <v>1.0</v>
      </c>
    </row>
    <row r="55">
      <c r="A55" s="89">
        <v>5.0</v>
      </c>
      <c r="B55" s="84" t="s">
        <v>103</v>
      </c>
      <c r="C55" s="85">
        <v>45922.0</v>
      </c>
      <c r="D55" s="86">
        <v>4.57</v>
      </c>
      <c r="E55" s="87">
        <v>4.19</v>
      </c>
      <c r="F55" s="88">
        <v>1.0</v>
      </c>
    </row>
    <row r="56">
      <c r="A56" s="89">
        <v>5.0</v>
      </c>
      <c r="B56" s="84" t="s">
        <v>103</v>
      </c>
      <c r="C56" s="85">
        <v>45922.0</v>
      </c>
      <c r="D56" s="86">
        <v>4.57</v>
      </c>
      <c r="E56" s="87">
        <v>4.19</v>
      </c>
      <c r="F56" s="88">
        <v>1.0</v>
      </c>
    </row>
    <row r="57">
      <c r="A57" s="89">
        <v>5.0</v>
      </c>
      <c r="B57" s="84" t="s">
        <v>103</v>
      </c>
      <c r="C57" s="85">
        <v>45922.0</v>
      </c>
      <c r="D57" s="86">
        <v>3.97</v>
      </c>
      <c r="E57" s="87">
        <v>3.78</v>
      </c>
      <c r="F57" s="88">
        <v>1.0</v>
      </c>
    </row>
    <row r="58">
      <c r="A58" s="89">
        <v>5.0</v>
      </c>
      <c r="B58" s="84" t="s">
        <v>103</v>
      </c>
      <c r="C58" s="85">
        <v>45923.0</v>
      </c>
      <c r="D58" s="86">
        <v>4.57</v>
      </c>
      <c r="E58" s="87">
        <v>4.19</v>
      </c>
      <c r="F58" s="88">
        <v>1.0</v>
      </c>
    </row>
    <row r="59">
      <c r="A59" s="89">
        <v>6.0</v>
      </c>
      <c r="B59" s="84" t="s">
        <v>172</v>
      </c>
      <c r="C59" s="85">
        <v>45924.0</v>
      </c>
      <c r="D59" s="86">
        <v>17.24</v>
      </c>
      <c r="E59" s="87">
        <v>4.63</v>
      </c>
      <c r="F59" s="88">
        <v>1.0</v>
      </c>
    </row>
    <row r="60">
      <c r="A60" s="89">
        <v>5.0</v>
      </c>
      <c r="B60" s="84" t="s">
        <v>103</v>
      </c>
      <c r="C60" s="85">
        <v>45924.0</v>
      </c>
      <c r="D60" s="86">
        <v>1.57</v>
      </c>
      <c r="E60" s="87">
        <v>2.1</v>
      </c>
      <c r="F60" s="88">
        <v>1.0</v>
      </c>
    </row>
    <row r="61">
      <c r="A61" s="89">
        <v>5.0</v>
      </c>
      <c r="B61" s="84" t="s">
        <v>103</v>
      </c>
      <c r="C61" s="85">
        <v>45924.0</v>
      </c>
      <c r="D61" s="86">
        <v>2.57</v>
      </c>
      <c r="E61" s="87">
        <v>2.8</v>
      </c>
      <c r="F61" s="88">
        <v>1.0</v>
      </c>
    </row>
    <row r="62">
      <c r="A62" s="89">
        <v>4.0</v>
      </c>
      <c r="B62" s="84" t="s">
        <v>85</v>
      </c>
      <c r="C62" s="85">
        <v>45924.0</v>
      </c>
      <c r="D62" s="86">
        <v>7.92</v>
      </c>
      <c r="E62" s="87">
        <v>2.12</v>
      </c>
      <c r="F62" s="88">
        <v>1.0</v>
      </c>
    </row>
    <row r="63">
      <c r="A63" s="89">
        <v>95.0</v>
      </c>
      <c r="B63" s="84" t="s">
        <v>840</v>
      </c>
      <c r="C63" s="85">
        <v>45924.0</v>
      </c>
      <c r="D63" s="86">
        <v>27.61</v>
      </c>
      <c r="E63" s="87">
        <v>3.94</v>
      </c>
      <c r="F63" s="88">
        <v>1.0</v>
      </c>
    </row>
    <row r="64">
      <c r="A64" s="89">
        <v>6.0</v>
      </c>
      <c r="B64" s="84" t="s">
        <v>172</v>
      </c>
      <c r="C64" s="85">
        <v>45925.0</v>
      </c>
      <c r="D64" s="86">
        <v>13.24</v>
      </c>
      <c r="E64" s="87">
        <v>3.79</v>
      </c>
      <c r="F64" s="88">
        <v>1.0</v>
      </c>
    </row>
    <row r="65">
      <c r="A65" s="89">
        <v>4.0</v>
      </c>
      <c r="B65" s="84" t="s">
        <v>85</v>
      </c>
      <c r="C65" s="85">
        <v>45926.0</v>
      </c>
      <c r="D65" s="86">
        <v>6.42</v>
      </c>
      <c r="E65" s="87">
        <v>1.91</v>
      </c>
      <c r="F65" s="88">
        <v>1.0</v>
      </c>
    </row>
    <row r="66">
      <c r="A66" s="89">
        <v>6.0</v>
      </c>
      <c r="B66" s="84" t="s">
        <v>172</v>
      </c>
      <c r="C66" s="85">
        <v>45927.0</v>
      </c>
      <c r="D66" s="86">
        <v>20.24</v>
      </c>
      <c r="E66" s="87">
        <v>5.26</v>
      </c>
      <c r="F66" s="88">
        <v>1.0</v>
      </c>
    </row>
    <row r="67">
      <c r="A67" s="89">
        <v>6.0</v>
      </c>
      <c r="B67" s="84" t="s">
        <v>172</v>
      </c>
      <c r="C67" s="85">
        <v>45927.0</v>
      </c>
      <c r="D67" s="86">
        <v>12.04</v>
      </c>
      <c r="E67" s="87">
        <v>3.53</v>
      </c>
      <c r="F67" s="88">
        <v>1.0</v>
      </c>
    </row>
    <row r="68">
      <c r="A68" s="89">
        <v>6.0</v>
      </c>
      <c r="B68" s="84" t="s">
        <v>172</v>
      </c>
      <c r="C68" s="85">
        <v>45927.0</v>
      </c>
      <c r="D68" s="86">
        <v>13.24</v>
      </c>
      <c r="E68" s="87">
        <v>3.79</v>
      </c>
      <c r="F68" s="88">
        <v>1.0</v>
      </c>
    </row>
    <row r="69">
      <c r="A69" s="89">
        <v>4.0</v>
      </c>
      <c r="B69" s="84" t="s">
        <v>85</v>
      </c>
      <c r="C69" s="85">
        <v>45927.0</v>
      </c>
      <c r="D69" s="86">
        <v>5.32</v>
      </c>
      <c r="E69" s="87">
        <v>1.75</v>
      </c>
      <c r="F69" s="88">
        <v>1.0</v>
      </c>
    </row>
    <row r="70">
      <c r="A70" s="89">
        <v>4.0</v>
      </c>
      <c r="B70" s="84" t="s">
        <v>85</v>
      </c>
      <c r="C70" s="85">
        <v>45927.0</v>
      </c>
      <c r="D70" s="86">
        <v>5.32</v>
      </c>
      <c r="E70" s="87">
        <v>1.75</v>
      </c>
      <c r="F70" s="88">
        <v>1.0</v>
      </c>
    </row>
    <row r="71">
      <c r="A71" s="89">
        <v>96.0</v>
      </c>
      <c r="B71" s="84" t="s">
        <v>840</v>
      </c>
      <c r="C71" s="85">
        <v>45927.0</v>
      </c>
      <c r="D71" s="86">
        <v>3.39</v>
      </c>
      <c r="E71" s="87">
        <v>1.12</v>
      </c>
      <c r="F71" s="88">
        <v>1.0</v>
      </c>
    </row>
    <row r="72">
      <c r="A72" s="89">
        <v>6.0</v>
      </c>
      <c r="B72" s="84" t="s">
        <v>172</v>
      </c>
      <c r="C72" s="85">
        <v>45927.0</v>
      </c>
      <c r="D72" s="86">
        <v>17.24</v>
      </c>
      <c r="E72" s="87">
        <v>4.63</v>
      </c>
      <c r="F72" s="88">
        <v>1.0</v>
      </c>
    </row>
    <row r="73">
      <c r="A73" s="89">
        <v>6.0</v>
      </c>
      <c r="B73" s="84" t="s">
        <v>172</v>
      </c>
      <c r="C73" s="85">
        <v>45927.0</v>
      </c>
      <c r="D73" s="86">
        <v>4.24</v>
      </c>
      <c r="E73" s="87">
        <v>1.89</v>
      </c>
      <c r="F73" s="88">
        <v>1.0</v>
      </c>
    </row>
    <row r="74">
      <c r="A74" s="89">
        <v>6.0</v>
      </c>
      <c r="B74" s="84" t="s">
        <v>172</v>
      </c>
      <c r="C74" s="85">
        <v>45928.0</v>
      </c>
      <c r="D74" s="86">
        <v>15.24</v>
      </c>
      <c r="E74" s="87">
        <v>4.21</v>
      </c>
      <c r="F74" s="88">
        <v>1.0</v>
      </c>
    </row>
    <row r="75">
      <c r="A75" s="89">
        <v>6.0</v>
      </c>
      <c r="B75" s="84" t="s">
        <v>172</v>
      </c>
      <c r="C75" s="85">
        <v>45928.0</v>
      </c>
      <c r="D75" s="86">
        <v>20.24</v>
      </c>
      <c r="E75" s="87">
        <v>5.26</v>
      </c>
      <c r="F75" s="88">
        <v>1.0</v>
      </c>
    </row>
    <row r="76">
      <c r="A76" s="89">
        <v>6.0</v>
      </c>
      <c r="B76" s="84" t="s">
        <v>172</v>
      </c>
      <c r="C76" s="85">
        <v>45928.0</v>
      </c>
      <c r="D76" s="86">
        <v>12.24</v>
      </c>
      <c r="E76" s="87">
        <v>3.57</v>
      </c>
      <c r="F76" s="88">
        <v>1.0</v>
      </c>
    </row>
    <row r="77">
      <c r="A77" s="89">
        <v>6.0</v>
      </c>
      <c r="B77" s="84" t="s">
        <v>172</v>
      </c>
      <c r="C77" s="85">
        <v>45928.0</v>
      </c>
      <c r="D77" s="86">
        <v>15.24</v>
      </c>
      <c r="E77" s="87">
        <v>4.21</v>
      </c>
      <c r="F77" s="88">
        <v>1.0</v>
      </c>
    </row>
    <row r="78">
      <c r="A78" s="89">
        <v>5.0</v>
      </c>
      <c r="B78" s="84" t="s">
        <v>103</v>
      </c>
      <c r="C78" s="85">
        <v>45928.0</v>
      </c>
      <c r="D78" s="86">
        <v>6.57</v>
      </c>
      <c r="E78" s="87">
        <v>5.59</v>
      </c>
      <c r="F78" s="88">
        <v>1.0</v>
      </c>
    </row>
    <row r="79">
      <c r="A79" s="89">
        <v>4.0</v>
      </c>
      <c r="B79" s="84" t="s">
        <v>85</v>
      </c>
      <c r="C79" s="85">
        <v>45928.0</v>
      </c>
      <c r="D79" s="86">
        <v>8.12</v>
      </c>
      <c r="E79" s="87">
        <v>2.15</v>
      </c>
      <c r="F79" s="88">
        <v>1.0</v>
      </c>
    </row>
    <row r="80">
      <c r="A80" s="89">
        <v>4.0</v>
      </c>
      <c r="B80" s="84" t="s">
        <v>85</v>
      </c>
      <c r="C80" s="85">
        <v>45928.0</v>
      </c>
      <c r="D80" s="86">
        <v>8.12</v>
      </c>
      <c r="E80" s="87">
        <v>2.15</v>
      </c>
      <c r="F80" s="88">
        <v>1.0</v>
      </c>
    </row>
    <row r="81">
      <c r="A81" s="89">
        <v>4.0</v>
      </c>
      <c r="B81" s="84" t="s">
        <v>85</v>
      </c>
      <c r="C81" s="85">
        <v>45928.0</v>
      </c>
      <c r="D81" s="86">
        <v>6.42</v>
      </c>
      <c r="E81" s="87">
        <v>1.91</v>
      </c>
      <c r="F81" s="88">
        <v>1.0</v>
      </c>
    </row>
    <row r="82">
      <c r="A82" s="89">
        <v>5.0</v>
      </c>
      <c r="B82" s="84" t="s">
        <v>103</v>
      </c>
      <c r="C82" s="85">
        <v>45928.0</v>
      </c>
      <c r="D82" s="86">
        <v>7.57</v>
      </c>
      <c r="E82" s="87">
        <v>6.29</v>
      </c>
      <c r="F82" s="88">
        <v>1.0</v>
      </c>
    </row>
    <row r="83">
      <c r="A83" s="89">
        <v>4.0</v>
      </c>
      <c r="B83" s="84" t="s">
        <v>85</v>
      </c>
      <c r="C83" s="85">
        <v>45928.0</v>
      </c>
      <c r="D83" s="86">
        <v>7.92</v>
      </c>
      <c r="E83" s="87">
        <v>2.12</v>
      </c>
      <c r="F83" s="88">
        <v>1.0</v>
      </c>
    </row>
    <row r="84">
      <c r="A84" s="89">
        <v>4.0</v>
      </c>
      <c r="B84" s="84" t="s">
        <v>85</v>
      </c>
      <c r="C84" s="85">
        <v>45928.0</v>
      </c>
      <c r="D84" s="86">
        <v>8.12</v>
      </c>
      <c r="E84" s="87">
        <v>2.15</v>
      </c>
      <c r="F84" s="88">
        <v>1.0</v>
      </c>
    </row>
    <row r="85">
      <c r="A85" s="89" t="s">
        <v>954</v>
      </c>
      <c r="C85" s="90"/>
      <c r="D85" s="86">
        <v>314.34</v>
      </c>
      <c r="E85" s="87">
        <v>3.25</v>
      </c>
      <c r="F85" s="88">
        <v>33.0</v>
      </c>
    </row>
    <row r="86">
      <c r="C86" s="90"/>
      <c r="D86" s="91"/>
      <c r="E86" s="92"/>
      <c r="F86" s="93"/>
    </row>
    <row r="87">
      <c r="A87" s="89" t="s">
        <v>955</v>
      </c>
      <c r="C87" s="90"/>
      <c r="D87" s="91"/>
      <c r="E87" s="92"/>
      <c r="F87" s="93"/>
    </row>
    <row r="88">
      <c r="A88" s="89">
        <v>4.0</v>
      </c>
      <c r="B88" s="84" t="s">
        <v>85</v>
      </c>
      <c r="C88" s="85">
        <v>45929.0</v>
      </c>
      <c r="D88" s="86">
        <v>5.42</v>
      </c>
      <c r="E88" s="87">
        <v>1.77</v>
      </c>
      <c r="F88" s="88">
        <v>1.0</v>
      </c>
    </row>
    <row r="89">
      <c r="A89" s="89">
        <v>4.0</v>
      </c>
      <c r="B89" s="84" t="s">
        <v>85</v>
      </c>
      <c r="C89" s="85">
        <v>45929.0</v>
      </c>
      <c r="D89" s="86">
        <v>5.42</v>
      </c>
      <c r="E89" s="87">
        <v>1.77</v>
      </c>
      <c r="F89" s="88">
        <v>1.0</v>
      </c>
    </row>
    <row r="90">
      <c r="A90" s="89">
        <v>6.0</v>
      </c>
      <c r="B90" s="84" t="s">
        <v>172</v>
      </c>
      <c r="C90" s="85">
        <v>45929.0</v>
      </c>
      <c r="D90" s="86">
        <v>10.24</v>
      </c>
      <c r="E90" s="87">
        <v>3.15</v>
      </c>
      <c r="F90" s="88">
        <v>1.0</v>
      </c>
    </row>
    <row r="91">
      <c r="A91" s="89">
        <v>6.0</v>
      </c>
      <c r="B91" s="84" t="s">
        <v>172</v>
      </c>
      <c r="C91" s="85">
        <v>45929.0</v>
      </c>
      <c r="D91" s="86">
        <v>14.24</v>
      </c>
      <c r="E91" s="87">
        <v>4.0</v>
      </c>
      <c r="F91" s="88">
        <v>1.0</v>
      </c>
    </row>
    <row r="92">
      <c r="A92" s="89">
        <v>6.0</v>
      </c>
      <c r="B92" s="84" t="s">
        <v>172</v>
      </c>
      <c r="C92" s="85">
        <v>45929.0</v>
      </c>
      <c r="D92" s="86">
        <v>18.24</v>
      </c>
      <c r="E92" s="87">
        <v>4.84</v>
      </c>
      <c r="F92" s="88">
        <v>1.0</v>
      </c>
    </row>
    <row r="93">
      <c r="A93" s="89">
        <v>6.0</v>
      </c>
      <c r="B93" s="84" t="s">
        <v>172</v>
      </c>
      <c r="C93" s="85">
        <v>45929.0</v>
      </c>
      <c r="D93" s="86">
        <v>19.24</v>
      </c>
      <c r="E93" s="87">
        <v>5.05</v>
      </c>
      <c r="F93" s="88">
        <v>1.0</v>
      </c>
    </row>
    <row r="94">
      <c r="A94" s="89">
        <v>6.0</v>
      </c>
      <c r="B94" s="84" t="s">
        <v>172</v>
      </c>
      <c r="C94" s="85">
        <v>45930.0</v>
      </c>
      <c r="D94" s="86">
        <v>35.24</v>
      </c>
      <c r="E94" s="87">
        <v>8.41</v>
      </c>
      <c r="F94" s="88">
        <v>1.0</v>
      </c>
    </row>
    <row r="95">
      <c r="A95" s="89" t="s">
        <v>956</v>
      </c>
      <c r="C95" s="90"/>
      <c r="D95" s="86">
        <v>108.04</v>
      </c>
      <c r="E95" s="87">
        <v>4.14</v>
      </c>
      <c r="F95" s="88">
        <v>7.0</v>
      </c>
    </row>
    <row r="96">
      <c r="C96" s="90"/>
      <c r="D96" s="91"/>
      <c r="E96" s="92"/>
      <c r="F96" s="93"/>
    </row>
    <row r="97">
      <c r="A97" s="89" t="s">
        <v>957</v>
      </c>
      <c r="C97" s="90"/>
      <c r="D97" s="86">
        <v>706.86</v>
      </c>
      <c r="E97" s="87">
        <v>3.1</v>
      </c>
      <c r="F97" s="88">
        <v>80.0</v>
      </c>
    </row>
    <row r="98">
      <c r="C98" s="90"/>
      <c r="D98" s="91"/>
      <c r="E98" s="92"/>
      <c r="F98" s="93"/>
    </row>
    <row r="99">
      <c r="C99" s="90"/>
      <c r="D99" s="91"/>
      <c r="E99" s="92"/>
      <c r="F99" s="93"/>
    </row>
    <row r="100">
      <c r="C100" s="90"/>
      <c r="D100" s="91"/>
      <c r="E100" s="92"/>
      <c r="F100" s="93"/>
    </row>
    <row r="101">
      <c r="C101" s="90"/>
      <c r="D101" s="91"/>
      <c r="E101" s="92"/>
      <c r="F101" s="93"/>
    </row>
    <row r="102">
      <c r="C102" s="90"/>
      <c r="D102" s="91"/>
      <c r="E102" s="92"/>
      <c r="F102" s="93"/>
    </row>
    <row r="103">
      <c r="C103" s="90"/>
      <c r="D103" s="91"/>
      <c r="E103" s="92"/>
      <c r="F103" s="93"/>
    </row>
    <row r="104">
      <c r="C104" s="90"/>
      <c r="D104" s="91"/>
      <c r="E104" s="92"/>
      <c r="F104" s="93"/>
    </row>
    <row r="105">
      <c r="C105" s="90"/>
      <c r="D105" s="91"/>
      <c r="E105" s="92"/>
      <c r="F105" s="93"/>
    </row>
    <row r="106">
      <c r="C106" s="90"/>
      <c r="D106" s="91"/>
      <c r="E106" s="92"/>
      <c r="F106" s="93"/>
    </row>
    <row r="107">
      <c r="C107" s="90"/>
      <c r="D107" s="91"/>
      <c r="E107" s="92"/>
      <c r="F107" s="93"/>
    </row>
    <row r="108">
      <c r="C108" s="90"/>
      <c r="D108" s="91"/>
      <c r="E108" s="92"/>
      <c r="F108" s="93"/>
    </row>
    <row r="109">
      <c r="C109" s="90"/>
      <c r="D109" s="91"/>
      <c r="E109" s="92"/>
      <c r="F109" s="93"/>
    </row>
    <row r="110">
      <c r="C110" s="90"/>
      <c r="D110" s="91"/>
      <c r="E110" s="92"/>
      <c r="F110" s="93"/>
    </row>
    <row r="111">
      <c r="C111" s="90"/>
      <c r="D111" s="91"/>
      <c r="E111" s="92"/>
      <c r="F111" s="93"/>
    </row>
    <row r="112">
      <c r="C112" s="90"/>
      <c r="D112" s="91"/>
      <c r="E112" s="92"/>
      <c r="F112" s="93"/>
    </row>
    <row r="113">
      <c r="C113" s="90"/>
      <c r="D113" s="91"/>
      <c r="E113" s="92"/>
      <c r="F113" s="93"/>
    </row>
    <row r="114">
      <c r="C114" s="90"/>
      <c r="D114" s="91"/>
      <c r="E114" s="92"/>
      <c r="F114" s="93"/>
    </row>
    <row r="115">
      <c r="C115" s="90"/>
      <c r="D115" s="91"/>
      <c r="E115" s="92"/>
      <c r="F115" s="93"/>
    </row>
    <row r="116">
      <c r="C116" s="90"/>
      <c r="D116" s="91"/>
      <c r="E116" s="92"/>
      <c r="F116" s="93"/>
    </row>
    <row r="117">
      <c r="C117" s="90"/>
      <c r="D117" s="91"/>
      <c r="E117" s="92"/>
      <c r="F117" s="93"/>
    </row>
    <row r="118">
      <c r="C118" s="90"/>
      <c r="D118" s="91"/>
      <c r="E118" s="92"/>
      <c r="F118" s="93"/>
    </row>
    <row r="119">
      <c r="C119" s="90"/>
      <c r="D119" s="91"/>
      <c r="E119" s="92"/>
      <c r="F119" s="93"/>
    </row>
    <row r="120">
      <c r="C120" s="90"/>
      <c r="D120" s="91"/>
      <c r="E120" s="92"/>
      <c r="F120" s="93"/>
    </row>
    <row r="121">
      <c r="C121" s="90"/>
      <c r="D121" s="91"/>
      <c r="E121" s="92"/>
      <c r="F121" s="93"/>
    </row>
    <row r="122">
      <c r="C122" s="90"/>
      <c r="D122" s="91"/>
      <c r="E122" s="92"/>
      <c r="F122" s="93"/>
    </row>
    <row r="123">
      <c r="C123" s="90"/>
      <c r="D123" s="91"/>
      <c r="E123" s="92"/>
      <c r="F123" s="93"/>
    </row>
    <row r="124">
      <c r="C124" s="90"/>
      <c r="D124" s="91"/>
      <c r="E124" s="92"/>
      <c r="F124" s="93"/>
    </row>
    <row r="125">
      <c r="C125" s="90"/>
      <c r="D125" s="91"/>
      <c r="E125" s="92"/>
      <c r="F125" s="93"/>
    </row>
    <row r="126">
      <c r="C126" s="90"/>
      <c r="D126" s="91"/>
      <c r="E126" s="92"/>
      <c r="F126" s="93"/>
    </row>
    <row r="127">
      <c r="C127" s="90"/>
      <c r="D127" s="91"/>
      <c r="E127" s="92"/>
      <c r="F127" s="93"/>
    </row>
    <row r="128">
      <c r="C128" s="90"/>
      <c r="D128" s="91"/>
      <c r="E128" s="92"/>
      <c r="F128" s="93"/>
    </row>
    <row r="129">
      <c r="C129" s="90"/>
      <c r="D129" s="91"/>
      <c r="E129" s="92"/>
      <c r="F129" s="93"/>
    </row>
    <row r="130">
      <c r="C130" s="90"/>
      <c r="D130" s="91"/>
      <c r="E130" s="92"/>
      <c r="F130" s="93"/>
    </row>
    <row r="131">
      <c r="C131" s="90"/>
      <c r="D131" s="91"/>
      <c r="E131" s="92"/>
      <c r="F131" s="93"/>
    </row>
    <row r="132">
      <c r="C132" s="90"/>
      <c r="D132" s="91"/>
      <c r="E132" s="92"/>
      <c r="F132" s="93"/>
    </row>
    <row r="133">
      <c r="C133" s="90"/>
      <c r="D133" s="91"/>
      <c r="E133" s="92"/>
      <c r="F133" s="93"/>
    </row>
    <row r="134">
      <c r="C134" s="90"/>
      <c r="D134" s="91"/>
      <c r="E134" s="92"/>
      <c r="F134" s="93"/>
    </row>
    <row r="135">
      <c r="C135" s="90"/>
      <c r="D135" s="91"/>
      <c r="E135" s="92"/>
      <c r="F135" s="93"/>
    </row>
    <row r="136">
      <c r="C136" s="90"/>
      <c r="D136" s="91"/>
      <c r="E136" s="92"/>
      <c r="F136" s="93"/>
    </row>
    <row r="137">
      <c r="C137" s="90"/>
      <c r="D137" s="91"/>
      <c r="E137" s="92"/>
      <c r="F137" s="93"/>
    </row>
    <row r="138">
      <c r="C138" s="90"/>
      <c r="D138" s="91"/>
      <c r="E138" s="92"/>
      <c r="F138" s="93"/>
    </row>
    <row r="139">
      <c r="C139" s="90"/>
      <c r="D139" s="91"/>
      <c r="E139" s="92"/>
      <c r="F139" s="93"/>
    </row>
    <row r="140">
      <c r="C140" s="90"/>
      <c r="D140" s="91"/>
      <c r="E140" s="92"/>
      <c r="F140" s="93"/>
    </row>
    <row r="141">
      <c r="C141" s="90"/>
      <c r="D141" s="91"/>
      <c r="E141" s="92"/>
      <c r="F141" s="93"/>
    </row>
    <row r="142">
      <c r="C142" s="90"/>
      <c r="D142" s="91"/>
      <c r="E142" s="92"/>
      <c r="F142" s="93"/>
    </row>
    <row r="143">
      <c r="C143" s="90"/>
      <c r="D143" s="91"/>
      <c r="E143" s="92"/>
      <c r="F143" s="93"/>
    </row>
    <row r="144">
      <c r="C144" s="90"/>
      <c r="D144" s="91"/>
      <c r="E144" s="92"/>
      <c r="F144" s="93"/>
    </row>
    <row r="145">
      <c r="C145" s="90"/>
      <c r="D145" s="91"/>
      <c r="E145" s="92"/>
      <c r="F145" s="93"/>
    </row>
    <row r="146">
      <c r="C146" s="90"/>
      <c r="D146" s="91"/>
      <c r="E146" s="92"/>
      <c r="F146" s="93"/>
    </row>
    <row r="147">
      <c r="C147" s="90"/>
      <c r="D147" s="91"/>
      <c r="E147" s="92"/>
      <c r="F147" s="93"/>
    </row>
    <row r="148">
      <c r="C148" s="90"/>
      <c r="D148" s="91"/>
      <c r="E148" s="92"/>
      <c r="F148" s="93"/>
    </row>
    <row r="149">
      <c r="C149" s="90"/>
      <c r="D149" s="91"/>
      <c r="E149" s="92"/>
      <c r="F149" s="93"/>
    </row>
    <row r="150">
      <c r="C150" s="90"/>
      <c r="D150" s="91"/>
      <c r="E150" s="92"/>
      <c r="F150" s="93"/>
    </row>
    <row r="151">
      <c r="C151" s="90"/>
      <c r="D151" s="91"/>
      <c r="E151" s="92"/>
      <c r="F151" s="93"/>
    </row>
    <row r="152">
      <c r="C152" s="90"/>
      <c r="D152" s="91"/>
      <c r="E152" s="92"/>
      <c r="F152" s="93"/>
    </row>
    <row r="153">
      <c r="C153" s="90"/>
      <c r="D153" s="91"/>
      <c r="E153" s="92"/>
      <c r="F153" s="93"/>
    </row>
    <row r="154">
      <c r="C154" s="90"/>
      <c r="D154" s="91"/>
      <c r="E154" s="92"/>
      <c r="F154" s="93"/>
    </row>
    <row r="155">
      <c r="C155" s="90"/>
      <c r="D155" s="91"/>
      <c r="E155" s="92"/>
      <c r="F155" s="93"/>
    </row>
    <row r="156">
      <c r="C156" s="90"/>
      <c r="D156" s="91"/>
      <c r="E156" s="92"/>
      <c r="F156" s="93"/>
    </row>
    <row r="157">
      <c r="C157" s="90"/>
      <c r="D157" s="91"/>
      <c r="E157" s="92"/>
      <c r="F157" s="93"/>
    </row>
    <row r="158">
      <c r="C158" s="90"/>
      <c r="D158" s="91"/>
      <c r="E158" s="92"/>
      <c r="F158" s="93"/>
    </row>
    <row r="159">
      <c r="C159" s="90"/>
      <c r="D159" s="91"/>
      <c r="E159" s="92"/>
      <c r="F159" s="93"/>
    </row>
    <row r="160">
      <c r="C160" s="90"/>
      <c r="D160" s="91"/>
      <c r="E160" s="92"/>
      <c r="F160" s="93"/>
    </row>
    <row r="161">
      <c r="C161" s="90"/>
      <c r="D161" s="91"/>
      <c r="E161" s="92"/>
      <c r="F161" s="93"/>
    </row>
    <row r="162">
      <c r="C162" s="90"/>
      <c r="D162" s="91"/>
      <c r="E162" s="92"/>
      <c r="F162" s="93"/>
    </row>
    <row r="163">
      <c r="C163" s="90"/>
      <c r="D163" s="91"/>
      <c r="E163" s="92"/>
      <c r="F163" s="93"/>
    </row>
    <row r="164">
      <c r="C164" s="90"/>
      <c r="D164" s="91"/>
      <c r="E164" s="92"/>
      <c r="F164" s="93"/>
    </row>
    <row r="165">
      <c r="C165" s="90"/>
      <c r="D165" s="91"/>
      <c r="E165" s="92"/>
      <c r="F165" s="93"/>
    </row>
    <row r="166">
      <c r="C166" s="90"/>
      <c r="D166" s="91"/>
      <c r="E166" s="92"/>
      <c r="F166" s="93"/>
    </row>
    <row r="167">
      <c r="C167" s="90"/>
      <c r="D167" s="91"/>
      <c r="E167" s="92"/>
      <c r="F167" s="93"/>
    </row>
    <row r="168">
      <c r="C168" s="90"/>
      <c r="D168" s="91"/>
      <c r="E168" s="92"/>
      <c r="F168" s="93"/>
    </row>
    <row r="169">
      <c r="C169" s="90"/>
      <c r="D169" s="91"/>
      <c r="E169" s="92"/>
      <c r="F169" s="93"/>
    </row>
    <row r="170">
      <c r="C170" s="90"/>
      <c r="D170" s="91"/>
      <c r="E170" s="92"/>
      <c r="F170" s="93"/>
    </row>
    <row r="171">
      <c r="C171" s="90"/>
      <c r="D171" s="91"/>
      <c r="E171" s="92"/>
      <c r="F171" s="93"/>
    </row>
    <row r="172">
      <c r="C172" s="90"/>
      <c r="D172" s="91"/>
      <c r="E172" s="92"/>
      <c r="F172" s="93"/>
    </row>
    <row r="173">
      <c r="C173" s="90"/>
      <c r="D173" s="91"/>
      <c r="E173" s="92"/>
      <c r="F173" s="93"/>
    </row>
    <row r="174">
      <c r="C174" s="90"/>
      <c r="D174" s="91"/>
      <c r="E174" s="92"/>
      <c r="F174" s="93"/>
    </row>
    <row r="175">
      <c r="C175" s="90"/>
      <c r="D175" s="91"/>
      <c r="E175" s="92"/>
      <c r="F175" s="93"/>
    </row>
    <row r="176">
      <c r="C176" s="90"/>
      <c r="D176" s="91"/>
      <c r="E176" s="92"/>
      <c r="F176" s="93"/>
    </row>
    <row r="177">
      <c r="C177" s="90"/>
      <c r="D177" s="91"/>
      <c r="E177" s="92"/>
      <c r="F177" s="93"/>
    </row>
    <row r="178">
      <c r="C178" s="90"/>
      <c r="D178" s="91"/>
      <c r="E178" s="92"/>
      <c r="F178" s="93"/>
    </row>
    <row r="179">
      <c r="C179" s="90"/>
      <c r="D179" s="91"/>
      <c r="E179" s="92"/>
      <c r="F179" s="93"/>
    </row>
    <row r="180">
      <c r="C180" s="90"/>
      <c r="D180" s="91"/>
      <c r="E180" s="92"/>
      <c r="F180" s="93"/>
    </row>
    <row r="181">
      <c r="C181" s="90"/>
      <c r="D181" s="91"/>
      <c r="E181" s="92"/>
      <c r="F181" s="93"/>
    </row>
    <row r="182">
      <c r="C182" s="90"/>
      <c r="D182" s="91"/>
      <c r="E182" s="92"/>
      <c r="F182" s="93"/>
    </row>
    <row r="183">
      <c r="C183" s="90"/>
      <c r="D183" s="91"/>
      <c r="E183" s="92"/>
      <c r="F183" s="93"/>
    </row>
    <row r="184">
      <c r="C184" s="90"/>
      <c r="D184" s="91"/>
      <c r="E184" s="92"/>
      <c r="F184" s="93"/>
    </row>
    <row r="185">
      <c r="C185" s="90"/>
      <c r="D185" s="91"/>
      <c r="E185" s="92"/>
      <c r="F185" s="93"/>
    </row>
    <row r="186">
      <c r="C186" s="90"/>
      <c r="D186" s="91"/>
      <c r="E186" s="92"/>
      <c r="F186" s="93"/>
    </row>
    <row r="187">
      <c r="C187" s="90"/>
      <c r="D187" s="91"/>
      <c r="E187" s="92"/>
      <c r="F187" s="93"/>
    </row>
    <row r="188">
      <c r="C188" s="90"/>
      <c r="D188" s="91"/>
      <c r="E188" s="92"/>
      <c r="F188" s="93"/>
    </row>
    <row r="189">
      <c r="C189" s="90"/>
      <c r="D189" s="91"/>
      <c r="E189" s="92"/>
      <c r="F189" s="93"/>
    </row>
    <row r="190">
      <c r="C190" s="90"/>
      <c r="D190" s="91"/>
      <c r="E190" s="92"/>
      <c r="F190" s="93"/>
    </row>
    <row r="191">
      <c r="C191" s="90"/>
      <c r="D191" s="91"/>
      <c r="E191" s="92"/>
      <c r="F191" s="93"/>
    </row>
    <row r="192">
      <c r="C192" s="90"/>
      <c r="D192" s="91"/>
      <c r="E192" s="92"/>
      <c r="F192" s="93"/>
    </row>
    <row r="193">
      <c r="C193" s="90"/>
      <c r="D193" s="91"/>
      <c r="E193" s="92"/>
      <c r="F193" s="93"/>
    </row>
    <row r="194">
      <c r="C194" s="90"/>
      <c r="D194" s="91"/>
      <c r="E194" s="92"/>
      <c r="F194" s="93"/>
    </row>
    <row r="195">
      <c r="C195" s="90"/>
      <c r="D195" s="91"/>
      <c r="E195" s="92"/>
      <c r="F195" s="93"/>
    </row>
    <row r="196">
      <c r="C196" s="90"/>
      <c r="D196" s="91"/>
      <c r="E196" s="92"/>
      <c r="F196" s="93"/>
    </row>
    <row r="197">
      <c r="C197" s="90"/>
      <c r="D197" s="91"/>
      <c r="E197" s="92"/>
      <c r="F197" s="93"/>
    </row>
    <row r="198">
      <c r="C198" s="90"/>
      <c r="D198" s="91"/>
      <c r="E198" s="92"/>
      <c r="F198" s="93"/>
    </row>
    <row r="199">
      <c r="C199" s="90"/>
      <c r="D199" s="91"/>
      <c r="E199" s="92"/>
      <c r="F199" s="93"/>
    </row>
    <row r="200">
      <c r="C200" s="90"/>
      <c r="D200" s="91"/>
      <c r="E200" s="92"/>
      <c r="F200" s="93"/>
    </row>
    <row r="201">
      <c r="C201" s="90"/>
      <c r="D201" s="91"/>
      <c r="E201" s="92"/>
      <c r="F201" s="93"/>
    </row>
    <row r="202">
      <c r="C202" s="90"/>
      <c r="D202" s="91"/>
      <c r="E202" s="92"/>
      <c r="F202" s="93"/>
    </row>
    <row r="203">
      <c r="C203" s="90"/>
      <c r="D203" s="91"/>
      <c r="E203" s="92"/>
      <c r="F203" s="93"/>
    </row>
    <row r="204">
      <c r="C204" s="90"/>
      <c r="D204" s="91"/>
      <c r="E204" s="92"/>
      <c r="F204" s="93"/>
    </row>
    <row r="205">
      <c r="C205" s="90"/>
      <c r="D205" s="91"/>
      <c r="E205" s="92"/>
      <c r="F205" s="93"/>
    </row>
    <row r="206">
      <c r="C206" s="90"/>
      <c r="D206" s="91"/>
      <c r="E206" s="92"/>
      <c r="F206" s="93"/>
    </row>
    <row r="207">
      <c r="C207" s="90"/>
      <c r="D207" s="91"/>
      <c r="E207" s="92"/>
      <c r="F207" s="93"/>
    </row>
    <row r="208">
      <c r="C208" s="90"/>
      <c r="D208" s="91"/>
      <c r="E208" s="92"/>
      <c r="F208" s="93"/>
    </row>
    <row r="209">
      <c r="C209" s="90"/>
      <c r="D209" s="91"/>
      <c r="E209" s="92"/>
      <c r="F209" s="93"/>
    </row>
    <row r="210">
      <c r="C210" s="90"/>
      <c r="D210" s="91"/>
      <c r="E210" s="92"/>
      <c r="F210" s="93"/>
    </row>
    <row r="211">
      <c r="C211" s="90"/>
      <c r="D211" s="91"/>
      <c r="E211" s="92"/>
      <c r="F211" s="93"/>
    </row>
    <row r="212">
      <c r="C212" s="90"/>
      <c r="D212" s="91"/>
      <c r="E212" s="92"/>
      <c r="F212" s="93"/>
    </row>
    <row r="213">
      <c r="C213" s="90"/>
      <c r="D213" s="91"/>
      <c r="E213" s="92"/>
      <c r="F213" s="93"/>
    </row>
    <row r="214">
      <c r="C214" s="90"/>
      <c r="D214" s="91"/>
      <c r="E214" s="92"/>
      <c r="F214" s="93"/>
    </row>
    <row r="215">
      <c r="C215" s="90"/>
      <c r="D215" s="91"/>
      <c r="E215" s="92"/>
      <c r="F215" s="93"/>
    </row>
    <row r="216">
      <c r="C216" s="90"/>
      <c r="D216" s="91"/>
      <c r="E216" s="92"/>
      <c r="F216" s="93"/>
    </row>
    <row r="217">
      <c r="C217" s="90"/>
      <c r="D217" s="91"/>
      <c r="E217" s="92"/>
      <c r="F217" s="93"/>
    </row>
    <row r="218">
      <c r="C218" s="90"/>
      <c r="D218" s="91"/>
      <c r="E218" s="92"/>
      <c r="F218" s="93"/>
    </row>
    <row r="219">
      <c r="C219" s="90"/>
      <c r="D219" s="91"/>
      <c r="E219" s="92"/>
      <c r="F219" s="93"/>
    </row>
    <row r="220">
      <c r="C220" s="90"/>
      <c r="D220" s="91"/>
      <c r="E220" s="92"/>
      <c r="F220" s="93"/>
    </row>
    <row r="221">
      <c r="C221" s="90"/>
      <c r="D221" s="91"/>
      <c r="E221" s="92"/>
      <c r="F221" s="93"/>
    </row>
    <row r="222">
      <c r="C222" s="90"/>
      <c r="D222" s="91"/>
      <c r="E222" s="92"/>
      <c r="F222" s="93"/>
    </row>
    <row r="223">
      <c r="C223" s="90"/>
      <c r="D223" s="91"/>
      <c r="E223" s="92"/>
      <c r="F223" s="93"/>
    </row>
    <row r="224">
      <c r="C224" s="90"/>
      <c r="D224" s="91"/>
      <c r="E224" s="92"/>
      <c r="F224" s="93"/>
    </row>
    <row r="225">
      <c r="C225" s="90"/>
      <c r="D225" s="91"/>
      <c r="E225" s="92"/>
      <c r="F225" s="93"/>
    </row>
    <row r="226">
      <c r="C226" s="90"/>
      <c r="D226" s="91"/>
      <c r="E226" s="92"/>
      <c r="F226" s="93"/>
    </row>
    <row r="227">
      <c r="C227" s="90"/>
      <c r="D227" s="91"/>
      <c r="E227" s="92"/>
      <c r="F227" s="93"/>
    </row>
    <row r="228">
      <c r="C228" s="90"/>
      <c r="D228" s="91"/>
      <c r="E228" s="92"/>
      <c r="F228" s="93"/>
    </row>
    <row r="229">
      <c r="C229" s="90"/>
      <c r="D229" s="91"/>
      <c r="E229" s="92"/>
      <c r="F229" s="93"/>
    </row>
    <row r="230">
      <c r="C230" s="90"/>
      <c r="D230" s="91"/>
      <c r="E230" s="92"/>
      <c r="F230" s="93"/>
    </row>
    <row r="231">
      <c r="C231" s="90"/>
      <c r="D231" s="91"/>
      <c r="E231" s="92"/>
      <c r="F231" s="93"/>
    </row>
    <row r="232">
      <c r="C232" s="90"/>
      <c r="D232" s="91"/>
      <c r="E232" s="92"/>
      <c r="F232" s="93"/>
    </row>
    <row r="233">
      <c r="C233" s="90"/>
      <c r="D233" s="91"/>
      <c r="E233" s="92"/>
      <c r="F233" s="93"/>
    </row>
    <row r="234">
      <c r="C234" s="90"/>
      <c r="D234" s="91"/>
      <c r="E234" s="92"/>
      <c r="F234" s="93"/>
    </row>
    <row r="235">
      <c r="C235" s="90"/>
      <c r="D235" s="91"/>
      <c r="E235" s="92"/>
      <c r="F235" s="93"/>
    </row>
    <row r="236">
      <c r="C236" s="90"/>
      <c r="D236" s="91"/>
      <c r="E236" s="92"/>
      <c r="F236" s="93"/>
    </row>
    <row r="237">
      <c r="C237" s="90"/>
      <c r="D237" s="91"/>
      <c r="E237" s="92"/>
      <c r="F237" s="93"/>
    </row>
    <row r="238">
      <c r="C238" s="90"/>
      <c r="D238" s="91"/>
      <c r="E238" s="92"/>
      <c r="F238" s="93"/>
    </row>
    <row r="239">
      <c r="C239" s="90"/>
      <c r="D239" s="91"/>
      <c r="E239" s="92"/>
      <c r="F239" s="93"/>
    </row>
    <row r="240">
      <c r="C240" s="90"/>
      <c r="D240" s="91"/>
      <c r="E240" s="92"/>
      <c r="F240" s="93"/>
    </row>
    <row r="241">
      <c r="C241" s="90"/>
      <c r="D241" s="91"/>
      <c r="E241" s="92"/>
      <c r="F241" s="93"/>
    </row>
    <row r="242">
      <c r="C242" s="90"/>
      <c r="D242" s="91"/>
      <c r="E242" s="92"/>
      <c r="F242" s="93"/>
    </row>
    <row r="243">
      <c r="C243" s="90"/>
      <c r="D243" s="91"/>
      <c r="E243" s="92"/>
      <c r="F243" s="93"/>
    </row>
    <row r="244">
      <c r="C244" s="90"/>
      <c r="D244" s="91"/>
      <c r="E244" s="92"/>
      <c r="F244" s="93"/>
    </row>
    <row r="245">
      <c r="C245" s="90"/>
      <c r="D245" s="91"/>
      <c r="E245" s="92"/>
      <c r="F245" s="93"/>
    </row>
    <row r="246">
      <c r="C246" s="90"/>
      <c r="D246" s="91"/>
      <c r="E246" s="92"/>
      <c r="F246" s="93"/>
    </row>
    <row r="247">
      <c r="C247" s="90"/>
      <c r="D247" s="91"/>
      <c r="E247" s="92"/>
      <c r="F247" s="93"/>
    </row>
    <row r="248">
      <c r="C248" s="90"/>
      <c r="D248" s="91"/>
      <c r="E248" s="92"/>
      <c r="F248" s="93"/>
    </row>
    <row r="249">
      <c r="C249" s="90"/>
      <c r="D249" s="91"/>
      <c r="E249" s="92"/>
      <c r="F249" s="93"/>
    </row>
    <row r="250">
      <c r="C250" s="90"/>
      <c r="D250" s="91"/>
      <c r="E250" s="92"/>
      <c r="F250" s="93"/>
    </row>
    <row r="251">
      <c r="C251" s="90"/>
      <c r="D251" s="91"/>
      <c r="E251" s="92"/>
      <c r="F251" s="93"/>
    </row>
    <row r="252">
      <c r="C252" s="90"/>
      <c r="D252" s="91"/>
      <c r="E252" s="92"/>
      <c r="F252" s="93"/>
    </row>
    <row r="253">
      <c r="C253" s="90"/>
      <c r="D253" s="91"/>
      <c r="E253" s="92"/>
      <c r="F253" s="93"/>
    </row>
    <row r="254">
      <c r="C254" s="90"/>
      <c r="D254" s="91"/>
      <c r="E254" s="92"/>
      <c r="F254" s="93"/>
    </row>
    <row r="255">
      <c r="C255" s="90"/>
      <c r="D255" s="91"/>
      <c r="E255" s="92"/>
      <c r="F255" s="93"/>
    </row>
    <row r="256">
      <c r="C256" s="90"/>
      <c r="D256" s="91"/>
      <c r="E256" s="92"/>
      <c r="F256" s="93"/>
    </row>
    <row r="257">
      <c r="C257" s="90"/>
      <c r="D257" s="91"/>
      <c r="E257" s="92"/>
      <c r="F257" s="93"/>
    </row>
    <row r="258">
      <c r="C258" s="90"/>
      <c r="D258" s="91"/>
      <c r="E258" s="92"/>
      <c r="F258" s="93"/>
    </row>
    <row r="259">
      <c r="C259" s="90"/>
      <c r="D259" s="91"/>
      <c r="E259" s="92"/>
      <c r="F259" s="93"/>
    </row>
    <row r="260">
      <c r="C260" s="90"/>
      <c r="D260" s="91"/>
      <c r="E260" s="92"/>
      <c r="F260" s="93"/>
    </row>
    <row r="261">
      <c r="C261" s="90"/>
      <c r="D261" s="91"/>
      <c r="E261" s="92"/>
      <c r="F261" s="93"/>
    </row>
    <row r="262">
      <c r="C262" s="90"/>
      <c r="D262" s="91"/>
      <c r="E262" s="92"/>
      <c r="F262" s="93"/>
    </row>
    <row r="263">
      <c r="C263" s="90"/>
      <c r="D263" s="91"/>
      <c r="E263" s="92"/>
      <c r="F263" s="93"/>
    </row>
    <row r="264">
      <c r="C264" s="90"/>
      <c r="D264" s="91"/>
      <c r="E264" s="92"/>
      <c r="F264" s="93"/>
    </row>
    <row r="265">
      <c r="C265" s="90"/>
      <c r="D265" s="91"/>
      <c r="E265" s="92"/>
      <c r="F265" s="93"/>
    </row>
    <row r="266">
      <c r="C266" s="90"/>
      <c r="D266" s="91"/>
      <c r="E266" s="92"/>
      <c r="F266" s="93"/>
    </row>
    <row r="267">
      <c r="C267" s="90"/>
      <c r="D267" s="91"/>
      <c r="E267" s="92"/>
      <c r="F267" s="93"/>
    </row>
    <row r="268">
      <c r="C268" s="90"/>
      <c r="D268" s="91"/>
      <c r="E268" s="92"/>
      <c r="F268" s="93"/>
    </row>
    <row r="269">
      <c r="C269" s="90"/>
      <c r="D269" s="91"/>
      <c r="E269" s="92"/>
      <c r="F269" s="93"/>
    </row>
    <row r="270">
      <c r="C270" s="90"/>
      <c r="D270" s="91"/>
      <c r="E270" s="92"/>
      <c r="F270" s="93"/>
    </row>
    <row r="271">
      <c r="C271" s="90"/>
      <c r="D271" s="91"/>
      <c r="E271" s="92"/>
      <c r="F271" s="93"/>
    </row>
    <row r="272">
      <c r="C272" s="90"/>
      <c r="D272" s="91"/>
      <c r="E272" s="92"/>
      <c r="F272" s="93"/>
    </row>
    <row r="273">
      <c r="C273" s="90"/>
      <c r="D273" s="91"/>
      <c r="E273" s="92"/>
      <c r="F273" s="93"/>
    </row>
    <row r="274">
      <c r="C274" s="90"/>
      <c r="D274" s="91"/>
      <c r="E274" s="92"/>
      <c r="F274" s="93"/>
    </row>
    <row r="275">
      <c r="C275" s="90"/>
      <c r="D275" s="91"/>
      <c r="E275" s="92"/>
      <c r="F275" s="93"/>
    </row>
    <row r="276">
      <c r="C276" s="90"/>
      <c r="D276" s="91"/>
      <c r="E276" s="92"/>
      <c r="F276" s="93"/>
    </row>
    <row r="277">
      <c r="C277" s="90"/>
      <c r="D277" s="91"/>
      <c r="E277" s="92"/>
      <c r="F277" s="93"/>
    </row>
    <row r="278">
      <c r="C278" s="90"/>
      <c r="D278" s="91"/>
      <c r="E278" s="92"/>
      <c r="F278" s="93"/>
    </row>
    <row r="279">
      <c r="C279" s="90"/>
      <c r="D279" s="91"/>
      <c r="E279" s="92"/>
      <c r="F279" s="93"/>
    </row>
    <row r="280">
      <c r="C280" s="90"/>
      <c r="D280" s="91"/>
      <c r="E280" s="92"/>
      <c r="F280" s="93"/>
    </row>
    <row r="281">
      <c r="C281" s="90"/>
      <c r="D281" s="91"/>
      <c r="E281" s="92"/>
      <c r="F281" s="93"/>
    </row>
    <row r="282">
      <c r="C282" s="90"/>
      <c r="D282" s="91"/>
      <c r="E282" s="92"/>
      <c r="F282" s="93"/>
    </row>
    <row r="283">
      <c r="C283" s="90"/>
      <c r="D283" s="91"/>
      <c r="E283" s="92"/>
      <c r="F283" s="93"/>
    </row>
    <row r="284">
      <c r="C284" s="90"/>
      <c r="D284" s="91"/>
      <c r="E284" s="92"/>
      <c r="F284" s="93"/>
    </row>
    <row r="285">
      <c r="C285" s="90"/>
      <c r="D285" s="91"/>
      <c r="E285" s="92"/>
      <c r="F285" s="93"/>
    </row>
    <row r="286">
      <c r="C286" s="90"/>
      <c r="D286" s="91"/>
      <c r="E286" s="92"/>
      <c r="F286" s="93"/>
    </row>
    <row r="287">
      <c r="C287" s="90"/>
      <c r="D287" s="91"/>
      <c r="E287" s="92"/>
      <c r="F287" s="93"/>
    </row>
    <row r="288">
      <c r="C288" s="90"/>
      <c r="D288" s="91"/>
      <c r="E288" s="92"/>
      <c r="F288" s="93"/>
    </row>
    <row r="289">
      <c r="C289" s="90"/>
      <c r="D289" s="91"/>
      <c r="E289" s="92"/>
      <c r="F289" s="93"/>
    </row>
    <row r="290">
      <c r="C290" s="90"/>
      <c r="D290" s="91"/>
      <c r="E290" s="92"/>
      <c r="F290" s="93"/>
    </row>
    <row r="291">
      <c r="C291" s="90"/>
      <c r="D291" s="91"/>
      <c r="E291" s="92"/>
      <c r="F291" s="93"/>
    </row>
    <row r="292">
      <c r="C292" s="90"/>
      <c r="D292" s="91"/>
      <c r="E292" s="92"/>
      <c r="F292" s="93"/>
    </row>
    <row r="293">
      <c r="C293" s="90"/>
      <c r="D293" s="91"/>
      <c r="E293" s="92"/>
      <c r="F293" s="93"/>
    </row>
    <row r="294">
      <c r="C294" s="90"/>
      <c r="D294" s="91"/>
      <c r="E294" s="92"/>
      <c r="F294" s="93"/>
    </row>
    <row r="295">
      <c r="C295" s="90"/>
      <c r="D295" s="91"/>
      <c r="E295" s="92"/>
      <c r="F295" s="93"/>
    </row>
    <row r="296">
      <c r="C296" s="90"/>
      <c r="D296" s="91"/>
      <c r="E296" s="92"/>
      <c r="F296" s="93"/>
    </row>
    <row r="297">
      <c r="C297" s="90"/>
      <c r="D297" s="91"/>
      <c r="E297" s="92"/>
      <c r="F297" s="93"/>
    </row>
    <row r="298">
      <c r="C298" s="90"/>
      <c r="D298" s="91"/>
      <c r="E298" s="92"/>
      <c r="F298" s="93"/>
    </row>
    <row r="299">
      <c r="C299" s="90"/>
      <c r="D299" s="91"/>
      <c r="E299" s="92"/>
      <c r="F299" s="93"/>
    </row>
    <row r="300">
      <c r="C300" s="90"/>
      <c r="D300" s="91"/>
      <c r="E300" s="92"/>
      <c r="F300" s="93"/>
    </row>
    <row r="301">
      <c r="C301" s="90"/>
      <c r="D301" s="91"/>
      <c r="E301" s="92"/>
      <c r="F301" s="93"/>
    </row>
    <row r="302">
      <c r="C302" s="90"/>
      <c r="D302" s="91"/>
      <c r="E302" s="92"/>
      <c r="F302" s="93"/>
    </row>
    <row r="303">
      <c r="C303" s="90"/>
      <c r="D303" s="91"/>
      <c r="E303" s="92"/>
      <c r="F303" s="93"/>
    </row>
    <row r="304">
      <c r="C304" s="90"/>
      <c r="D304" s="91"/>
      <c r="E304" s="92"/>
      <c r="F304" s="93"/>
    </row>
    <row r="305">
      <c r="C305" s="90"/>
      <c r="D305" s="91"/>
      <c r="E305" s="92"/>
      <c r="F305" s="93"/>
    </row>
    <row r="306">
      <c r="C306" s="90"/>
      <c r="D306" s="91"/>
      <c r="E306" s="92"/>
      <c r="F306" s="93"/>
    </row>
    <row r="307">
      <c r="C307" s="90"/>
      <c r="D307" s="91"/>
      <c r="E307" s="92"/>
      <c r="F307" s="93"/>
    </row>
    <row r="308">
      <c r="C308" s="90"/>
      <c r="D308" s="91"/>
      <c r="E308" s="92"/>
      <c r="F308" s="93"/>
    </row>
    <row r="309">
      <c r="C309" s="90"/>
      <c r="D309" s="91"/>
      <c r="E309" s="92"/>
      <c r="F309" s="93"/>
    </row>
    <row r="310">
      <c r="C310" s="90"/>
      <c r="D310" s="91"/>
      <c r="E310" s="92"/>
      <c r="F310" s="93"/>
    </row>
    <row r="311">
      <c r="C311" s="90"/>
      <c r="D311" s="91"/>
      <c r="E311" s="92"/>
      <c r="F311" s="93"/>
    </row>
    <row r="312">
      <c r="C312" s="90"/>
      <c r="D312" s="91"/>
      <c r="E312" s="92"/>
      <c r="F312" s="93"/>
    </row>
    <row r="313">
      <c r="C313" s="90"/>
      <c r="D313" s="91"/>
      <c r="E313" s="92"/>
      <c r="F313" s="93"/>
    </row>
    <row r="314">
      <c r="C314" s="90"/>
      <c r="D314" s="91"/>
      <c r="E314" s="92"/>
      <c r="F314" s="93"/>
    </row>
    <row r="315">
      <c r="C315" s="90"/>
      <c r="D315" s="91"/>
      <c r="E315" s="92"/>
      <c r="F315" s="93"/>
    </row>
    <row r="316">
      <c r="C316" s="90"/>
      <c r="D316" s="91"/>
      <c r="E316" s="92"/>
      <c r="F316" s="93"/>
    </row>
    <row r="317">
      <c r="C317" s="90"/>
      <c r="D317" s="91"/>
      <c r="E317" s="92"/>
      <c r="F317" s="93"/>
    </row>
    <row r="318">
      <c r="C318" s="90"/>
      <c r="D318" s="91"/>
      <c r="E318" s="92"/>
      <c r="F318" s="93"/>
    </row>
    <row r="319">
      <c r="C319" s="90"/>
      <c r="D319" s="91"/>
      <c r="E319" s="92"/>
      <c r="F319" s="93"/>
    </row>
    <row r="320">
      <c r="C320" s="90"/>
      <c r="D320" s="91"/>
      <c r="E320" s="92"/>
      <c r="F320" s="93"/>
    </row>
    <row r="321">
      <c r="C321" s="90"/>
      <c r="D321" s="91"/>
      <c r="E321" s="92"/>
      <c r="F321" s="93"/>
    </row>
    <row r="322">
      <c r="C322" s="90"/>
      <c r="D322" s="91"/>
      <c r="E322" s="92"/>
      <c r="F322" s="93"/>
    </row>
    <row r="323">
      <c r="C323" s="90"/>
      <c r="D323" s="91"/>
      <c r="E323" s="92"/>
      <c r="F323" s="93"/>
    </row>
    <row r="324">
      <c r="C324" s="90"/>
      <c r="D324" s="91"/>
      <c r="E324" s="92"/>
      <c r="F324" s="93"/>
    </row>
    <row r="325">
      <c r="C325" s="90"/>
      <c r="D325" s="91"/>
      <c r="E325" s="92"/>
      <c r="F325" s="93"/>
    </row>
    <row r="326">
      <c r="C326" s="90"/>
      <c r="D326" s="91"/>
      <c r="E326" s="92"/>
      <c r="F326" s="93"/>
    </row>
    <row r="327">
      <c r="C327" s="90"/>
      <c r="D327" s="91"/>
      <c r="E327" s="92"/>
      <c r="F327" s="93"/>
    </row>
    <row r="328">
      <c r="C328" s="90"/>
      <c r="D328" s="91"/>
      <c r="E328" s="92"/>
      <c r="F328" s="93"/>
    </row>
    <row r="329">
      <c r="C329" s="90"/>
      <c r="D329" s="91"/>
      <c r="E329" s="92"/>
      <c r="F329" s="93"/>
    </row>
    <row r="330">
      <c r="C330" s="90"/>
      <c r="D330" s="91"/>
      <c r="E330" s="92"/>
      <c r="F330" s="93"/>
    </row>
    <row r="331">
      <c r="C331" s="90"/>
      <c r="D331" s="91"/>
      <c r="E331" s="92"/>
      <c r="F331" s="93"/>
    </row>
    <row r="332">
      <c r="C332" s="90"/>
      <c r="D332" s="91"/>
      <c r="E332" s="92"/>
      <c r="F332" s="93"/>
    </row>
    <row r="333">
      <c r="C333" s="90"/>
      <c r="D333" s="91"/>
      <c r="E333" s="92"/>
      <c r="F333" s="93"/>
    </row>
    <row r="334">
      <c r="C334" s="90"/>
      <c r="D334" s="91"/>
      <c r="E334" s="92"/>
      <c r="F334" s="93"/>
    </row>
    <row r="335">
      <c r="C335" s="90"/>
      <c r="D335" s="91"/>
      <c r="E335" s="92"/>
      <c r="F335" s="93"/>
    </row>
    <row r="336">
      <c r="C336" s="90"/>
      <c r="D336" s="91"/>
      <c r="E336" s="92"/>
      <c r="F336" s="93"/>
    </row>
    <row r="337">
      <c r="C337" s="90"/>
      <c r="D337" s="91"/>
      <c r="E337" s="92"/>
      <c r="F337" s="93"/>
    </row>
    <row r="338">
      <c r="C338" s="90"/>
      <c r="D338" s="91"/>
      <c r="E338" s="92"/>
      <c r="F338" s="93"/>
    </row>
    <row r="339">
      <c r="C339" s="90"/>
      <c r="D339" s="91"/>
      <c r="E339" s="92"/>
      <c r="F339" s="93"/>
    </row>
    <row r="340">
      <c r="C340" s="90"/>
      <c r="D340" s="91"/>
      <c r="E340" s="92"/>
      <c r="F340" s="93"/>
    </row>
    <row r="341">
      <c r="C341" s="90"/>
      <c r="D341" s="91"/>
      <c r="E341" s="92"/>
      <c r="F341" s="93"/>
    </row>
    <row r="342">
      <c r="C342" s="90"/>
      <c r="D342" s="91"/>
      <c r="E342" s="92"/>
      <c r="F342" s="93"/>
    </row>
    <row r="343">
      <c r="C343" s="90"/>
      <c r="D343" s="91"/>
      <c r="E343" s="92"/>
      <c r="F343" s="93"/>
    </row>
    <row r="344">
      <c r="C344" s="90"/>
      <c r="D344" s="91"/>
      <c r="E344" s="92"/>
      <c r="F344" s="93"/>
    </row>
    <row r="345">
      <c r="C345" s="90"/>
      <c r="D345" s="91"/>
      <c r="E345" s="92"/>
      <c r="F345" s="93"/>
    </row>
    <row r="346">
      <c r="C346" s="90"/>
      <c r="D346" s="91"/>
      <c r="E346" s="92"/>
      <c r="F346" s="93"/>
    </row>
    <row r="347">
      <c r="C347" s="90"/>
      <c r="D347" s="91"/>
      <c r="E347" s="92"/>
      <c r="F347" s="93"/>
    </row>
    <row r="348">
      <c r="C348" s="90"/>
      <c r="D348" s="91"/>
      <c r="E348" s="92"/>
      <c r="F348" s="93"/>
    </row>
    <row r="349">
      <c r="C349" s="90"/>
      <c r="D349" s="91"/>
      <c r="E349" s="92"/>
      <c r="F349" s="93"/>
    </row>
    <row r="350">
      <c r="C350" s="90"/>
      <c r="D350" s="91"/>
      <c r="E350" s="92"/>
      <c r="F350" s="93"/>
    </row>
    <row r="351">
      <c r="C351" s="90"/>
      <c r="D351" s="91"/>
      <c r="E351" s="92"/>
      <c r="F351" s="93"/>
    </row>
    <row r="352">
      <c r="C352" s="90"/>
      <c r="D352" s="91"/>
      <c r="E352" s="92"/>
      <c r="F352" s="93"/>
    </row>
    <row r="353">
      <c r="C353" s="90"/>
      <c r="D353" s="91"/>
      <c r="E353" s="92"/>
      <c r="F353" s="93"/>
    </row>
    <row r="354">
      <c r="C354" s="90"/>
      <c r="D354" s="91"/>
      <c r="E354" s="92"/>
      <c r="F354" s="93"/>
    </row>
    <row r="355">
      <c r="C355" s="90"/>
      <c r="D355" s="91"/>
      <c r="E355" s="92"/>
      <c r="F355" s="93"/>
    </row>
    <row r="356">
      <c r="C356" s="90"/>
      <c r="D356" s="91"/>
      <c r="E356" s="92"/>
      <c r="F356" s="93"/>
    </row>
    <row r="357">
      <c r="C357" s="90"/>
      <c r="D357" s="91"/>
      <c r="E357" s="92"/>
      <c r="F357" s="93"/>
    </row>
    <row r="358">
      <c r="C358" s="90"/>
      <c r="D358" s="91"/>
      <c r="E358" s="92"/>
      <c r="F358" s="93"/>
    </row>
    <row r="359">
      <c r="C359" s="90"/>
      <c r="D359" s="91"/>
      <c r="E359" s="92"/>
      <c r="F359" s="93"/>
    </row>
    <row r="360">
      <c r="C360" s="90"/>
      <c r="D360" s="91"/>
      <c r="E360" s="92"/>
      <c r="F360" s="93"/>
    </row>
    <row r="361">
      <c r="C361" s="90"/>
      <c r="D361" s="91"/>
      <c r="E361" s="92"/>
      <c r="F361" s="93"/>
    </row>
    <row r="362">
      <c r="C362" s="90"/>
      <c r="D362" s="91"/>
      <c r="E362" s="92"/>
      <c r="F362" s="93"/>
    </row>
    <row r="363">
      <c r="C363" s="90"/>
      <c r="D363" s="91"/>
      <c r="E363" s="92"/>
      <c r="F363" s="93"/>
    </row>
    <row r="364">
      <c r="C364" s="90"/>
      <c r="D364" s="91"/>
      <c r="E364" s="92"/>
      <c r="F364" s="93"/>
    </row>
    <row r="365">
      <c r="C365" s="90"/>
      <c r="D365" s="91"/>
      <c r="E365" s="92"/>
      <c r="F365" s="93"/>
    </row>
    <row r="366">
      <c r="C366" s="90"/>
      <c r="D366" s="91"/>
      <c r="E366" s="92"/>
      <c r="F366" s="93"/>
    </row>
    <row r="367">
      <c r="C367" s="90"/>
      <c r="D367" s="91"/>
      <c r="E367" s="92"/>
      <c r="F367" s="93"/>
    </row>
    <row r="368">
      <c r="C368" s="90"/>
      <c r="D368" s="91"/>
      <c r="E368" s="92"/>
      <c r="F368" s="93"/>
    </row>
    <row r="369">
      <c r="C369" s="90"/>
      <c r="D369" s="91"/>
      <c r="E369" s="92"/>
      <c r="F369" s="93"/>
    </row>
    <row r="370">
      <c r="C370" s="90"/>
      <c r="D370" s="91"/>
      <c r="E370" s="92"/>
      <c r="F370" s="93"/>
    </row>
    <row r="371">
      <c r="C371" s="90"/>
      <c r="D371" s="91"/>
      <c r="E371" s="92"/>
      <c r="F371" s="93"/>
    </row>
    <row r="372">
      <c r="C372" s="90"/>
      <c r="D372" s="91"/>
      <c r="E372" s="92"/>
      <c r="F372" s="93"/>
    </row>
    <row r="373">
      <c r="C373" s="90"/>
      <c r="D373" s="91"/>
      <c r="E373" s="92"/>
      <c r="F373" s="93"/>
    </row>
    <row r="374">
      <c r="C374" s="90"/>
      <c r="D374" s="91"/>
      <c r="E374" s="92"/>
      <c r="F374" s="93"/>
    </row>
    <row r="375">
      <c r="C375" s="90"/>
      <c r="D375" s="91"/>
      <c r="E375" s="92"/>
      <c r="F375" s="93"/>
    </row>
    <row r="376">
      <c r="C376" s="90"/>
      <c r="D376" s="91"/>
      <c r="E376" s="92"/>
      <c r="F376" s="93"/>
    </row>
    <row r="377">
      <c r="C377" s="90"/>
      <c r="D377" s="91"/>
      <c r="E377" s="92"/>
      <c r="F377" s="93"/>
    </row>
    <row r="378">
      <c r="C378" s="90"/>
      <c r="D378" s="91"/>
      <c r="E378" s="92"/>
      <c r="F378" s="93"/>
    </row>
    <row r="379">
      <c r="C379" s="90"/>
      <c r="D379" s="91"/>
      <c r="E379" s="92"/>
      <c r="F379" s="93"/>
    </row>
    <row r="380">
      <c r="C380" s="90"/>
      <c r="D380" s="91"/>
      <c r="E380" s="92"/>
      <c r="F380" s="93"/>
    </row>
    <row r="381">
      <c r="C381" s="90"/>
      <c r="D381" s="91"/>
      <c r="E381" s="92"/>
      <c r="F381" s="93"/>
    </row>
    <row r="382">
      <c r="C382" s="90"/>
      <c r="D382" s="91"/>
      <c r="E382" s="92"/>
      <c r="F382" s="93"/>
    </row>
    <row r="383">
      <c r="C383" s="90"/>
      <c r="D383" s="91"/>
      <c r="E383" s="92"/>
      <c r="F383" s="93"/>
    </row>
    <row r="384">
      <c r="C384" s="90"/>
      <c r="D384" s="91"/>
      <c r="E384" s="92"/>
      <c r="F384" s="93"/>
    </row>
    <row r="385">
      <c r="C385" s="90"/>
      <c r="D385" s="91"/>
      <c r="E385" s="92"/>
      <c r="F385" s="93"/>
    </row>
    <row r="386">
      <c r="C386" s="90"/>
      <c r="D386" s="91"/>
      <c r="E386" s="92"/>
      <c r="F386" s="93"/>
    </row>
    <row r="387">
      <c r="C387" s="90"/>
      <c r="D387" s="91"/>
      <c r="E387" s="92"/>
      <c r="F387" s="93"/>
    </row>
    <row r="388">
      <c r="C388" s="90"/>
      <c r="D388" s="91"/>
      <c r="E388" s="92"/>
      <c r="F388" s="93"/>
    </row>
    <row r="389">
      <c r="C389" s="90"/>
      <c r="D389" s="91"/>
      <c r="E389" s="92"/>
      <c r="F389" s="93"/>
    </row>
    <row r="390">
      <c r="C390" s="90"/>
      <c r="D390" s="91"/>
      <c r="E390" s="92"/>
      <c r="F390" s="93"/>
    </row>
    <row r="391">
      <c r="C391" s="90"/>
      <c r="D391" s="91"/>
      <c r="E391" s="92"/>
      <c r="F391" s="93"/>
    </row>
    <row r="392">
      <c r="C392" s="90"/>
      <c r="D392" s="91"/>
      <c r="E392" s="92"/>
      <c r="F392" s="93"/>
    </row>
    <row r="393">
      <c r="C393" s="90"/>
      <c r="D393" s="91"/>
      <c r="E393" s="92"/>
      <c r="F393" s="93"/>
    </row>
    <row r="394">
      <c r="C394" s="90"/>
      <c r="D394" s="91"/>
      <c r="E394" s="92"/>
      <c r="F394" s="93"/>
    </row>
    <row r="395">
      <c r="C395" s="90"/>
      <c r="D395" s="91"/>
      <c r="E395" s="92"/>
      <c r="F395" s="93"/>
    </row>
    <row r="396">
      <c r="C396" s="90"/>
      <c r="D396" s="91"/>
      <c r="E396" s="92"/>
      <c r="F396" s="93"/>
    </row>
    <row r="397">
      <c r="C397" s="90"/>
      <c r="D397" s="91"/>
      <c r="E397" s="92"/>
      <c r="F397" s="93"/>
    </row>
    <row r="398">
      <c r="C398" s="90"/>
      <c r="D398" s="91"/>
      <c r="E398" s="92"/>
      <c r="F398" s="93"/>
    </row>
    <row r="399">
      <c r="C399" s="90"/>
      <c r="D399" s="91"/>
      <c r="E399" s="92"/>
      <c r="F399" s="93"/>
    </row>
    <row r="400">
      <c r="C400" s="90"/>
      <c r="D400" s="91"/>
      <c r="E400" s="92"/>
      <c r="F400" s="93"/>
    </row>
    <row r="401">
      <c r="C401" s="90"/>
      <c r="D401" s="91"/>
      <c r="E401" s="92"/>
      <c r="F401" s="93"/>
    </row>
    <row r="402">
      <c r="C402" s="90"/>
      <c r="D402" s="91"/>
      <c r="E402" s="92"/>
      <c r="F402" s="93"/>
    </row>
    <row r="403">
      <c r="C403" s="90"/>
      <c r="D403" s="91"/>
      <c r="E403" s="92"/>
      <c r="F403" s="93"/>
    </row>
    <row r="404">
      <c r="C404" s="90"/>
      <c r="D404" s="91"/>
      <c r="E404" s="92"/>
      <c r="F404" s="93"/>
    </row>
    <row r="405">
      <c r="C405" s="90"/>
      <c r="D405" s="91"/>
      <c r="E405" s="92"/>
      <c r="F405" s="93"/>
    </row>
    <row r="406">
      <c r="C406" s="90"/>
      <c r="D406" s="91"/>
      <c r="E406" s="92"/>
      <c r="F406" s="93"/>
    </row>
    <row r="407">
      <c r="C407" s="90"/>
      <c r="D407" s="91"/>
      <c r="E407" s="92"/>
      <c r="F407" s="93"/>
    </row>
    <row r="408">
      <c r="C408" s="90"/>
      <c r="D408" s="91"/>
      <c r="E408" s="92"/>
      <c r="F408" s="93"/>
    </row>
    <row r="409">
      <c r="C409" s="90"/>
      <c r="D409" s="91"/>
      <c r="E409" s="92"/>
      <c r="F409" s="93"/>
    </row>
    <row r="410">
      <c r="C410" s="90"/>
      <c r="D410" s="91"/>
      <c r="E410" s="92"/>
      <c r="F410" s="93"/>
    </row>
    <row r="411">
      <c r="C411" s="90"/>
      <c r="D411" s="91"/>
      <c r="E411" s="92"/>
      <c r="F411" s="93"/>
    </row>
    <row r="412">
      <c r="C412" s="90"/>
      <c r="D412" s="91"/>
      <c r="E412" s="92"/>
      <c r="F412" s="93"/>
    </row>
    <row r="413">
      <c r="C413" s="90"/>
      <c r="D413" s="91"/>
      <c r="E413" s="92"/>
      <c r="F413" s="93"/>
    </row>
    <row r="414">
      <c r="C414" s="90"/>
      <c r="D414" s="91"/>
      <c r="E414" s="92"/>
      <c r="F414" s="93"/>
    </row>
    <row r="415">
      <c r="C415" s="90"/>
      <c r="D415" s="91"/>
      <c r="E415" s="92"/>
      <c r="F415" s="93"/>
    </row>
    <row r="416">
      <c r="C416" s="90"/>
      <c r="D416" s="91"/>
      <c r="E416" s="92"/>
      <c r="F416" s="93"/>
    </row>
    <row r="417">
      <c r="C417" s="90"/>
      <c r="D417" s="91"/>
      <c r="E417" s="92"/>
      <c r="F417" s="93"/>
    </row>
    <row r="418">
      <c r="C418" s="90"/>
      <c r="D418" s="91"/>
      <c r="E418" s="92"/>
      <c r="F418" s="93"/>
    </row>
    <row r="419">
      <c r="C419" s="90"/>
      <c r="D419" s="91"/>
      <c r="E419" s="92"/>
      <c r="F419" s="93"/>
    </row>
    <row r="420">
      <c r="C420" s="90"/>
      <c r="D420" s="91"/>
      <c r="E420" s="92"/>
      <c r="F420" s="93"/>
    </row>
    <row r="421">
      <c r="C421" s="90"/>
      <c r="D421" s="91"/>
      <c r="E421" s="92"/>
      <c r="F421" s="93"/>
    </row>
    <row r="422">
      <c r="C422" s="90"/>
      <c r="D422" s="91"/>
      <c r="E422" s="92"/>
      <c r="F422" s="93"/>
    </row>
    <row r="423">
      <c r="C423" s="90"/>
      <c r="D423" s="91"/>
      <c r="E423" s="92"/>
      <c r="F423" s="93"/>
    </row>
    <row r="424">
      <c r="C424" s="90"/>
      <c r="D424" s="91"/>
      <c r="E424" s="92"/>
      <c r="F424" s="93"/>
    </row>
    <row r="425">
      <c r="C425" s="90"/>
      <c r="D425" s="91"/>
      <c r="E425" s="92"/>
      <c r="F425" s="93"/>
    </row>
    <row r="426">
      <c r="C426" s="90"/>
      <c r="D426" s="91"/>
      <c r="E426" s="92"/>
      <c r="F426" s="93"/>
    </row>
    <row r="427">
      <c r="C427" s="90"/>
      <c r="D427" s="91"/>
      <c r="E427" s="92"/>
      <c r="F427" s="93"/>
    </row>
    <row r="428">
      <c r="C428" s="90"/>
      <c r="D428" s="91"/>
      <c r="E428" s="92"/>
      <c r="F428" s="93"/>
    </row>
    <row r="429">
      <c r="C429" s="90"/>
      <c r="D429" s="91"/>
      <c r="E429" s="92"/>
      <c r="F429" s="93"/>
    </row>
    <row r="430">
      <c r="C430" s="90"/>
      <c r="D430" s="91"/>
      <c r="E430" s="92"/>
      <c r="F430" s="93"/>
    </row>
    <row r="431">
      <c r="C431" s="90"/>
      <c r="D431" s="91"/>
      <c r="E431" s="92"/>
      <c r="F431" s="93"/>
    </row>
    <row r="432">
      <c r="C432" s="90"/>
      <c r="D432" s="91"/>
      <c r="E432" s="92"/>
      <c r="F432" s="93"/>
    </row>
    <row r="433">
      <c r="C433" s="90"/>
      <c r="D433" s="91"/>
      <c r="E433" s="92"/>
      <c r="F433" s="93"/>
    </row>
    <row r="434">
      <c r="C434" s="90"/>
      <c r="D434" s="91"/>
      <c r="E434" s="92"/>
      <c r="F434" s="93"/>
    </row>
    <row r="435">
      <c r="C435" s="90"/>
      <c r="D435" s="91"/>
      <c r="E435" s="92"/>
      <c r="F435" s="93"/>
    </row>
    <row r="436">
      <c r="C436" s="90"/>
      <c r="D436" s="91"/>
      <c r="E436" s="92"/>
      <c r="F436" s="93"/>
    </row>
    <row r="437">
      <c r="C437" s="90"/>
      <c r="D437" s="91"/>
      <c r="E437" s="92"/>
      <c r="F437" s="93"/>
    </row>
    <row r="438">
      <c r="C438" s="90"/>
      <c r="D438" s="91"/>
      <c r="E438" s="92"/>
      <c r="F438" s="93"/>
    </row>
    <row r="439">
      <c r="C439" s="90"/>
      <c r="D439" s="91"/>
      <c r="E439" s="92"/>
      <c r="F439" s="93"/>
    </row>
    <row r="440">
      <c r="C440" s="90"/>
      <c r="D440" s="91"/>
      <c r="E440" s="92"/>
      <c r="F440" s="93"/>
    </row>
    <row r="441">
      <c r="C441" s="90"/>
      <c r="D441" s="91"/>
      <c r="E441" s="92"/>
      <c r="F441" s="93"/>
    </row>
    <row r="442">
      <c r="C442" s="90"/>
      <c r="D442" s="91"/>
      <c r="E442" s="92"/>
      <c r="F442" s="93"/>
    </row>
    <row r="443">
      <c r="C443" s="90"/>
      <c r="D443" s="91"/>
      <c r="E443" s="92"/>
      <c r="F443" s="93"/>
    </row>
    <row r="444">
      <c r="C444" s="90"/>
      <c r="D444" s="91"/>
      <c r="E444" s="92"/>
      <c r="F444" s="93"/>
    </row>
    <row r="445">
      <c r="C445" s="90"/>
      <c r="D445" s="91"/>
      <c r="E445" s="92"/>
      <c r="F445" s="93"/>
    </row>
    <row r="446">
      <c r="C446" s="90"/>
      <c r="D446" s="91"/>
      <c r="E446" s="92"/>
      <c r="F446" s="93"/>
    </row>
    <row r="447">
      <c r="C447" s="90"/>
      <c r="D447" s="91"/>
      <c r="E447" s="92"/>
      <c r="F447" s="93"/>
    </row>
    <row r="448">
      <c r="C448" s="90"/>
      <c r="D448" s="91"/>
      <c r="E448" s="92"/>
      <c r="F448" s="93"/>
    </row>
    <row r="449">
      <c r="C449" s="90"/>
      <c r="D449" s="91"/>
      <c r="E449" s="92"/>
      <c r="F449" s="93"/>
    </row>
    <row r="450">
      <c r="C450" s="90"/>
      <c r="D450" s="91"/>
      <c r="E450" s="92"/>
      <c r="F450" s="93"/>
    </row>
    <row r="451">
      <c r="C451" s="90"/>
      <c r="D451" s="91"/>
      <c r="E451" s="92"/>
      <c r="F451" s="93"/>
    </row>
    <row r="452">
      <c r="C452" s="90"/>
      <c r="D452" s="91"/>
      <c r="E452" s="92"/>
      <c r="F452" s="93"/>
    </row>
    <row r="453">
      <c r="C453" s="90"/>
      <c r="D453" s="91"/>
      <c r="E453" s="92"/>
      <c r="F453" s="93"/>
    </row>
    <row r="454">
      <c r="C454" s="90"/>
      <c r="D454" s="91"/>
      <c r="E454" s="92"/>
      <c r="F454" s="93"/>
    </row>
    <row r="455">
      <c r="C455" s="90"/>
      <c r="D455" s="91"/>
      <c r="E455" s="92"/>
      <c r="F455" s="93"/>
    </row>
    <row r="456">
      <c r="C456" s="90"/>
      <c r="D456" s="91"/>
      <c r="E456" s="92"/>
      <c r="F456" s="93"/>
    </row>
    <row r="457">
      <c r="C457" s="90"/>
      <c r="D457" s="91"/>
      <c r="E457" s="92"/>
      <c r="F457" s="93"/>
    </row>
    <row r="458">
      <c r="C458" s="90"/>
      <c r="D458" s="91"/>
      <c r="E458" s="92"/>
      <c r="F458" s="93"/>
    </row>
    <row r="459">
      <c r="C459" s="90"/>
      <c r="D459" s="91"/>
      <c r="E459" s="92"/>
      <c r="F459" s="93"/>
    </row>
    <row r="460">
      <c r="C460" s="90"/>
      <c r="D460" s="91"/>
      <c r="E460" s="92"/>
      <c r="F460" s="93"/>
    </row>
    <row r="461">
      <c r="C461" s="90"/>
      <c r="D461" s="91"/>
      <c r="E461" s="92"/>
      <c r="F461" s="93"/>
    </row>
    <row r="462">
      <c r="C462" s="90"/>
      <c r="D462" s="91"/>
      <c r="E462" s="92"/>
      <c r="F462" s="93"/>
    </row>
    <row r="463">
      <c r="C463" s="90"/>
      <c r="D463" s="91"/>
      <c r="E463" s="92"/>
      <c r="F463" s="93"/>
    </row>
    <row r="464">
      <c r="C464" s="90"/>
      <c r="D464" s="91"/>
      <c r="E464" s="92"/>
      <c r="F464" s="93"/>
    </row>
    <row r="465">
      <c r="C465" s="90"/>
      <c r="D465" s="91"/>
      <c r="E465" s="92"/>
      <c r="F465" s="93"/>
    </row>
    <row r="466">
      <c r="C466" s="90"/>
      <c r="D466" s="91"/>
      <c r="E466" s="92"/>
      <c r="F466" s="93"/>
    </row>
    <row r="467">
      <c r="C467" s="90"/>
      <c r="D467" s="91"/>
      <c r="E467" s="92"/>
      <c r="F467" s="93"/>
    </row>
    <row r="468">
      <c r="C468" s="90"/>
      <c r="D468" s="91"/>
      <c r="E468" s="92"/>
      <c r="F468" s="93"/>
    </row>
    <row r="469">
      <c r="C469" s="90"/>
      <c r="D469" s="91"/>
      <c r="E469" s="92"/>
      <c r="F469" s="93"/>
    </row>
    <row r="470">
      <c r="C470" s="90"/>
      <c r="D470" s="91"/>
      <c r="E470" s="92"/>
      <c r="F470" s="93"/>
    </row>
    <row r="471">
      <c r="C471" s="90"/>
      <c r="D471" s="91"/>
      <c r="E471" s="92"/>
      <c r="F471" s="93"/>
    </row>
    <row r="472">
      <c r="C472" s="90"/>
      <c r="D472" s="91"/>
      <c r="E472" s="92"/>
      <c r="F472" s="93"/>
    </row>
    <row r="473">
      <c r="C473" s="90"/>
      <c r="D473" s="91"/>
      <c r="E473" s="92"/>
      <c r="F473" s="93"/>
    </row>
    <row r="474">
      <c r="C474" s="90"/>
      <c r="D474" s="91"/>
      <c r="E474" s="92"/>
      <c r="F474" s="93"/>
    </row>
    <row r="475">
      <c r="C475" s="90"/>
      <c r="D475" s="91"/>
      <c r="E475" s="92"/>
      <c r="F475" s="93"/>
    </row>
    <row r="476">
      <c r="C476" s="90"/>
      <c r="D476" s="91"/>
      <c r="E476" s="92"/>
      <c r="F476" s="93"/>
    </row>
    <row r="477">
      <c r="C477" s="90"/>
      <c r="D477" s="91"/>
      <c r="E477" s="92"/>
      <c r="F477" s="93"/>
    </row>
    <row r="478">
      <c r="C478" s="90"/>
      <c r="D478" s="91"/>
      <c r="E478" s="92"/>
      <c r="F478" s="93"/>
    </row>
    <row r="479">
      <c r="C479" s="90"/>
      <c r="D479" s="91"/>
      <c r="E479" s="92"/>
      <c r="F479" s="93"/>
    </row>
    <row r="480">
      <c r="C480" s="90"/>
      <c r="D480" s="91"/>
      <c r="E480" s="92"/>
      <c r="F480" s="93"/>
    </row>
    <row r="481">
      <c r="C481" s="90"/>
      <c r="D481" s="91"/>
      <c r="E481" s="92"/>
      <c r="F481" s="93"/>
    </row>
    <row r="482">
      <c r="C482" s="90"/>
      <c r="D482" s="91"/>
      <c r="E482" s="92"/>
      <c r="F482" s="93"/>
    </row>
    <row r="483">
      <c r="C483" s="90"/>
      <c r="D483" s="91"/>
      <c r="E483" s="92"/>
      <c r="F483" s="93"/>
    </row>
    <row r="484">
      <c r="C484" s="90"/>
      <c r="D484" s="91"/>
      <c r="E484" s="92"/>
      <c r="F484" s="93"/>
    </row>
    <row r="485">
      <c r="C485" s="90"/>
      <c r="D485" s="91"/>
      <c r="E485" s="92"/>
      <c r="F485" s="93"/>
    </row>
    <row r="486">
      <c r="C486" s="90"/>
      <c r="D486" s="91"/>
      <c r="E486" s="92"/>
      <c r="F486" s="93"/>
    </row>
    <row r="487">
      <c r="C487" s="90"/>
      <c r="D487" s="91"/>
      <c r="E487" s="92"/>
      <c r="F487" s="93"/>
    </row>
    <row r="488">
      <c r="C488" s="90"/>
      <c r="D488" s="91"/>
      <c r="E488" s="92"/>
      <c r="F488" s="93"/>
    </row>
    <row r="489">
      <c r="C489" s="90"/>
      <c r="D489" s="91"/>
      <c r="E489" s="92"/>
      <c r="F489" s="93"/>
    </row>
    <row r="490">
      <c r="C490" s="90"/>
      <c r="D490" s="91"/>
      <c r="E490" s="92"/>
      <c r="F490" s="93"/>
    </row>
    <row r="491">
      <c r="C491" s="90"/>
      <c r="D491" s="91"/>
      <c r="E491" s="92"/>
      <c r="F491" s="93"/>
    </row>
    <row r="492">
      <c r="C492" s="90"/>
      <c r="D492" s="91"/>
      <c r="E492" s="92"/>
      <c r="F492" s="93"/>
    </row>
    <row r="493">
      <c r="C493" s="90"/>
      <c r="D493" s="91"/>
      <c r="E493" s="92"/>
      <c r="F493" s="93"/>
    </row>
    <row r="494">
      <c r="C494" s="90"/>
      <c r="D494" s="91"/>
      <c r="E494" s="92"/>
      <c r="F494" s="93"/>
    </row>
    <row r="495">
      <c r="C495" s="90"/>
      <c r="D495" s="91"/>
      <c r="E495" s="92"/>
      <c r="F495" s="93"/>
    </row>
    <row r="496">
      <c r="C496" s="90"/>
      <c r="D496" s="91"/>
      <c r="E496" s="92"/>
      <c r="F496" s="93"/>
    </row>
    <row r="497">
      <c r="C497" s="90"/>
      <c r="D497" s="91"/>
      <c r="E497" s="92"/>
      <c r="F497" s="93"/>
    </row>
    <row r="498">
      <c r="C498" s="90"/>
      <c r="D498" s="91"/>
      <c r="E498" s="92"/>
      <c r="F498" s="93"/>
    </row>
    <row r="499">
      <c r="C499" s="90"/>
      <c r="D499" s="91"/>
      <c r="E499" s="92"/>
      <c r="F499" s="93"/>
    </row>
    <row r="500">
      <c r="C500" s="90"/>
      <c r="D500" s="91"/>
      <c r="E500" s="92"/>
      <c r="F500" s="93"/>
    </row>
    <row r="501">
      <c r="C501" s="90"/>
      <c r="D501" s="91"/>
      <c r="E501" s="92"/>
      <c r="F501" s="93"/>
    </row>
    <row r="502">
      <c r="C502" s="90"/>
      <c r="D502" s="91"/>
      <c r="E502" s="92"/>
      <c r="F502" s="93"/>
    </row>
    <row r="503">
      <c r="C503" s="90"/>
      <c r="D503" s="91"/>
      <c r="E503" s="92"/>
      <c r="F503" s="93"/>
    </row>
    <row r="504">
      <c r="C504" s="90"/>
      <c r="D504" s="91"/>
      <c r="E504" s="92"/>
      <c r="F504" s="93"/>
    </row>
    <row r="505">
      <c r="C505" s="90"/>
      <c r="D505" s="91"/>
      <c r="E505" s="92"/>
      <c r="F505" s="93"/>
    </row>
    <row r="506">
      <c r="C506" s="90"/>
      <c r="D506" s="91"/>
      <c r="E506" s="92"/>
      <c r="F506" s="93"/>
    </row>
    <row r="507">
      <c r="C507" s="90"/>
      <c r="D507" s="91"/>
      <c r="E507" s="92"/>
      <c r="F507" s="93"/>
    </row>
    <row r="508">
      <c r="C508" s="90"/>
      <c r="D508" s="91"/>
      <c r="E508" s="92"/>
      <c r="F508" s="93"/>
    </row>
    <row r="509">
      <c r="C509" s="90"/>
      <c r="D509" s="91"/>
      <c r="E509" s="92"/>
      <c r="F509" s="93"/>
    </row>
    <row r="510">
      <c r="C510" s="90"/>
      <c r="D510" s="91"/>
      <c r="E510" s="92"/>
      <c r="F510" s="93"/>
    </row>
    <row r="511">
      <c r="C511" s="90"/>
      <c r="D511" s="91"/>
      <c r="E511" s="92"/>
      <c r="F511" s="93"/>
    </row>
    <row r="512">
      <c r="C512" s="90"/>
      <c r="D512" s="91"/>
      <c r="E512" s="92"/>
      <c r="F512" s="93"/>
    </row>
    <row r="513">
      <c r="C513" s="90"/>
      <c r="D513" s="91"/>
      <c r="E513" s="92"/>
      <c r="F513" s="93"/>
    </row>
    <row r="514">
      <c r="C514" s="90"/>
      <c r="D514" s="91"/>
      <c r="E514" s="92"/>
      <c r="F514" s="93"/>
    </row>
    <row r="515">
      <c r="C515" s="90"/>
      <c r="D515" s="91"/>
      <c r="E515" s="92"/>
      <c r="F515" s="93"/>
    </row>
    <row r="516">
      <c r="C516" s="90"/>
      <c r="D516" s="91"/>
      <c r="E516" s="92"/>
      <c r="F516" s="93"/>
    </row>
    <row r="517">
      <c r="C517" s="90"/>
      <c r="D517" s="91"/>
      <c r="E517" s="92"/>
      <c r="F517" s="93"/>
    </row>
    <row r="518">
      <c r="C518" s="90"/>
      <c r="D518" s="91"/>
      <c r="E518" s="92"/>
      <c r="F518" s="93"/>
    </row>
    <row r="519">
      <c r="C519" s="90"/>
      <c r="D519" s="91"/>
      <c r="E519" s="92"/>
      <c r="F519" s="93"/>
    </row>
    <row r="520">
      <c r="C520" s="90"/>
      <c r="D520" s="91"/>
      <c r="E520" s="92"/>
      <c r="F520" s="93"/>
    </row>
    <row r="521">
      <c r="C521" s="90"/>
      <c r="D521" s="91"/>
      <c r="E521" s="92"/>
      <c r="F521" s="93"/>
    </row>
    <row r="522">
      <c r="C522" s="90"/>
      <c r="D522" s="91"/>
      <c r="E522" s="92"/>
      <c r="F522" s="93"/>
    </row>
    <row r="523">
      <c r="C523" s="90"/>
      <c r="D523" s="91"/>
      <c r="E523" s="92"/>
      <c r="F523" s="93"/>
    </row>
    <row r="524">
      <c r="C524" s="90"/>
      <c r="D524" s="91"/>
      <c r="E524" s="92"/>
      <c r="F524" s="93"/>
    </row>
    <row r="525">
      <c r="C525" s="90"/>
      <c r="D525" s="91"/>
      <c r="E525" s="92"/>
      <c r="F525" s="93"/>
    </row>
    <row r="526">
      <c r="C526" s="90"/>
      <c r="D526" s="91"/>
      <c r="E526" s="92"/>
      <c r="F526" s="93"/>
    </row>
    <row r="527">
      <c r="C527" s="90"/>
      <c r="D527" s="91"/>
      <c r="E527" s="92"/>
      <c r="F527" s="93"/>
    </row>
    <row r="528">
      <c r="C528" s="90"/>
      <c r="D528" s="91"/>
      <c r="E528" s="92"/>
      <c r="F528" s="93"/>
    </row>
    <row r="529">
      <c r="C529" s="90"/>
      <c r="D529" s="91"/>
      <c r="E529" s="92"/>
      <c r="F529" s="93"/>
    </row>
    <row r="530">
      <c r="C530" s="90"/>
      <c r="D530" s="91"/>
      <c r="E530" s="92"/>
      <c r="F530" s="93"/>
    </row>
    <row r="531">
      <c r="C531" s="90"/>
      <c r="D531" s="91"/>
      <c r="E531" s="92"/>
      <c r="F531" s="93"/>
    </row>
    <row r="532">
      <c r="C532" s="90"/>
      <c r="D532" s="91"/>
      <c r="E532" s="92"/>
      <c r="F532" s="93"/>
    </row>
    <row r="533">
      <c r="C533" s="90"/>
      <c r="D533" s="91"/>
      <c r="E533" s="92"/>
      <c r="F533" s="93"/>
    </row>
    <row r="534">
      <c r="C534" s="90"/>
      <c r="D534" s="91"/>
      <c r="E534" s="92"/>
      <c r="F534" s="93"/>
    </row>
    <row r="535">
      <c r="C535" s="90"/>
      <c r="D535" s="91"/>
      <c r="E535" s="92"/>
      <c r="F535" s="93"/>
    </row>
    <row r="536">
      <c r="C536" s="90"/>
      <c r="D536" s="91"/>
      <c r="E536" s="92"/>
      <c r="F536" s="93"/>
    </row>
    <row r="537">
      <c r="C537" s="90"/>
      <c r="D537" s="91"/>
      <c r="E537" s="92"/>
      <c r="F537" s="93"/>
    </row>
    <row r="538">
      <c r="C538" s="90"/>
      <c r="D538" s="91"/>
      <c r="E538" s="92"/>
      <c r="F538" s="93"/>
    </row>
    <row r="539">
      <c r="C539" s="90"/>
      <c r="D539" s="91"/>
      <c r="E539" s="92"/>
      <c r="F539" s="93"/>
    </row>
    <row r="540">
      <c r="C540" s="90"/>
      <c r="D540" s="91"/>
      <c r="E540" s="92"/>
      <c r="F540" s="93"/>
    </row>
    <row r="541">
      <c r="C541" s="90"/>
      <c r="D541" s="91"/>
      <c r="E541" s="92"/>
      <c r="F541" s="93"/>
    </row>
    <row r="542">
      <c r="C542" s="90"/>
      <c r="D542" s="91"/>
      <c r="E542" s="92"/>
      <c r="F542" s="93"/>
    </row>
    <row r="543">
      <c r="C543" s="90"/>
      <c r="D543" s="91"/>
      <c r="E543" s="92"/>
      <c r="F543" s="93"/>
    </row>
    <row r="544">
      <c r="C544" s="90"/>
      <c r="D544" s="91"/>
      <c r="E544" s="92"/>
      <c r="F544" s="93"/>
    </row>
    <row r="545">
      <c r="C545" s="90"/>
      <c r="D545" s="91"/>
      <c r="E545" s="92"/>
      <c r="F545" s="93"/>
    </row>
    <row r="546">
      <c r="C546" s="90"/>
      <c r="D546" s="91"/>
      <c r="E546" s="92"/>
      <c r="F546" s="93"/>
    </row>
    <row r="547">
      <c r="C547" s="90"/>
      <c r="D547" s="91"/>
      <c r="E547" s="92"/>
      <c r="F547" s="93"/>
    </row>
    <row r="548">
      <c r="C548" s="90"/>
      <c r="D548" s="91"/>
      <c r="E548" s="92"/>
      <c r="F548" s="93"/>
    </row>
    <row r="549">
      <c r="C549" s="90"/>
      <c r="D549" s="91"/>
      <c r="E549" s="92"/>
      <c r="F549" s="93"/>
    </row>
    <row r="550">
      <c r="C550" s="90"/>
      <c r="D550" s="91"/>
      <c r="E550" s="92"/>
      <c r="F550" s="93"/>
    </row>
    <row r="551">
      <c r="C551" s="90"/>
      <c r="D551" s="91"/>
      <c r="E551" s="92"/>
      <c r="F551" s="93"/>
    </row>
    <row r="552">
      <c r="C552" s="90"/>
      <c r="D552" s="91"/>
      <c r="E552" s="92"/>
      <c r="F552" s="93"/>
    </row>
    <row r="553">
      <c r="C553" s="90"/>
      <c r="D553" s="91"/>
      <c r="E553" s="92"/>
      <c r="F553" s="93"/>
    </row>
    <row r="554">
      <c r="C554" s="90"/>
      <c r="D554" s="91"/>
      <c r="E554" s="92"/>
      <c r="F554" s="93"/>
    </row>
    <row r="555">
      <c r="C555" s="90"/>
      <c r="D555" s="91"/>
      <c r="E555" s="92"/>
      <c r="F555" s="93"/>
    </row>
    <row r="556">
      <c r="C556" s="90"/>
      <c r="D556" s="91"/>
      <c r="E556" s="92"/>
      <c r="F556" s="93"/>
    </row>
    <row r="557">
      <c r="C557" s="90"/>
      <c r="D557" s="91"/>
      <c r="E557" s="92"/>
      <c r="F557" s="93"/>
    </row>
    <row r="558">
      <c r="C558" s="90"/>
      <c r="D558" s="91"/>
      <c r="E558" s="92"/>
      <c r="F558" s="93"/>
    </row>
    <row r="559">
      <c r="C559" s="90"/>
      <c r="D559" s="91"/>
      <c r="E559" s="92"/>
      <c r="F559" s="93"/>
    </row>
    <row r="560">
      <c r="C560" s="90"/>
      <c r="D560" s="91"/>
      <c r="E560" s="92"/>
      <c r="F560" s="93"/>
    </row>
    <row r="561">
      <c r="C561" s="90"/>
      <c r="D561" s="91"/>
      <c r="E561" s="92"/>
      <c r="F561" s="93"/>
    </row>
    <row r="562">
      <c r="C562" s="90"/>
      <c r="D562" s="91"/>
      <c r="E562" s="92"/>
      <c r="F562" s="93"/>
    </row>
    <row r="563">
      <c r="C563" s="90"/>
      <c r="D563" s="91"/>
      <c r="E563" s="92"/>
      <c r="F563" s="93"/>
    </row>
    <row r="564">
      <c r="C564" s="90"/>
      <c r="D564" s="91"/>
      <c r="E564" s="92"/>
      <c r="F564" s="93"/>
    </row>
    <row r="565">
      <c r="C565" s="90"/>
      <c r="D565" s="91"/>
      <c r="E565" s="92"/>
      <c r="F565" s="93"/>
    </row>
    <row r="566">
      <c r="C566" s="90"/>
      <c r="D566" s="91"/>
      <c r="E566" s="92"/>
      <c r="F566" s="93"/>
    </row>
    <row r="567">
      <c r="C567" s="90"/>
      <c r="D567" s="91"/>
      <c r="E567" s="92"/>
      <c r="F567" s="93"/>
    </row>
    <row r="568">
      <c r="C568" s="90"/>
      <c r="D568" s="91"/>
      <c r="E568" s="92"/>
      <c r="F568" s="93"/>
    </row>
    <row r="569">
      <c r="C569" s="90"/>
      <c r="D569" s="91"/>
      <c r="E569" s="92"/>
      <c r="F569" s="93"/>
    </row>
    <row r="570">
      <c r="C570" s="90"/>
      <c r="D570" s="91"/>
      <c r="E570" s="92"/>
      <c r="F570" s="93"/>
    </row>
    <row r="571">
      <c r="C571" s="90"/>
      <c r="D571" s="91"/>
      <c r="E571" s="92"/>
      <c r="F571" s="93"/>
    </row>
    <row r="572">
      <c r="C572" s="90"/>
      <c r="D572" s="91"/>
      <c r="E572" s="92"/>
      <c r="F572" s="93"/>
    </row>
    <row r="573">
      <c r="C573" s="90"/>
      <c r="D573" s="91"/>
      <c r="E573" s="92"/>
      <c r="F573" s="93"/>
    </row>
    <row r="574">
      <c r="C574" s="90"/>
      <c r="D574" s="91"/>
      <c r="E574" s="92"/>
      <c r="F574" s="93"/>
    </row>
    <row r="575">
      <c r="C575" s="90"/>
      <c r="D575" s="91"/>
      <c r="E575" s="92"/>
      <c r="F575" s="93"/>
    </row>
    <row r="576">
      <c r="C576" s="90"/>
      <c r="D576" s="91"/>
      <c r="E576" s="92"/>
      <c r="F576" s="93"/>
    </row>
    <row r="577">
      <c r="C577" s="90"/>
      <c r="D577" s="91"/>
      <c r="E577" s="92"/>
      <c r="F577" s="93"/>
    </row>
    <row r="578">
      <c r="C578" s="90"/>
      <c r="D578" s="91"/>
      <c r="E578" s="92"/>
      <c r="F578" s="93"/>
    </row>
    <row r="579">
      <c r="C579" s="90"/>
      <c r="D579" s="91"/>
      <c r="E579" s="92"/>
      <c r="F579" s="93"/>
    </row>
    <row r="580">
      <c r="C580" s="90"/>
      <c r="D580" s="91"/>
      <c r="E580" s="92"/>
      <c r="F580" s="93"/>
    </row>
    <row r="581">
      <c r="C581" s="90"/>
      <c r="D581" s="91"/>
      <c r="E581" s="92"/>
      <c r="F581" s="93"/>
    </row>
    <row r="582">
      <c r="C582" s="90"/>
      <c r="D582" s="91"/>
      <c r="E582" s="92"/>
      <c r="F582" s="93"/>
    </row>
    <row r="583">
      <c r="C583" s="90"/>
      <c r="D583" s="91"/>
      <c r="E583" s="92"/>
      <c r="F583" s="93"/>
    </row>
    <row r="584">
      <c r="C584" s="90"/>
      <c r="D584" s="91"/>
      <c r="E584" s="92"/>
      <c r="F584" s="93"/>
    </row>
    <row r="585">
      <c r="C585" s="90"/>
      <c r="D585" s="91"/>
      <c r="E585" s="92"/>
      <c r="F585" s="93"/>
    </row>
    <row r="586">
      <c r="C586" s="90"/>
      <c r="D586" s="91"/>
      <c r="E586" s="92"/>
      <c r="F586" s="93"/>
    </row>
    <row r="587">
      <c r="C587" s="90"/>
      <c r="D587" s="91"/>
      <c r="E587" s="92"/>
      <c r="F587" s="93"/>
    </row>
    <row r="588">
      <c r="C588" s="90"/>
      <c r="D588" s="91"/>
      <c r="E588" s="92"/>
      <c r="F588" s="93"/>
    </row>
    <row r="589">
      <c r="C589" s="90"/>
      <c r="D589" s="91"/>
      <c r="E589" s="92"/>
      <c r="F589" s="93"/>
    </row>
    <row r="590">
      <c r="C590" s="90"/>
      <c r="D590" s="91"/>
      <c r="E590" s="92"/>
      <c r="F590" s="93"/>
    </row>
    <row r="591">
      <c r="C591" s="90"/>
      <c r="D591" s="91"/>
      <c r="E591" s="92"/>
      <c r="F591" s="93"/>
    </row>
    <row r="592">
      <c r="C592" s="90"/>
      <c r="D592" s="91"/>
      <c r="E592" s="92"/>
      <c r="F592" s="93"/>
    </row>
    <row r="593">
      <c r="C593" s="90"/>
      <c r="D593" s="91"/>
      <c r="E593" s="92"/>
      <c r="F593" s="93"/>
    </row>
    <row r="594">
      <c r="C594" s="90"/>
      <c r="D594" s="91"/>
      <c r="E594" s="92"/>
      <c r="F594" s="93"/>
    </row>
    <row r="595">
      <c r="C595" s="90"/>
      <c r="D595" s="91"/>
      <c r="E595" s="92"/>
      <c r="F595" s="93"/>
    </row>
    <row r="596">
      <c r="C596" s="90"/>
      <c r="D596" s="91"/>
      <c r="E596" s="92"/>
      <c r="F596" s="93"/>
    </row>
    <row r="597">
      <c r="C597" s="90"/>
      <c r="D597" s="91"/>
      <c r="E597" s="92"/>
      <c r="F597" s="93"/>
    </row>
    <row r="598">
      <c r="C598" s="90"/>
      <c r="D598" s="91"/>
      <c r="E598" s="92"/>
      <c r="F598" s="93"/>
    </row>
    <row r="599">
      <c r="C599" s="90"/>
      <c r="D599" s="91"/>
      <c r="E599" s="92"/>
      <c r="F599" s="93"/>
    </row>
    <row r="600">
      <c r="C600" s="90"/>
      <c r="D600" s="91"/>
      <c r="E600" s="92"/>
      <c r="F600" s="93"/>
    </row>
    <row r="601">
      <c r="C601" s="90"/>
      <c r="D601" s="91"/>
      <c r="E601" s="92"/>
      <c r="F601" s="93"/>
    </row>
    <row r="602">
      <c r="C602" s="90"/>
      <c r="D602" s="91"/>
      <c r="E602" s="92"/>
      <c r="F602" s="93"/>
    </row>
    <row r="603">
      <c r="C603" s="90"/>
      <c r="D603" s="91"/>
      <c r="E603" s="92"/>
      <c r="F603" s="93"/>
    </row>
    <row r="604">
      <c r="C604" s="90"/>
      <c r="D604" s="91"/>
      <c r="E604" s="92"/>
      <c r="F604" s="93"/>
    </row>
    <row r="605">
      <c r="C605" s="90"/>
      <c r="D605" s="91"/>
      <c r="E605" s="92"/>
      <c r="F605" s="93"/>
    </row>
    <row r="606">
      <c r="C606" s="90"/>
      <c r="D606" s="91"/>
      <c r="E606" s="92"/>
      <c r="F606" s="93"/>
    </row>
    <row r="607">
      <c r="C607" s="90"/>
      <c r="D607" s="91"/>
      <c r="E607" s="92"/>
      <c r="F607" s="93"/>
    </row>
    <row r="608">
      <c r="C608" s="90"/>
      <c r="D608" s="91"/>
      <c r="E608" s="92"/>
      <c r="F608" s="93"/>
    </row>
    <row r="609">
      <c r="C609" s="90"/>
      <c r="D609" s="91"/>
      <c r="E609" s="92"/>
      <c r="F609" s="93"/>
    </row>
    <row r="610">
      <c r="C610" s="90"/>
      <c r="D610" s="91"/>
      <c r="E610" s="92"/>
      <c r="F610" s="93"/>
    </row>
    <row r="611">
      <c r="C611" s="90"/>
      <c r="D611" s="91"/>
      <c r="E611" s="92"/>
      <c r="F611" s="93"/>
    </row>
    <row r="612">
      <c r="C612" s="90"/>
      <c r="D612" s="91"/>
      <c r="E612" s="92"/>
      <c r="F612" s="93"/>
    </row>
    <row r="613">
      <c r="C613" s="90"/>
      <c r="D613" s="91"/>
      <c r="E613" s="92"/>
      <c r="F613" s="93"/>
    </row>
    <row r="614">
      <c r="C614" s="90"/>
      <c r="D614" s="91"/>
      <c r="E614" s="92"/>
      <c r="F614" s="93"/>
    </row>
    <row r="615">
      <c r="C615" s="90"/>
      <c r="D615" s="91"/>
      <c r="E615" s="92"/>
      <c r="F615" s="93"/>
    </row>
    <row r="616">
      <c r="C616" s="90"/>
      <c r="D616" s="91"/>
      <c r="E616" s="92"/>
      <c r="F616" s="93"/>
    </row>
    <row r="617">
      <c r="C617" s="90"/>
      <c r="D617" s="91"/>
      <c r="E617" s="92"/>
      <c r="F617" s="93"/>
    </row>
    <row r="618">
      <c r="C618" s="90"/>
      <c r="D618" s="91"/>
      <c r="E618" s="92"/>
      <c r="F618" s="93"/>
    </row>
    <row r="619">
      <c r="C619" s="90"/>
      <c r="D619" s="91"/>
      <c r="E619" s="92"/>
      <c r="F619" s="93"/>
    </row>
    <row r="620">
      <c r="C620" s="90"/>
      <c r="D620" s="91"/>
      <c r="E620" s="92"/>
      <c r="F620" s="93"/>
    </row>
    <row r="621">
      <c r="C621" s="90"/>
      <c r="D621" s="91"/>
      <c r="E621" s="92"/>
      <c r="F621" s="93"/>
    </row>
    <row r="622">
      <c r="C622" s="90"/>
      <c r="D622" s="91"/>
      <c r="E622" s="92"/>
      <c r="F622" s="93"/>
    </row>
    <row r="623">
      <c r="C623" s="90"/>
      <c r="D623" s="91"/>
      <c r="E623" s="92"/>
      <c r="F623" s="93"/>
    </row>
    <row r="624">
      <c r="C624" s="90"/>
      <c r="D624" s="91"/>
      <c r="E624" s="92"/>
      <c r="F624" s="93"/>
    </row>
    <row r="625">
      <c r="C625" s="90"/>
      <c r="D625" s="91"/>
      <c r="E625" s="92"/>
      <c r="F625" s="93"/>
    </row>
    <row r="626">
      <c r="C626" s="90"/>
      <c r="D626" s="91"/>
      <c r="E626" s="92"/>
      <c r="F626" s="93"/>
    </row>
    <row r="627">
      <c r="C627" s="90"/>
      <c r="D627" s="91"/>
      <c r="E627" s="92"/>
      <c r="F627" s="93"/>
    </row>
    <row r="628">
      <c r="C628" s="90"/>
      <c r="D628" s="91"/>
      <c r="E628" s="92"/>
      <c r="F628" s="93"/>
    </row>
    <row r="629">
      <c r="C629" s="90"/>
      <c r="D629" s="91"/>
      <c r="E629" s="92"/>
      <c r="F629" s="93"/>
    </row>
    <row r="630">
      <c r="C630" s="90"/>
      <c r="D630" s="91"/>
      <c r="E630" s="92"/>
      <c r="F630" s="93"/>
    </row>
    <row r="631">
      <c r="C631" s="90"/>
      <c r="D631" s="91"/>
      <c r="E631" s="92"/>
      <c r="F631" s="93"/>
    </row>
    <row r="632">
      <c r="C632" s="90"/>
      <c r="D632" s="91"/>
      <c r="E632" s="92"/>
      <c r="F632" s="93"/>
    </row>
    <row r="633">
      <c r="C633" s="90"/>
      <c r="D633" s="91"/>
      <c r="E633" s="92"/>
      <c r="F633" s="93"/>
    </row>
    <row r="634">
      <c r="C634" s="90"/>
      <c r="D634" s="91"/>
      <c r="E634" s="92"/>
      <c r="F634" s="93"/>
    </row>
    <row r="635">
      <c r="C635" s="90"/>
      <c r="D635" s="91"/>
      <c r="E635" s="92"/>
      <c r="F635" s="93"/>
    </row>
    <row r="636">
      <c r="C636" s="90"/>
      <c r="D636" s="91"/>
      <c r="E636" s="92"/>
      <c r="F636" s="93"/>
    </row>
    <row r="637">
      <c r="C637" s="90"/>
      <c r="D637" s="91"/>
      <c r="E637" s="92"/>
      <c r="F637" s="93"/>
    </row>
    <row r="638">
      <c r="C638" s="90"/>
      <c r="D638" s="91"/>
      <c r="E638" s="92"/>
      <c r="F638" s="93"/>
    </row>
    <row r="639">
      <c r="C639" s="90"/>
      <c r="D639" s="91"/>
      <c r="E639" s="92"/>
      <c r="F639" s="93"/>
    </row>
    <row r="640">
      <c r="C640" s="90"/>
      <c r="D640" s="91"/>
      <c r="E640" s="92"/>
      <c r="F640" s="93"/>
    </row>
    <row r="641">
      <c r="C641" s="90"/>
      <c r="D641" s="91"/>
      <c r="E641" s="92"/>
      <c r="F641" s="93"/>
    </row>
    <row r="642">
      <c r="C642" s="90"/>
      <c r="D642" s="91"/>
      <c r="E642" s="92"/>
      <c r="F642" s="93"/>
    </row>
    <row r="643">
      <c r="C643" s="90"/>
      <c r="D643" s="91"/>
      <c r="E643" s="92"/>
      <c r="F643" s="93"/>
    </row>
    <row r="644">
      <c r="C644" s="90"/>
      <c r="D644" s="91"/>
      <c r="E644" s="92"/>
      <c r="F644" s="93"/>
    </row>
    <row r="645">
      <c r="C645" s="90"/>
      <c r="D645" s="91"/>
      <c r="E645" s="92"/>
      <c r="F645" s="93"/>
    </row>
    <row r="646">
      <c r="C646" s="90"/>
      <c r="D646" s="91"/>
      <c r="E646" s="92"/>
      <c r="F646" s="93"/>
    </row>
    <row r="647">
      <c r="C647" s="90"/>
      <c r="D647" s="91"/>
      <c r="E647" s="92"/>
      <c r="F647" s="93"/>
    </row>
    <row r="648">
      <c r="C648" s="90"/>
      <c r="D648" s="91"/>
      <c r="E648" s="92"/>
      <c r="F648" s="93"/>
    </row>
    <row r="649">
      <c r="C649" s="90"/>
      <c r="D649" s="91"/>
      <c r="E649" s="92"/>
      <c r="F649" s="93"/>
    </row>
    <row r="650">
      <c r="C650" s="90"/>
      <c r="D650" s="91"/>
      <c r="E650" s="92"/>
      <c r="F650" s="93"/>
    </row>
    <row r="651">
      <c r="C651" s="90"/>
      <c r="D651" s="91"/>
      <c r="E651" s="92"/>
      <c r="F651" s="93"/>
    </row>
    <row r="652">
      <c r="C652" s="90"/>
      <c r="D652" s="91"/>
      <c r="E652" s="92"/>
      <c r="F652" s="93"/>
    </row>
    <row r="653">
      <c r="C653" s="90"/>
      <c r="D653" s="91"/>
      <c r="E653" s="92"/>
      <c r="F653" s="93"/>
    </row>
    <row r="654">
      <c r="C654" s="90"/>
      <c r="D654" s="91"/>
      <c r="E654" s="92"/>
      <c r="F654" s="93"/>
    </row>
    <row r="655">
      <c r="C655" s="90"/>
      <c r="D655" s="91"/>
      <c r="E655" s="92"/>
      <c r="F655" s="93"/>
    </row>
    <row r="656">
      <c r="C656" s="90"/>
      <c r="D656" s="91"/>
      <c r="E656" s="92"/>
      <c r="F656" s="93"/>
    </row>
    <row r="657">
      <c r="C657" s="90"/>
      <c r="D657" s="91"/>
      <c r="E657" s="92"/>
      <c r="F657" s="93"/>
    </row>
    <row r="658">
      <c r="C658" s="90"/>
      <c r="D658" s="91"/>
      <c r="E658" s="92"/>
      <c r="F658" s="93"/>
    </row>
    <row r="659">
      <c r="C659" s="90"/>
      <c r="D659" s="91"/>
      <c r="E659" s="92"/>
      <c r="F659" s="93"/>
    </row>
    <row r="660">
      <c r="C660" s="90"/>
      <c r="D660" s="91"/>
      <c r="E660" s="92"/>
      <c r="F660" s="93"/>
    </row>
    <row r="661">
      <c r="C661" s="90"/>
      <c r="D661" s="91"/>
      <c r="E661" s="92"/>
      <c r="F661" s="93"/>
    </row>
    <row r="662">
      <c r="C662" s="90"/>
      <c r="D662" s="91"/>
      <c r="E662" s="92"/>
      <c r="F662" s="93"/>
    </row>
    <row r="663">
      <c r="C663" s="90"/>
      <c r="D663" s="91"/>
      <c r="E663" s="92"/>
      <c r="F663" s="93"/>
    </row>
    <row r="664">
      <c r="C664" s="90"/>
      <c r="D664" s="91"/>
      <c r="E664" s="92"/>
      <c r="F664" s="93"/>
    </row>
    <row r="665">
      <c r="C665" s="90"/>
      <c r="D665" s="91"/>
      <c r="E665" s="92"/>
      <c r="F665" s="93"/>
    </row>
    <row r="666">
      <c r="C666" s="90"/>
      <c r="D666" s="91"/>
      <c r="E666" s="92"/>
      <c r="F666" s="93"/>
    </row>
    <row r="667">
      <c r="C667" s="90"/>
      <c r="D667" s="91"/>
      <c r="E667" s="92"/>
      <c r="F667" s="93"/>
    </row>
    <row r="668">
      <c r="C668" s="90"/>
      <c r="D668" s="91"/>
      <c r="E668" s="92"/>
      <c r="F668" s="93"/>
    </row>
    <row r="669">
      <c r="C669" s="90"/>
      <c r="D669" s="91"/>
      <c r="E669" s="92"/>
      <c r="F669" s="93"/>
    </row>
    <row r="670">
      <c r="C670" s="90"/>
      <c r="D670" s="91"/>
      <c r="E670" s="92"/>
      <c r="F670" s="93"/>
    </row>
    <row r="671">
      <c r="C671" s="90"/>
      <c r="D671" s="91"/>
      <c r="E671" s="92"/>
      <c r="F671" s="93"/>
    </row>
    <row r="672">
      <c r="C672" s="90"/>
      <c r="D672" s="91"/>
      <c r="E672" s="92"/>
      <c r="F672" s="93"/>
    </row>
    <row r="673">
      <c r="C673" s="90"/>
      <c r="D673" s="91"/>
      <c r="E673" s="92"/>
      <c r="F673" s="93"/>
    </row>
    <row r="674">
      <c r="C674" s="90"/>
      <c r="D674" s="91"/>
      <c r="E674" s="92"/>
      <c r="F674" s="93"/>
    </row>
    <row r="675">
      <c r="C675" s="90"/>
      <c r="D675" s="91"/>
      <c r="E675" s="92"/>
      <c r="F675" s="93"/>
    </row>
    <row r="676">
      <c r="C676" s="90"/>
      <c r="D676" s="91"/>
      <c r="E676" s="92"/>
      <c r="F676" s="93"/>
    </row>
    <row r="677">
      <c r="C677" s="90"/>
      <c r="D677" s="91"/>
      <c r="E677" s="92"/>
      <c r="F677" s="93"/>
    </row>
    <row r="678">
      <c r="C678" s="90"/>
      <c r="D678" s="91"/>
      <c r="E678" s="92"/>
      <c r="F678" s="93"/>
    </row>
    <row r="679">
      <c r="C679" s="90"/>
      <c r="D679" s="91"/>
      <c r="E679" s="92"/>
      <c r="F679" s="93"/>
    </row>
    <row r="680">
      <c r="C680" s="90"/>
      <c r="D680" s="91"/>
      <c r="E680" s="92"/>
      <c r="F680" s="93"/>
    </row>
    <row r="681">
      <c r="C681" s="90"/>
      <c r="D681" s="91"/>
      <c r="E681" s="92"/>
      <c r="F681" s="93"/>
    </row>
    <row r="682">
      <c r="C682" s="90"/>
      <c r="D682" s="91"/>
      <c r="E682" s="92"/>
      <c r="F682" s="93"/>
    </row>
    <row r="683">
      <c r="C683" s="90"/>
      <c r="D683" s="91"/>
      <c r="E683" s="92"/>
      <c r="F683" s="93"/>
    </row>
    <row r="684">
      <c r="C684" s="90"/>
      <c r="D684" s="91"/>
      <c r="E684" s="92"/>
      <c r="F684" s="93"/>
    </row>
    <row r="685">
      <c r="C685" s="90"/>
      <c r="D685" s="91"/>
      <c r="E685" s="92"/>
      <c r="F685" s="93"/>
    </row>
    <row r="686">
      <c r="C686" s="90"/>
      <c r="D686" s="91"/>
      <c r="E686" s="92"/>
      <c r="F686" s="93"/>
    </row>
    <row r="687">
      <c r="C687" s="90"/>
      <c r="D687" s="91"/>
      <c r="E687" s="92"/>
      <c r="F687" s="93"/>
    </row>
    <row r="688">
      <c r="C688" s="90"/>
      <c r="D688" s="91"/>
      <c r="E688" s="92"/>
      <c r="F688" s="93"/>
    </row>
    <row r="689">
      <c r="C689" s="90"/>
      <c r="D689" s="91"/>
      <c r="E689" s="92"/>
      <c r="F689" s="93"/>
    </row>
    <row r="690">
      <c r="C690" s="90"/>
      <c r="D690" s="91"/>
      <c r="E690" s="92"/>
      <c r="F690" s="93"/>
    </row>
    <row r="691">
      <c r="C691" s="90"/>
      <c r="D691" s="91"/>
      <c r="E691" s="92"/>
      <c r="F691" s="93"/>
    </row>
    <row r="692">
      <c r="C692" s="90"/>
      <c r="D692" s="91"/>
      <c r="E692" s="92"/>
      <c r="F692" s="93"/>
    </row>
    <row r="693">
      <c r="C693" s="90"/>
      <c r="D693" s="91"/>
      <c r="E693" s="92"/>
      <c r="F693" s="93"/>
    </row>
    <row r="694">
      <c r="C694" s="90"/>
      <c r="D694" s="91"/>
      <c r="E694" s="92"/>
      <c r="F694" s="93"/>
    </row>
    <row r="695">
      <c r="C695" s="90"/>
      <c r="D695" s="91"/>
      <c r="E695" s="92"/>
      <c r="F695" s="93"/>
    </row>
    <row r="696">
      <c r="C696" s="90"/>
      <c r="D696" s="91"/>
      <c r="E696" s="92"/>
      <c r="F696" s="93"/>
    </row>
    <row r="697">
      <c r="C697" s="90"/>
      <c r="D697" s="91"/>
      <c r="E697" s="92"/>
      <c r="F697" s="93"/>
    </row>
    <row r="698">
      <c r="C698" s="90"/>
      <c r="D698" s="91"/>
      <c r="E698" s="92"/>
      <c r="F698" s="93"/>
    </row>
    <row r="699">
      <c r="C699" s="90"/>
      <c r="D699" s="91"/>
      <c r="E699" s="92"/>
      <c r="F699" s="93"/>
    </row>
    <row r="700">
      <c r="C700" s="90"/>
      <c r="D700" s="91"/>
      <c r="E700" s="92"/>
      <c r="F700" s="93"/>
    </row>
    <row r="701">
      <c r="C701" s="90"/>
      <c r="D701" s="91"/>
      <c r="E701" s="92"/>
      <c r="F701" s="93"/>
    </row>
    <row r="702">
      <c r="C702" s="90"/>
      <c r="D702" s="91"/>
      <c r="E702" s="92"/>
      <c r="F702" s="93"/>
    </row>
    <row r="703">
      <c r="C703" s="90"/>
      <c r="D703" s="91"/>
      <c r="E703" s="92"/>
      <c r="F703" s="93"/>
    </row>
    <row r="704">
      <c r="C704" s="90"/>
      <c r="D704" s="91"/>
      <c r="E704" s="92"/>
      <c r="F704" s="93"/>
    </row>
    <row r="705">
      <c r="C705" s="90"/>
      <c r="D705" s="91"/>
      <c r="E705" s="92"/>
      <c r="F705" s="93"/>
    </row>
    <row r="706">
      <c r="C706" s="90"/>
      <c r="D706" s="91"/>
      <c r="E706" s="92"/>
      <c r="F706" s="93"/>
    </row>
    <row r="707">
      <c r="C707" s="90"/>
      <c r="D707" s="91"/>
      <c r="E707" s="92"/>
      <c r="F707" s="93"/>
    </row>
    <row r="708">
      <c r="C708" s="90"/>
      <c r="D708" s="91"/>
      <c r="E708" s="92"/>
      <c r="F708" s="93"/>
    </row>
    <row r="709">
      <c r="C709" s="90"/>
      <c r="D709" s="91"/>
      <c r="E709" s="92"/>
      <c r="F709" s="93"/>
    </row>
    <row r="710">
      <c r="C710" s="90"/>
      <c r="D710" s="91"/>
      <c r="E710" s="92"/>
      <c r="F710" s="93"/>
    </row>
    <row r="711">
      <c r="C711" s="90"/>
      <c r="D711" s="91"/>
      <c r="E711" s="92"/>
      <c r="F711" s="93"/>
    </row>
    <row r="712">
      <c r="C712" s="90"/>
      <c r="D712" s="91"/>
      <c r="E712" s="92"/>
      <c r="F712" s="93"/>
    </row>
    <row r="713">
      <c r="C713" s="90"/>
      <c r="D713" s="91"/>
      <c r="E713" s="92"/>
      <c r="F713" s="93"/>
    </row>
    <row r="714">
      <c r="C714" s="90"/>
      <c r="D714" s="91"/>
      <c r="E714" s="92"/>
      <c r="F714" s="93"/>
    </row>
    <row r="715">
      <c r="C715" s="90"/>
      <c r="D715" s="91"/>
      <c r="E715" s="92"/>
      <c r="F715" s="93"/>
    </row>
    <row r="716">
      <c r="C716" s="90"/>
      <c r="D716" s="91"/>
      <c r="E716" s="92"/>
      <c r="F716" s="93"/>
    </row>
    <row r="717">
      <c r="C717" s="90"/>
      <c r="D717" s="91"/>
      <c r="E717" s="92"/>
      <c r="F717" s="93"/>
    </row>
    <row r="718">
      <c r="C718" s="90"/>
      <c r="D718" s="91"/>
      <c r="E718" s="92"/>
      <c r="F718" s="93"/>
    </row>
    <row r="719">
      <c r="C719" s="90"/>
      <c r="D719" s="91"/>
      <c r="E719" s="92"/>
      <c r="F719" s="93"/>
    </row>
    <row r="720">
      <c r="C720" s="90"/>
      <c r="D720" s="91"/>
      <c r="E720" s="92"/>
      <c r="F720" s="93"/>
    </row>
    <row r="721">
      <c r="C721" s="90"/>
      <c r="D721" s="91"/>
      <c r="E721" s="92"/>
      <c r="F721" s="93"/>
    </row>
    <row r="722">
      <c r="C722" s="90"/>
      <c r="D722" s="91"/>
      <c r="E722" s="92"/>
      <c r="F722" s="93"/>
    </row>
    <row r="723">
      <c r="C723" s="90"/>
      <c r="D723" s="91"/>
      <c r="E723" s="92"/>
      <c r="F723" s="93"/>
    </row>
    <row r="724">
      <c r="C724" s="90"/>
      <c r="D724" s="91"/>
      <c r="E724" s="92"/>
      <c r="F724" s="93"/>
    </row>
    <row r="725">
      <c r="C725" s="90"/>
      <c r="D725" s="91"/>
      <c r="E725" s="92"/>
      <c r="F725" s="93"/>
    </row>
    <row r="726">
      <c r="C726" s="90"/>
      <c r="D726" s="91"/>
      <c r="E726" s="92"/>
      <c r="F726" s="93"/>
    </row>
    <row r="727">
      <c r="C727" s="90"/>
      <c r="D727" s="91"/>
      <c r="E727" s="92"/>
      <c r="F727" s="93"/>
    </row>
    <row r="728">
      <c r="C728" s="90"/>
      <c r="D728" s="91"/>
      <c r="E728" s="92"/>
      <c r="F728" s="93"/>
    </row>
    <row r="729">
      <c r="C729" s="90"/>
      <c r="D729" s="91"/>
      <c r="E729" s="92"/>
      <c r="F729" s="93"/>
    </row>
    <row r="730">
      <c r="C730" s="90"/>
      <c r="D730" s="91"/>
      <c r="E730" s="92"/>
      <c r="F730" s="93"/>
    </row>
    <row r="731">
      <c r="C731" s="90"/>
      <c r="D731" s="91"/>
      <c r="E731" s="92"/>
      <c r="F731" s="93"/>
    </row>
    <row r="732">
      <c r="C732" s="90"/>
      <c r="D732" s="91"/>
      <c r="E732" s="92"/>
      <c r="F732" s="93"/>
    </row>
    <row r="733">
      <c r="C733" s="90"/>
      <c r="D733" s="91"/>
      <c r="E733" s="92"/>
      <c r="F733" s="93"/>
    </row>
    <row r="734">
      <c r="C734" s="90"/>
      <c r="D734" s="91"/>
      <c r="E734" s="92"/>
      <c r="F734" s="93"/>
    </row>
    <row r="735">
      <c r="C735" s="90"/>
      <c r="D735" s="91"/>
      <c r="E735" s="92"/>
      <c r="F735" s="93"/>
    </row>
    <row r="736">
      <c r="C736" s="90"/>
      <c r="D736" s="91"/>
      <c r="E736" s="92"/>
      <c r="F736" s="93"/>
    </row>
    <row r="737">
      <c r="C737" s="90"/>
      <c r="D737" s="91"/>
      <c r="E737" s="92"/>
      <c r="F737" s="93"/>
    </row>
    <row r="738">
      <c r="C738" s="90"/>
      <c r="D738" s="91"/>
      <c r="E738" s="92"/>
      <c r="F738" s="93"/>
    </row>
    <row r="739">
      <c r="C739" s="90"/>
      <c r="D739" s="91"/>
      <c r="E739" s="92"/>
      <c r="F739" s="93"/>
    </row>
    <row r="740">
      <c r="C740" s="90"/>
      <c r="D740" s="91"/>
      <c r="E740" s="92"/>
      <c r="F740" s="93"/>
    </row>
    <row r="741">
      <c r="C741" s="90"/>
      <c r="D741" s="91"/>
      <c r="E741" s="92"/>
      <c r="F741" s="93"/>
    </row>
    <row r="742">
      <c r="C742" s="90"/>
      <c r="D742" s="91"/>
      <c r="E742" s="92"/>
      <c r="F742" s="93"/>
    </row>
    <row r="743">
      <c r="C743" s="90"/>
      <c r="D743" s="91"/>
      <c r="E743" s="92"/>
      <c r="F743" s="93"/>
    </row>
    <row r="744">
      <c r="C744" s="90"/>
      <c r="D744" s="91"/>
      <c r="E744" s="92"/>
      <c r="F744" s="93"/>
    </row>
    <row r="745">
      <c r="C745" s="90"/>
      <c r="D745" s="91"/>
      <c r="E745" s="92"/>
      <c r="F745" s="93"/>
    </row>
    <row r="746">
      <c r="C746" s="90"/>
      <c r="D746" s="91"/>
      <c r="E746" s="92"/>
      <c r="F746" s="93"/>
    </row>
    <row r="747">
      <c r="C747" s="90"/>
      <c r="D747" s="91"/>
      <c r="E747" s="92"/>
      <c r="F747" s="93"/>
    </row>
    <row r="748">
      <c r="C748" s="90"/>
      <c r="D748" s="91"/>
      <c r="E748" s="92"/>
      <c r="F748" s="93"/>
    </row>
    <row r="749">
      <c r="C749" s="90"/>
      <c r="D749" s="91"/>
      <c r="E749" s="92"/>
      <c r="F749" s="93"/>
    </row>
    <row r="750">
      <c r="C750" s="90"/>
      <c r="D750" s="91"/>
      <c r="E750" s="92"/>
      <c r="F750" s="93"/>
    </row>
    <row r="751">
      <c r="C751" s="90"/>
      <c r="D751" s="91"/>
      <c r="E751" s="92"/>
      <c r="F751" s="93"/>
    </row>
    <row r="752">
      <c r="C752" s="90"/>
      <c r="D752" s="91"/>
      <c r="E752" s="92"/>
      <c r="F752" s="93"/>
    </row>
    <row r="753">
      <c r="C753" s="90"/>
      <c r="D753" s="91"/>
      <c r="E753" s="92"/>
      <c r="F753" s="93"/>
    </row>
    <row r="754">
      <c r="C754" s="90"/>
      <c r="D754" s="91"/>
      <c r="E754" s="92"/>
      <c r="F754" s="93"/>
    </row>
    <row r="755">
      <c r="C755" s="90"/>
      <c r="D755" s="91"/>
      <c r="E755" s="92"/>
      <c r="F755" s="93"/>
    </row>
    <row r="756">
      <c r="C756" s="90"/>
      <c r="D756" s="91"/>
      <c r="E756" s="92"/>
      <c r="F756" s="93"/>
    </row>
    <row r="757">
      <c r="C757" s="90"/>
      <c r="D757" s="91"/>
      <c r="E757" s="92"/>
      <c r="F757" s="93"/>
    </row>
    <row r="758">
      <c r="C758" s="90"/>
      <c r="D758" s="91"/>
      <c r="E758" s="92"/>
      <c r="F758" s="93"/>
    </row>
    <row r="759">
      <c r="C759" s="90"/>
      <c r="D759" s="91"/>
      <c r="E759" s="92"/>
      <c r="F759" s="93"/>
    </row>
    <row r="760">
      <c r="C760" s="90"/>
      <c r="D760" s="91"/>
      <c r="E760" s="92"/>
      <c r="F760" s="93"/>
    </row>
    <row r="761">
      <c r="C761" s="90"/>
      <c r="D761" s="91"/>
      <c r="E761" s="92"/>
      <c r="F761" s="93"/>
    </row>
    <row r="762">
      <c r="C762" s="90"/>
      <c r="D762" s="91"/>
      <c r="E762" s="92"/>
      <c r="F762" s="93"/>
    </row>
    <row r="763">
      <c r="C763" s="90"/>
      <c r="D763" s="91"/>
      <c r="E763" s="92"/>
      <c r="F763" s="93"/>
    </row>
    <row r="764">
      <c r="C764" s="90"/>
      <c r="D764" s="91"/>
      <c r="E764" s="92"/>
      <c r="F764" s="93"/>
    </row>
    <row r="765">
      <c r="C765" s="90"/>
      <c r="D765" s="91"/>
      <c r="E765" s="92"/>
      <c r="F765" s="93"/>
    </row>
    <row r="766">
      <c r="C766" s="90"/>
      <c r="D766" s="91"/>
      <c r="E766" s="92"/>
      <c r="F766" s="93"/>
    </row>
    <row r="767">
      <c r="C767" s="90"/>
      <c r="D767" s="91"/>
      <c r="E767" s="92"/>
      <c r="F767" s="93"/>
    </row>
    <row r="768">
      <c r="C768" s="90"/>
      <c r="D768" s="91"/>
      <c r="E768" s="92"/>
      <c r="F768" s="93"/>
    </row>
    <row r="769">
      <c r="C769" s="90"/>
      <c r="D769" s="91"/>
      <c r="E769" s="92"/>
      <c r="F769" s="93"/>
    </row>
    <row r="770">
      <c r="C770" s="90"/>
      <c r="D770" s="91"/>
      <c r="E770" s="92"/>
      <c r="F770" s="93"/>
    </row>
    <row r="771">
      <c r="C771" s="90"/>
      <c r="D771" s="91"/>
      <c r="E771" s="92"/>
      <c r="F771" s="93"/>
    </row>
    <row r="772">
      <c r="C772" s="90"/>
      <c r="D772" s="91"/>
      <c r="E772" s="92"/>
      <c r="F772" s="93"/>
    </row>
    <row r="773">
      <c r="C773" s="90"/>
      <c r="D773" s="91"/>
      <c r="E773" s="92"/>
      <c r="F773" s="93"/>
    </row>
    <row r="774">
      <c r="C774" s="90"/>
      <c r="D774" s="91"/>
      <c r="E774" s="92"/>
      <c r="F774" s="93"/>
    </row>
    <row r="775">
      <c r="C775" s="90"/>
      <c r="D775" s="91"/>
      <c r="E775" s="92"/>
      <c r="F775" s="93"/>
    </row>
    <row r="776">
      <c r="C776" s="90"/>
      <c r="D776" s="91"/>
      <c r="E776" s="92"/>
      <c r="F776" s="93"/>
    </row>
    <row r="777">
      <c r="C777" s="90"/>
      <c r="D777" s="91"/>
      <c r="E777" s="92"/>
      <c r="F777" s="93"/>
    </row>
    <row r="778">
      <c r="C778" s="90"/>
      <c r="D778" s="91"/>
      <c r="E778" s="92"/>
      <c r="F778" s="93"/>
    </row>
    <row r="779">
      <c r="C779" s="90"/>
      <c r="D779" s="91"/>
      <c r="E779" s="92"/>
      <c r="F779" s="93"/>
    </row>
    <row r="780">
      <c r="C780" s="90"/>
      <c r="D780" s="91"/>
      <c r="E780" s="92"/>
      <c r="F780" s="93"/>
    </row>
    <row r="781">
      <c r="C781" s="90"/>
      <c r="D781" s="91"/>
      <c r="E781" s="92"/>
      <c r="F781" s="93"/>
    </row>
    <row r="782">
      <c r="C782" s="90"/>
      <c r="D782" s="91"/>
      <c r="E782" s="92"/>
      <c r="F782" s="93"/>
    </row>
    <row r="783">
      <c r="C783" s="90"/>
      <c r="D783" s="91"/>
      <c r="E783" s="92"/>
      <c r="F783" s="93"/>
    </row>
    <row r="784">
      <c r="C784" s="90"/>
      <c r="D784" s="91"/>
      <c r="E784" s="92"/>
      <c r="F784" s="93"/>
    </row>
    <row r="785">
      <c r="C785" s="90"/>
      <c r="D785" s="91"/>
      <c r="E785" s="92"/>
      <c r="F785" s="93"/>
    </row>
    <row r="786">
      <c r="C786" s="90"/>
      <c r="D786" s="91"/>
      <c r="E786" s="92"/>
      <c r="F786" s="93"/>
    </row>
    <row r="787">
      <c r="C787" s="90"/>
      <c r="D787" s="91"/>
      <c r="E787" s="92"/>
      <c r="F787" s="93"/>
    </row>
    <row r="788">
      <c r="C788" s="90"/>
      <c r="D788" s="91"/>
      <c r="E788" s="92"/>
      <c r="F788" s="93"/>
    </row>
    <row r="789">
      <c r="C789" s="90"/>
      <c r="D789" s="91"/>
      <c r="E789" s="92"/>
      <c r="F789" s="93"/>
    </row>
    <row r="790">
      <c r="C790" s="90"/>
      <c r="D790" s="91"/>
      <c r="E790" s="92"/>
      <c r="F790" s="93"/>
    </row>
    <row r="791">
      <c r="C791" s="90"/>
      <c r="D791" s="91"/>
      <c r="E791" s="92"/>
      <c r="F791" s="93"/>
    </row>
    <row r="792">
      <c r="C792" s="90"/>
      <c r="D792" s="91"/>
      <c r="E792" s="92"/>
      <c r="F792" s="93"/>
    </row>
    <row r="793">
      <c r="C793" s="90"/>
      <c r="D793" s="91"/>
      <c r="E793" s="92"/>
      <c r="F793" s="93"/>
    </row>
    <row r="794">
      <c r="C794" s="90"/>
      <c r="D794" s="91"/>
      <c r="E794" s="92"/>
      <c r="F794" s="93"/>
    </row>
    <row r="795">
      <c r="C795" s="90"/>
      <c r="D795" s="91"/>
      <c r="E795" s="92"/>
      <c r="F795" s="93"/>
    </row>
    <row r="796">
      <c r="C796" s="90"/>
      <c r="D796" s="91"/>
      <c r="E796" s="92"/>
      <c r="F796" s="93"/>
    </row>
    <row r="797">
      <c r="C797" s="90"/>
      <c r="D797" s="91"/>
      <c r="E797" s="92"/>
      <c r="F797" s="93"/>
    </row>
    <row r="798">
      <c r="C798" s="90"/>
      <c r="D798" s="91"/>
      <c r="E798" s="92"/>
      <c r="F798" s="93"/>
    </row>
    <row r="799">
      <c r="C799" s="90"/>
      <c r="D799" s="91"/>
      <c r="E799" s="92"/>
      <c r="F799" s="93"/>
    </row>
    <row r="800">
      <c r="C800" s="90"/>
      <c r="D800" s="91"/>
      <c r="E800" s="92"/>
      <c r="F800" s="93"/>
    </row>
    <row r="801">
      <c r="C801" s="90"/>
      <c r="D801" s="91"/>
      <c r="E801" s="92"/>
      <c r="F801" s="93"/>
    </row>
    <row r="802">
      <c r="C802" s="90"/>
      <c r="D802" s="91"/>
      <c r="E802" s="92"/>
      <c r="F802" s="93"/>
    </row>
    <row r="803">
      <c r="C803" s="90"/>
      <c r="D803" s="91"/>
      <c r="E803" s="92"/>
      <c r="F803" s="93"/>
    </row>
    <row r="804">
      <c r="C804" s="90"/>
      <c r="D804" s="91"/>
      <c r="E804" s="92"/>
      <c r="F804" s="93"/>
    </row>
    <row r="805">
      <c r="C805" s="90"/>
      <c r="D805" s="91"/>
      <c r="E805" s="92"/>
      <c r="F805" s="93"/>
    </row>
    <row r="806">
      <c r="C806" s="90"/>
      <c r="D806" s="91"/>
      <c r="E806" s="92"/>
      <c r="F806" s="93"/>
    </row>
    <row r="807">
      <c r="C807" s="90"/>
      <c r="D807" s="91"/>
      <c r="E807" s="92"/>
      <c r="F807" s="93"/>
    </row>
    <row r="808">
      <c r="C808" s="90"/>
      <c r="D808" s="91"/>
      <c r="E808" s="92"/>
      <c r="F808" s="93"/>
    </row>
    <row r="809">
      <c r="C809" s="90"/>
      <c r="D809" s="91"/>
      <c r="E809" s="92"/>
      <c r="F809" s="93"/>
    </row>
    <row r="810">
      <c r="C810" s="90"/>
      <c r="D810" s="91"/>
      <c r="E810" s="92"/>
      <c r="F810" s="93"/>
    </row>
    <row r="811">
      <c r="C811" s="90"/>
      <c r="D811" s="91"/>
      <c r="E811" s="92"/>
      <c r="F811" s="93"/>
    </row>
    <row r="812">
      <c r="C812" s="90"/>
      <c r="D812" s="91"/>
      <c r="E812" s="92"/>
      <c r="F812" s="93"/>
    </row>
    <row r="813">
      <c r="C813" s="90"/>
      <c r="D813" s="91"/>
      <c r="E813" s="92"/>
      <c r="F813" s="93"/>
    </row>
    <row r="814">
      <c r="C814" s="90"/>
      <c r="D814" s="91"/>
      <c r="E814" s="92"/>
      <c r="F814" s="93"/>
    </row>
    <row r="815">
      <c r="C815" s="90"/>
      <c r="D815" s="91"/>
      <c r="E815" s="92"/>
      <c r="F815" s="93"/>
    </row>
    <row r="816">
      <c r="C816" s="90"/>
      <c r="D816" s="91"/>
      <c r="E816" s="92"/>
      <c r="F816" s="93"/>
    </row>
    <row r="817">
      <c r="C817" s="90"/>
      <c r="D817" s="91"/>
      <c r="E817" s="92"/>
      <c r="F817" s="93"/>
    </row>
    <row r="818">
      <c r="C818" s="90"/>
      <c r="D818" s="91"/>
      <c r="E818" s="92"/>
      <c r="F818" s="93"/>
    </row>
    <row r="819">
      <c r="C819" s="90"/>
      <c r="D819" s="91"/>
      <c r="E819" s="92"/>
      <c r="F819" s="93"/>
    </row>
    <row r="820">
      <c r="C820" s="90"/>
      <c r="D820" s="91"/>
      <c r="E820" s="92"/>
      <c r="F820" s="93"/>
    </row>
    <row r="821">
      <c r="C821" s="90"/>
      <c r="D821" s="91"/>
      <c r="E821" s="92"/>
      <c r="F821" s="93"/>
    </row>
    <row r="822">
      <c r="C822" s="90"/>
      <c r="D822" s="91"/>
      <c r="E822" s="92"/>
      <c r="F822" s="93"/>
    </row>
    <row r="823">
      <c r="C823" s="90"/>
      <c r="D823" s="91"/>
      <c r="E823" s="92"/>
      <c r="F823" s="93"/>
    </row>
    <row r="824">
      <c r="C824" s="90"/>
      <c r="D824" s="91"/>
      <c r="E824" s="92"/>
      <c r="F824" s="93"/>
    </row>
    <row r="825">
      <c r="C825" s="90"/>
      <c r="D825" s="91"/>
      <c r="E825" s="92"/>
      <c r="F825" s="93"/>
    </row>
    <row r="826">
      <c r="C826" s="90"/>
      <c r="D826" s="91"/>
      <c r="E826" s="92"/>
      <c r="F826" s="93"/>
    </row>
    <row r="827">
      <c r="C827" s="90"/>
      <c r="D827" s="91"/>
      <c r="E827" s="92"/>
      <c r="F827" s="93"/>
    </row>
    <row r="828">
      <c r="C828" s="90"/>
      <c r="D828" s="91"/>
      <c r="E828" s="92"/>
      <c r="F828" s="93"/>
    </row>
    <row r="829">
      <c r="C829" s="90"/>
      <c r="D829" s="91"/>
      <c r="E829" s="92"/>
      <c r="F829" s="93"/>
    </row>
    <row r="830">
      <c r="C830" s="90"/>
      <c r="D830" s="91"/>
      <c r="E830" s="92"/>
      <c r="F830" s="93"/>
    </row>
    <row r="831">
      <c r="C831" s="90"/>
      <c r="D831" s="91"/>
      <c r="E831" s="92"/>
      <c r="F831" s="93"/>
    </row>
    <row r="832">
      <c r="C832" s="90"/>
      <c r="D832" s="91"/>
      <c r="E832" s="92"/>
      <c r="F832" s="93"/>
    </row>
    <row r="833">
      <c r="C833" s="90"/>
      <c r="D833" s="91"/>
      <c r="E833" s="92"/>
      <c r="F833" s="93"/>
    </row>
    <row r="834">
      <c r="C834" s="90"/>
      <c r="D834" s="91"/>
      <c r="E834" s="92"/>
      <c r="F834" s="93"/>
    </row>
    <row r="835">
      <c r="C835" s="90"/>
      <c r="D835" s="91"/>
      <c r="E835" s="92"/>
      <c r="F835" s="93"/>
    </row>
    <row r="836">
      <c r="C836" s="90"/>
      <c r="D836" s="91"/>
      <c r="E836" s="92"/>
      <c r="F836" s="93"/>
    </row>
    <row r="837">
      <c r="C837" s="90"/>
      <c r="D837" s="91"/>
      <c r="E837" s="92"/>
      <c r="F837" s="93"/>
    </row>
    <row r="838">
      <c r="C838" s="90"/>
      <c r="D838" s="91"/>
      <c r="E838" s="92"/>
      <c r="F838" s="93"/>
    </row>
    <row r="839">
      <c r="C839" s="90"/>
      <c r="D839" s="91"/>
      <c r="E839" s="92"/>
      <c r="F839" s="93"/>
    </row>
    <row r="840">
      <c r="C840" s="90"/>
      <c r="D840" s="91"/>
      <c r="E840" s="92"/>
      <c r="F840" s="93"/>
    </row>
    <row r="841">
      <c r="C841" s="90"/>
      <c r="D841" s="91"/>
      <c r="E841" s="92"/>
      <c r="F841" s="93"/>
    </row>
    <row r="842">
      <c r="C842" s="90"/>
      <c r="D842" s="91"/>
      <c r="E842" s="92"/>
      <c r="F842" s="93"/>
    </row>
    <row r="843">
      <c r="C843" s="90"/>
      <c r="D843" s="91"/>
      <c r="E843" s="92"/>
      <c r="F843" s="93"/>
    </row>
    <row r="844">
      <c r="C844" s="90"/>
      <c r="D844" s="91"/>
      <c r="E844" s="92"/>
      <c r="F844" s="93"/>
    </row>
    <row r="845">
      <c r="C845" s="90"/>
      <c r="D845" s="91"/>
      <c r="E845" s="92"/>
      <c r="F845" s="93"/>
    </row>
    <row r="846">
      <c r="C846" s="90"/>
      <c r="D846" s="91"/>
      <c r="E846" s="92"/>
      <c r="F846" s="93"/>
    </row>
    <row r="847">
      <c r="C847" s="90"/>
      <c r="D847" s="91"/>
      <c r="E847" s="92"/>
      <c r="F847" s="93"/>
    </row>
    <row r="848">
      <c r="C848" s="90"/>
      <c r="D848" s="91"/>
      <c r="E848" s="92"/>
      <c r="F848" s="93"/>
    </row>
    <row r="849">
      <c r="C849" s="90"/>
      <c r="D849" s="91"/>
      <c r="E849" s="92"/>
      <c r="F849" s="93"/>
    </row>
    <row r="850">
      <c r="C850" s="90"/>
      <c r="D850" s="91"/>
      <c r="E850" s="92"/>
      <c r="F850" s="93"/>
    </row>
    <row r="851">
      <c r="C851" s="90"/>
      <c r="D851" s="91"/>
      <c r="E851" s="92"/>
      <c r="F851" s="93"/>
    </row>
    <row r="852">
      <c r="C852" s="90"/>
      <c r="D852" s="91"/>
      <c r="E852" s="92"/>
      <c r="F852" s="93"/>
    </row>
    <row r="853">
      <c r="C853" s="90"/>
      <c r="D853" s="91"/>
      <c r="E853" s="92"/>
      <c r="F853" s="93"/>
    </row>
    <row r="854">
      <c r="C854" s="90"/>
      <c r="D854" s="91"/>
      <c r="E854" s="92"/>
      <c r="F854" s="93"/>
    </row>
    <row r="855">
      <c r="C855" s="90"/>
      <c r="D855" s="91"/>
      <c r="E855" s="92"/>
      <c r="F855" s="93"/>
    </row>
    <row r="856">
      <c r="C856" s="90"/>
      <c r="D856" s="91"/>
      <c r="E856" s="92"/>
      <c r="F856" s="93"/>
    </row>
    <row r="857">
      <c r="C857" s="90"/>
      <c r="D857" s="91"/>
      <c r="E857" s="92"/>
      <c r="F857" s="93"/>
    </row>
    <row r="858">
      <c r="C858" s="90"/>
      <c r="D858" s="91"/>
      <c r="E858" s="92"/>
      <c r="F858" s="93"/>
    </row>
    <row r="859">
      <c r="C859" s="90"/>
      <c r="D859" s="91"/>
      <c r="E859" s="92"/>
      <c r="F859" s="93"/>
    </row>
    <row r="860">
      <c r="C860" s="90"/>
      <c r="D860" s="91"/>
      <c r="E860" s="92"/>
      <c r="F860" s="93"/>
    </row>
    <row r="861">
      <c r="C861" s="90"/>
      <c r="D861" s="91"/>
      <c r="E861" s="92"/>
      <c r="F861" s="93"/>
    </row>
    <row r="862">
      <c r="C862" s="90"/>
      <c r="D862" s="91"/>
      <c r="E862" s="92"/>
      <c r="F862" s="93"/>
    </row>
    <row r="863">
      <c r="C863" s="90"/>
      <c r="D863" s="91"/>
      <c r="E863" s="92"/>
      <c r="F863" s="93"/>
    </row>
    <row r="864">
      <c r="C864" s="90"/>
      <c r="D864" s="91"/>
      <c r="E864" s="92"/>
      <c r="F864" s="93"/>
    </row>
    <row r="865">
      <c r="C865" s="90"/>
      <c r="D865" s="91"/>
      <c r="E865" s="92"/>
      <c r="F865" s="93"/>
    </row>
    <row r="866">
      <c r="C866" s="90"/>
      <c r="D866" s="91"/>
      <c r="E866" s="92"/>
      <c r="F866" s="93"/>
    </row>
    <row r="867">
      <c r="C867" s="90"/>
      <c r="D867" s="91"/>
      <c r="E867" s="92"/>
      <c r="F867" s="93"/>
    </row>
    <row r="868">
      <c r="C868" s="90"/>
      <c r="D868" s="91"/>
      <c r="E868" s="92"/>
      <c r="F868" s="93"/>
    </row>
    <row r="869">
      <c r="C869" s="90"/>
      <c r="D869" s="91"/>
      <c r="E869" s="92"/>
      <c r="F869" s="93"/>
    </row>
    <row r="870">
      <c r="C870" s="90"/>
      <c r="D870" s="91"/>
      <c r="E870" s="92"/>
      <c r="F870" s="93"/>
    </row>
    <row r="871">
      <c r="C871" s="90"/>
      <c r="D871" s="91"/>
      <c r="E871" s="92"/>
      <c r="F871" s="93"/>
    </row>
    <row r="872">
      <c r="C872" s="90"/>
      <c r="D872" s="91"/>
      <c r="E872" s="92"/>
      <c r="F872" s="93"/>
    </row>
    <row r="873">
      <c r="C873" s="90"/>
      <c r="D873" s="91"/>
      <c r="E873" s="92"/>
      <c r="F873" s="93"/>
    </row>
    <row r="874">
      <c r="C874" s="90"/>
      <c r="D874" s="91"/>
      <c r="E874" s="92"/>
      <c r="F874" s="93"/>
    </row>
    <row r="875">
      <c r="C875" s="90"/>
      <c r="D875" s="91"/>
      <c r="E875" s="92"/>
      <c r="F875" s="93"/>
    </row>
    <row r="876">
      <c r="C876" s="90"/>
      <c r="D876" s="91"/>
      <c r="E876" s="92"/>
      <c r="F876" s="93"/>
    </row>
    <row r="877">
      <c r="C877" s="90"/>
      <c r="D877" s="91"/>
      <c r="E877" s="92"/>
      <c r="F877" s="93"/>
    </row>
    <row r="878">
      <c r="C878" s="90"/>
      <c r="D878" s="91"/>
      <c r="E878" s="92"/>
      <c r="F878" s="93"/>
    </row>
    <row r="879">
      <c r="C879" s="90"/>
      <c r="D879" s="91"/>
      <c r="E879" s="92"/>
      <c r="F879" s="93"/>
    </row>
    <row r="880">
      <c r="C880" s="90"/>
      <c r="D880" s="91"/>
      <c r="E880" s="92"/>
      <c r="F880" s="93"/>
    </row>
    <row r="881">
      <c r="C881" s="90"/>
      <c r="D881" s="91"/>
      <c r="E881" s="92"/>
      <c r="F881" s="93"/>
    </row>
    <row r="882">
      <c r="C882" s="90"/>
      <c r="D882" s="91"/>
      <c r="E882" s="92"/>
      <c r="F882" s="93"/>
    </row>
    <row r="883">
      <c r="C883" s="90"/>
      <c r="D883" s="91"/>
      <c r="E883" s="92"/>
      <c r="F883" s="93"/>
    </row>
    <row r="884">
      <c r="C884" s="90"/>
      <c r="D884" s="91"/>
      <c r="E884" s="92"/>
      <c r="F884" s="93"/>
    </row>
    <row r="885">
      <c r="C885" s="90"/>
      <c r="D885" s="91"/>
      <c r="E885" s="92"/>
      <c r="F885" s="93"/>
    </row>
    <row r="886">
      <c r="C886" s="90"/>
      <c r="D886" s="91"/>
      <c r="E886" s="92"/>
      <c r="F886" s="93"/>
    </row>
    <row r="887">
      <c r="C887" s="90"/>
      <c r="D887" s="91"/>
      <c r="E887" s="92"/>
      <c r="F887" s="93"/>
    </row>
    <row r="888">
      <c r="C888" s="90"/>
      <c r="D888" s="91"/>
      <c r="E888" s="92"/>
      <c r="F888" s="93"/>
    </row>
    <row r="889">
      <c r="C889" s="90"/>
      <c r="D889" s="91"/>
      <c r="E889" s="92"/>
      <c r="F889" s="93"/>
    </row>
    <row r="890">
      <c r="C890" s="90"/>
      <c r="D890" s="91"/>
      <c r="E890" s="92"/>
      <c r="F890" s="93"/>
    </row>
    <row r="891">
      <c r="C891" s="90"/>
      <c r="D891" s="91"/>
      <c r="E891" s="92"/>
      <c r="F891" s="93"/>
    </row>
    <row r="892">
      <c r="C892" s="90"/>
      <c r="D892" s="91"/>
      <c r="E892" s="92"/>
      <c r="F892" s="93"/>
    </row>
    <row r="893">
      <c r="C893" s="90"/>
      <c r="D893" s="91"/>
      <c r="E893" s="92"/>
      <c r="F893" s="93"/>
    </row>
    <row r="894">
      <c r="C894" s="90"/>
      <c r="D894" s="91"/>
      <c r="E894" s="92"/>
      <c r="F894" s="93"/>
    </row>
    <row r="895">
      <c r="C895" s="90"/>
      <c r="D895" s="91"/>
      <c r="E895" s="92"/>
      <c r="F895" s="93"/>
    </row>
    <row r="896">
      <c r="C896" s="90"/>
      <c r="D896" s="91"/>
      <c r="E896" s="92"/>
      <c r="F896" s="93"/>
    </row>
    <row r="897">
      <c r="C897" s="90"/>
      <c r="D897" s="91"/>
      <c r="E897" s="92"/>
      <c r="F897" s="93"/>
    </row>
    <row r="898">
      <c r="C898" s="90"/>
      <c r="D898" s="91"/>
      <c r="E898" s="92"/>
      <c r="F898" s="93"/>
    </row>
    <row r="899">
      <c r="C899" s="90"/>
      <c r="D899" s="91"/>
      <c r="E899" s="92"/>
      <c r="F899" s="93"/>
    </row>
    <row r="900">
      <c r="C900" s="90"/>
      <c r="D900" s="91"/>
      <c r="E900" s="92"/>
      <c r="F900" s="93"/>
    </row>
    <row r="901">
      <c r="C901" s="90"/>
      <c r="D901" s="91"/>
      <c r="E901" s="92"/>
      <c r="F901" s="93"/>
    </row>
    <row r="902">
      <c r="C902" s="90"/>
      <c r="D902" s="91"/>
      <c r="E902" s="92"/>
      <c r="F902" s="93"/>
    </row>
    <row r="903">
      <c r="C903" s="90"/>
      <c r="D903" s="91"/>
      <c r="E903" s="92"/>
      <c r="F903" s="93"/>
    </row>
    <row r="904">
      <c r="C904" s="90"/>
      <c r="D904" s="91"/>
      <c r="E904" s="92"/>
      <c r="F904" s="93"/>
    </row>
    <row r="905">
      <c r="C905" s="90"/>
      <c r="D905" s="91"/>
      <c r="E905" s="92"/>
      <c r="F905" s="93"/>
    </row>
    <row r="906">
      <c r="C906" s="90"/>
      <c r="D906" s="91"/>
      <c r="E906" s="92"/>
      <c r="F906" s="93"/>
    </row>
    <row r="907">
      <c r="C907" s="90"/>
      <c r="D907" s="91"/>
      <c r="E907" s="92"/>
      <c r="F907" s="93"/>
    </row>
    <row r="908">
      <c r="C908" s="90"/>
      <c r="D908" s="91"/>
      <c r="E908" s="92"/>
      <c r="F908" s="93"/>
    </row>
    <row r="909">
      <c r="C909" s="90"/>
      <c r="D909" s="91"/>
      <c r="E909" s="92"/>
      <c r="F909" s="93"/>
    </row>
    <row r="910">
      <c r="C910" s="90"/>
      <c r="D910" s="91"/>
      <c r="E910" s="92"/>
      <c r="F910" s="93"/>
    </row>
    <row r="911">
      <c r="C911" s="90"/>
      <c r="D911" s="91"/>
      <c r="E911" s="92"/>
      <c r="F911" s="93"/>
    </row>
    <row r="912">
      <c r="C912" s="90"/>
      <c r="D912" s="91"/>
      <c r="E912" s="92"/>
      <c r="F912" s="93"/>
    </row>
    <row r="913">
      <c r="C913" s="90"/>
      <c r="D913" s="91"/>
      <c r="E913" s="92"/>
      <c r="F913" s="93"/>
    </row>
    <row r="914">
      <c r="C914" s="90"/>
      <c r="D914" s="91"/>
      <c r="E914" s="92"/>
      <c r="F914" s="93"/>
    </row>
    <row r="915">
      <c r="C915" s="90"/>
      <c r="D915" s="91"/>
      <c r="E915" s="92"/>
      <c r="F915" s="93"/>
    </row>
    <row r="916">
      <c r="C916" s="90"/>
      <c r="D916" s="91"/>
      <c r="E916" s="92"/>
      <c r="F916" s="93"/>
    </row>
    <row r="917">
      <c r="C917" s="90"/>
      <c r="D917" s="91"/>
      <c r="E917" s="92"/>
      <c r="F917" s="93"/>
    </row>
    <row r="918">
      <c r="C918" s="90"/>
      <c r="D918" s="91"/>
      <c r="E918" s="92"/>
      <c r="F918" s="93"/>
    </row>
    <row r="919">
      <c r="C919" s="90"/>
      <c r="D919" s="91"/>
      <c r="E919" s="92"/>
      <c r="F919" s="93"/>
    </row>
    <row r="920">
      <c r="C920" s="90"/>
      <c r="D920" s="91"/>
      <c r="E920" s="92"/>
      <c r="F920" s="93"/>
    </row>
    <row r="921">
      <c r="C921" s="90"/>
      <c r="D921" s="91"/>
      <c r="E921" s="92"/>
      <c r="F921" s="93"/>
    </row>
    <row r="922">
      <c r="C922" s="90"/>
      <c r="D922" s="91"/>
      <c r="E922" s="92"/>
      <c r="F922" s="93"/>
    </row>
    <row r="923">
      <c r="C923" s="90"/>
      <c r="D923" s="91"/>
      <c r="E923" s="92"/>
      <c r="F923" s="93"/>
    </row>
    <row r="924">
      <c r="C924" s="90"/>
      <c r="D924" s="91"/>
      <c r="E924" s="92"/>
      <c r="F924" s="93"/>
    </row>
    <row r="925">
      <c r="C925" s="90"/>
      <c r="D925" s="91"/>
      <c r="E925" s="92"/>
      <c r="F925" s="93"/>
    </row>
    <row r="926">
      <c r="C926" s="90"/>
      <c r="D926" s="91"/>
      <c r="E926" s="92"/>
      <c r="F926" s="93"/>
    </row>
    <row r="927">
      <c r="C927" s="90"/>
      <c r="D927" s="91"/>
      <c r="E927" s="92"/>
      <c r="F927" s="93"/>
    </row>
    <row r="928">
      <c r="C928" s="90"/>
      <c r="D928" s="91"/>
      <c r="E928" s="92"/>
      <c r="F928" s="93"/>
    </row>
    <row r="929">
      <c r="C929" s="90"/>
      <c r="D929" s="91"/>
      <c r="E929" s="92"/>
      <c r="F929" s="93"/>
    </row>
    <row r="930">
      <c r="C930" s="90"/>
      <c r="D930" s="91"/>
      <c r="E930" s="92"/>
      <c r="F930" s="93"/>
    </row>
    <row r="931">
      <c r="C931" s="90"/>
      <c r="D931" s="91"/>
      <c r="E931" s="92"/>
      <c r="F931" s="93"/>
    </row>
    <row r="932">
      <c r="C932" s="90"/>
      <c r="D932" s="91"/>
      <c r="E932" s="92"/>
      <c r="F932" s="93"/>
    </row>
    <row r="933">
      <c r="C933" s="90"/>
      <c r="D933" s="91"/>
      <c r="E933" s="92"/>
      <c r="F933" s="93"/>
    </row>
    <row r="934">
      <c r="C934" s="90"/>
      <c r="D934" s="91"/>
      <c r="E934" s="92"/>
      <c r="F934" s="93"/>
    </row>
    <row r="935">
      <c r="C935" s="90"/>
      <c r="D935" s="91"/>
      <c r="E935" s="92"/>
      <c r="F935" s="93"/>
    </row>
    <row r="936">
      <c r="C936" s="90"/>
      <c r="D936" s="91"/>
      <c r="E936" s="92"/>
      <c r="F936" s="93"/>
    </row>
    <row r="937">
      <c r="C937" s="90"/>
      <c r="D937" s="91"/>
      <c r="E937" s="92"/>
      <c r="F937" s="93"/>
    </row>
    <row r="938">
      <c r="C938" s="90"/>
      <c r="D938" s="91"/>
      <c r="E938" s="92"/>
      <c r="F938" s="93"/>
    </row>
    <row r="939">
      <c r="C939" s="90"/>
      <c r="D939" s="91"/>
      <c r="E939" s="92"/>
      <c r="F939" s="93"/>
    </row>
    <row r="940">
      <c r="C940" s="90"/>
      <c r="D940" s="91"/>
      <c r="E940" s="92"/>
      <c r="F940" s="93"/>
    </row>
    <row r="941">
      <c r="C941" s="90"/>
      <c r="D941" s="91"/>
      <c r="E941" s="92"/>
      <c r="F941" s="93"/>
    </row>
    <row r="942">
      <c r="C942" s="90"/>
      <c r="D942" s="91"/>
      <c r="E942" s="92"/>
      <c r="F942" s="93"/>
    </row>
    <row r="943">
      <c r="C943" s="90"/>
      <c r="D943" s="91"/>
      <c r="E943" s="92"/>
      <c r="F943" s="93"/>
    </row>
    <row r="944">
      <c r="C944" s="90"/>
      <c r="D944" s="91"/>
      <c r="E944" s="92"/>
      <c r="F944" s="93"/>
    </row>
    <row r="945">
      <c r="C945" s="90"/>
      <c r="D945" s="91"/>
      <c r="E945" s="92"/>
      <c r="F945" s="93"/>
    </row>
    <row r="946">
      <c r="C946" s="90"/>
      <c r="D946" s="91"/>
      <c r="E946" s="92"/>
      <c r="F946" s="93"/>
    </row>
    <row r="947">
      <c r="C947" s="90"/>
      <c r="D947" s="91"/>
      <c r="E947" s="92"/>
      <c r="F947" s="93"/>
    </row>
    <row r="948">
      <c r="C948" s="90"/>
      <c r="D948" s="91"/>
      <c r="E948" s="92"/>
      <c r="F948" s="93"/>
    </row>
    <row r="949">
      <c r="C949" s="90"/>
      <c r="D949" s="91"/>
      <c r="E949" s="92"/>
      <c r="F949" s="93"/>
    </row>
    <row r="950">
      <c r="C950" s="90"/>
      <c r="D950" s="91"/>
      <c r="E950" s="92"/>
      <c r="F950" s="93"/>
    </row>
    <row r="951">
      <c r="C951" s="90"/>
      <c r="D951" s="91"/>
      <c r="E951" s="92"/>
      <c r="F951" s="93"/>
    </row>
    <row r="952">
      <c r="C952" s="90"/>
      <c r="D952" s="91"/>
      <c r="E952" s="92"/>
      <c r="F952" s="93"/>
    </row>
    <row r="953">
      <c r="C953" s="90"/>
      <c r="D953" s="91"/>
      <c r="E953" s="92"/>
      <c r="F953" s="93"/>
    </row>
    <row r="954">
      <c r="C954" s="90"/>
      <c r="D954" s="91"/>
      <c r="E954" s="92"/>
      <c r="F954" s="93"/>
    </row>
    <row r="955">
      <c r="C955" s="90"/>
      <c r="D955" s="91"/>
      <c r="E955" s="92"/>
      <c r="F955" s="93"/>
    </row>
    <row r="956">
      <c r="C956" s="90"/>
      <c r="D956" s="91"/>
      <c r="E956" s="92"/>
      <c r="F956" s="93"/>
    </row>
    <row r="957">
      <c r="C957" s="90"/>
      <c r="D957" s="91"/>
      <c r="E957" s="92"/>
      <c r="F957" s="93"/>
    </row>
    <row r="958">
      <c r="C958" s="90"/>
      <c r="D958" s="91"/>
      <c r="E958" s="92"/>
      <c r="F958" s="93"/>
    </row>
    <row r="959">
      <c r="C959" s="90"/>
      <c r="D959" s="91"/>
      <c r="E959" s="92"/>
      <c r="F959" s="93"/>
    </row>
    <row r="960">
      <c r="C960" s="90"/>
      <c r="D960" s="91"/>
      <c r="E960" s="92"/>
      <c r="F960" s="93"/>
    </row>
    <row r="961">
      <c r="C961" s="90"/>
      <c r="D961" s="91"/>
      <c r="E961" s="92"/>
      <c r="F961" s="93"/>
    </row>
    <row r="962">
      <c r="C962" s="90"/>
      <c r="D962" s="91"/>
      <c r="E962" s="92"/>
      <c r="F962" s="93"/>
    </row>
    <row r="963">
      <c r="C963" s="90"/>
      <c r="D963" s="91"/>
      <c r="E963" s="92"/>
      <c r="F963" s="93"/>
    </row>
    <row r="964">
      <c r="C964" s="90"/>
      <c r="D964" s="91"/>
      <c r="E964" s="92"/>
      <c r="F964" s="93"/>
    </row>
    <row r="965">
      <c r="C965" s="90"/>
      <c r="D965" s="91"/>
      <c r="E965" s="92"/>
      <c r="F965" s="93"/>
    </row>
    <row r="966">
      <c r="C966" s="90"/>
      <c r="D966" s="91"/>
      <c r="E966" s="92"/>
      <c r="F966" s="93"/>
    </row>
    <row r="967">
      <c r="C967" s="90"/>
      <c r="D967" s="91"/>
      <c r="E967" s="92"/>
      <c r="F967" s="93"/>
    </row>
    <row r="968">
      <c r="C968" s="90"/>
      <c r="D968" s="91"/>
      <c r="E968" s="92"/>
      <c r="F968" s="93"/>
    </row>
    <row r="969">
      <c r="C969" s="90"/>
      <c r="D969" s="91"/>
      <c r="E969" s="92"/>
      <c r="F969" s="93"/>
    </row>
    <row r="970">
      <c r="C970" s="90"/>
      <c r="D970" s="91"/>
      <c r="E970" s="92"/>
      <c r="F970" s="93"/>
    </row>
    <row r="971">
      <c r="C971" s="90"/>
      <c r="D971" s="91"/>
      <c r="E971" s="92"/>
      <c r="F971" s="93"/>
    </row>
    <row r="972">
      <c r="C972" s="90"/>
      <c r="D972" s="91"/>
      <c r="E972" s="92"/>
      <c r="F972" s="93"/>
    </row>
    <row r="973">
      <c r="C973" s="90"/>
      <c r="D973" s="91"/>
      <c r="E973" s="92"/>
      <c r="F973" s="93"/>
    </row>
    <row r="974">
      <c r="C974" s="90"/>
      <c r="D974" s="91"/>
      <c r="E974" s="92"/>
      <c r="F974" s="93"/>
    </row>
    <row r="975">
      <c r="C975" s="90"/>
      <c r="D975" s="91"/>
      <c r="E975" s="92"/>
      <c r="F975" s="93"/>
    </row>
    <row r="976">
      <c r="C976" s="90"/>
      <c r="D976" s="91"/>
      <c r="E976" s="92"/>
      <c r="F976" s="93"/>
    </row>
    <row r="977">
      <c r="C977" s="90"/>
      <c r="D977" s="91"/>
      <c r="E977" s="92"/>
      <c r="F977" s="93"/>
    </row>
    <row r="978">
      <c r="C978" s="90"/>
      <c r="D978" s="91"/>
      <c r="E978" s="92"/>
      <c r="F978" s="93"/>
    </row>
    <row r="979">
      <c r="C979" s="90"/>
      <c r="D979" s="91"/>
      <c r="E979" s="92"/>
      <c r="F979" s="93"/>
    </row>
    <row r="980">
      <c r="C980" s="90"/>
      <c r="D980" s="91"/>
      <c r="E980" s="92"/>
      <c r="F980" s="93"/>
    </row>
    <row r="981">
      <c r="C981" s="90"/>
      <c r="D981" s="91"/>
      <c r="E981" s="92"/>
      <c r="F981" s="93"/>
    </row>
    <row r="982">
      <c r="C982" s="90"/>
      <c r="D982" s="91"/>
      <c r="E982" s="92"/>
      <c r="F982" s="93"/>
    </row>
    <row r="983">
      <c r="C983" s="90"/>
      <c r="D983" s="91"/>
      <c r="E983" s="92"/>
      <c r="F983" s="93"/>
    </row>
    <row r="984">
      <c r="C984" s="90"/>
      <c r="D984" s="91"/>
      <c r="E984" s="92"/>
      <c r="F984" s="93"/>
    </row>
    <row r="985">
      <c r="C985" s="90"/>
      <c r="D985" s="91"/>
      <c r="E985" s="92"/>
      <c r="F985" s="93"/>
    </row>
    <row r="986">
      <c r="C986" s="90"/>
      <c r="D986" s="91"/>
      <c r="E986" s="92"/>
      <c r="F986" s="93"/>
    </row>
    <row r="987">
      <c r="C987" s="90"/>
      <c r="D987" s="91"/>
      <c r="E987" s="92"/>
      <c r="F987" s="93"/>
    </row>
    <row r="988">
      <c r="C988" s="90"/>
      <c r="D988" s="91"/>
      <c r="E988" s="92"/>
      <c r="F988" s="93"/>
    </row>
    <row r="989">
      <c r="C989" s="90"/>
      <c r="D989" s="91"/>
      <c r="E989" s="92"/>
      <c r="F989" s="93"/>
    </row>
    <row r="990">
      <c r="C990" s="90"/>
      <c r="D990" s="91"/>
      <c r="E990" s="92"/>
      <c r="F990" s="93"/>
    </row>
    <row r="991">
      <c r="C991" s="90"/>
      <c r="D991" s="91"/>
      <c r="E991" s="92"/>
      <c r="F991" s="93"/>
    </row>
    <row r="992">
      <c r="C992" s="90"/>
      <c r="D992" s="91"/>
      <c r="E992" s="92"/>
      <c r="F992" s="93"/>
    </row>
    <row r="993">
      <c r="C993" s="90"/>
      <c r="D993" s="91"/>
      <c r="E993" s="92"/>
      <c r="F993" s="93"/>
    </row>
    <row r="994">
      <c r="C994" s="90"/>
      <c r="D994" s="91"/>
      <c r="E994" s="92"/>
      <c r="F994" s="93"/>
    </row>
    <row r="995">
      <c r="C995" s="90"/>
      <c r="D995" s="91"/>
      <c r="E995" s="92"/>
      <c r="F995" s="93"/>
    </row>
    <row r="996">
      <c r="C996" s="90"/>
      <c r="D996" s="91"/>
      <c r="E996" s="92"/>
      <c r="F996" s="93"/>
    </row>
    <row r="997">
      <c r="C997" s="90"/>
      <c r="D997" s="91"/>
      <c r="E997" s="92"/>
      <c r="F997" s="93"/>
    </row>
    <row r="998">
      <c r="C998" s="90"/>
      <c r="D998" s="91"/>
      <c r="E998" s="92"/>
      <c r="F998" s="93"/>
    </row>
    <row r="999">
      <c r="C999" s="90"/>
      <c r="D999" s="91"/>
      <c r="E999" s="92"/>
      <c r="F999" s="93"/>
    </row>
    <row r="1000">
      <c r="C1000" s="90"/>
      <c r="D1000" s="91"/>
      <c r="E1000" s="92"/>
      <c r="F1000" s="93"/>
    </row>
    <row r="1001">
      <c r="C1001" s="90"/>
      <c r="D1001" s="91"/>
      <c r="E1001" s="92"/>
      <c r="F1001" s="93"/>
    </row>
    <row r="1002">
      <c r="C1002" s="90"/>
      <c r="D1002" s="91"/>
      <c r="E1002" s="92"/>
      <c r="F1002" s="93"/>
    </row>
    <row r="1003">
      <c r="C1003" s="90"/>
      <c r="D1003" s="91"/>
      <c r="E1003" s="92"/>
      <c r="F1003" s="93"/>
    </row>
    <row r="1004">
      <c r="C1004" s="90"/>
      <c r="D1004" s="91"/>
      <c r="E1004" s="92"/>
      <c r="F1004" s="93"/>
    </row>
    <row r="1005">
      <c r="C1005" s="90"/>
      <c r="D1005" s="91"/>
      <c r="E1005" s="92"/>
      <c r="F1005" s="93"/>
    </row>
    <row r="1006">
      <c r="C1006" s="90"/>
      <c r="D1006" s="91"/>
      <c r="E1006" s="92"/>
      <c r="F1006" s="93"/>
    </row>
    <row r="1007">
      <c r="C1007" s="90"/>
      <c r="D1007" s="91"/>
      <c r="E1007" s="92"/>
      <c r="F1007" s="93"/>
    </row>
    <row r="1008">
      <c r="C1008" s="90"/>
      <c r="D1008" s="91"/>
      <c r="E1008" s="92"/>
      <c r="F1008" s="93"/>
    </row>
    <row r="1009">
      <c r="C1009" s="90"/>
      <c r="D1009" s="91"/>
      <c r="E1009" s="92"/>
      <c r="F1009" s="93"/>
    </row>
    <row r="1010">
      <c r="C1010" s="90"/>
      <c r="D1010" s="91"/>
      <c r="E1010" s="92"/>
      <c r="F1010" s="93"/>
    </row>
    <row r="1011">
      <c r="C1011" s="90"/>
      <c r="D1011" s="91"/>
      <c r="E1011" s="92"/>
      <c r="F1011" s="93"/>
    </row>
    <row r="1012">
      <c r="C1012" s="90"/>
      <c r="D1012" s="91"/>
      <c r="E1012" s="92"/>
      <c r="F1012" s="93"/>
    </row>
    <row r="1013">
      <c r="C1013" s="90"/>
      <c r="D1013" s="91"/>
      <c r="E1013" s="92"/>
      <c r="F1013" s="93"/>
    </row>
    <row r="1014">
      <c r="C1014" s="90"/>
      <c r="D1014" s="91"/>
      <c r="E1014" s="92"/>
      <c r="F1014" s="93"/>
    </row>
    <row r="1015">
      <c r="C1015" s="90"/>
      <c r="D1015" s="91"/>
      <c r="E1015" s="92"/>
      <c r="F1015" s="93"/>
    </row>
    <row r="1016">
      <c r="C1016" s="90"/>
      <c r="D1016" s="91"/>
      <c r="E1016" s="92"/>
      <c r="F1016" s="93"/>
    </row>
    <row r="1017">
      <c r="C1017" s="90"/>
      <c r="D1017" s="91"/>
      <c r="E1017" s="92"/>
      <c r="F1017" s="93"/>
    </row>
    <row r="1018">
      <c r="C1018" s="90"/>
      <c r="D1018" s="91"/>
      <c r="E1018" s="92"/>
      <c r="F1018" s="93"/>
    </row>
    <row r="1019">
      <c r="C1019" s="90"/>
      <c r="D1019" s="91"/>
      <c r="E1019" s="92"/>
      <c r="F1019" s="93"/>
    </row>
    <row r="1020">
      <c r="C1020" s="90"/>
      <c r="D1020" s="91"/>
      <c r="E1020" s="92"/>
      <c r="F1020" s="93"/>
    </row>
    <row r="1021">
      <c r="C1021" s="90"/>
      <c r="D1021" s="91"/>
      <c r="E1021" s="92"/>
      <c r="F1021" s="93"/>
    </row>
    <row r="1022">
      <c r="C1022" s="90"/>
      <c r="D1022" s="91"/>
      <c r="E1022" s="92"/>
      <c r="F1022" s="93"/>
    </row>
    <row r="1023">
      <c r="C1023" s="90"/>
      <c r="D1023" s="91"/>
      <c r="E1023" s="92"/>
      <c r="F1023" s="93"/>
    </row>
    <row r="1024">
      <c r="C1024" s="90"/>
      <c r="D1024" s="91"/>
      <c r="E1024" s="92"/>
      <c r="F1024" s="93"/>
    </row>
    <row r="1025">
      <c r="C1025" s="90"/>
      <c r="D1025" s="91"/>
      <c r="E1025" s="92"/>
      <c r="F1025" s="93"/>
    </row>
    <row r="1026">
      <c r="C1026" s="90"/>
      <c r="D1026" s="91"/>
      <c r="E1026" s="92"/>
      <c r="F1026" s="93"/>
    </row>
    <row r="1027">
      <c r="C1027" s="90"/>
      <c r="D1027" s="91"/>
      <c r="E1027" s="92"/>
      <c r="F1027" s="93"/>
    </row>
    <row r="1028">
      <c r="C1028" s="90"/>
      <c r="D1028" s="91"/>
      <c r="E1028" s="92"/>
      <c r="F1028" s="93"/>
    </row>
    <row r="1029">
      <c r="C1029" s="90"/>
      <c r="D1029" s="91"/>
      <c r="E1029" s="92"/>
      <c r="F1029" s="93"/>
    </row>
    <row r="1030">
      <c r="C1030" s="90"/>
      <c r="D1030" s="91"/>
      <c r="E1030" s="92"/>
      <c r="F1030" s="93"/>
    </row>
    <row r="1031">
      <c r="C1031" s="90"/>
      <c r="D1031" s="91"/>
      <c r="E1031" s="92"/>
      <c r="F1031" s="93"/>
    </row>
    <row r="1032">
      <c r="C1032" s="90"/>
      <c r="D1032" s="91"/>
      <c r="E1032" s="92"/>
      <c r="F1032" s="93"/>
    </row>
    <row r="1033">
      <c r="C1033" s="90"/>
      <c r="D1033" s="91"/>
      <c r="E1033" s="92"/>
      <c r="F1033" s="93"/>
    </row>
    <row r="1034">
      <c r="C1034" s="90"/>
      <c r="D1034" s="91"/>
      <c r="E1034" s="92"/>
      <c r="F1034" s="93"/>
    </row>
    <row r="1035">
      <c r="C1035" s="90"/>
      <c r="D1035" s="91"/>
      <c r="E1035" s="92"/>
      <c r="F1035" s="93"/>
    </row>
    <row r="1036">
      <c r="C1036" s="90"/>
      <c r="D1036" s="91"/>
      <c r="E1036" s="92"/>
      <c r="F1036" s="93"/>
    </row>
    <row r="1037">
      <c r="C1037" s="90"/>
      <c r="D1037" s="91"/>
      <c r="E1037" s="92"/>
      <c r="F1037" s="93"/>
    </row>
    <row r="1038">
      <c r="C1038" s="90"/>
      <c r="D1038" s="91"/>
      <c r="E1038" s="92"/>
      <c r="F1038" s="93"/>
    </row>
    <row r="1039">
      <c r="C1039" s="90"/>
      <c r="D1039" s="91"/>
      <c r="E1039" s="92"/>
      <c r="F1039" s="93"/>
    </row>
    <row r="1040">
      <c r="C1040" s="90"/>
      <c r="D1040" s="91"/>
      <c r="E1040" s="92"/>
      <c r="F1040" s="93"/>
    </row>
    <row r="1041">
      <c r="C1041" s="90"/>
      <c r="D1041" s="91"/>
      <c r="E1041" s="92"/>
      <c r="F1041" s="93"/>
    </row>
    <row r="1042">
      <c r="C1042" s="90"/>
      <c r="D1042" s="91"/>
      <c r="E1042" s="92"/>
      <c r="F1042" s="93"/>
    </row>
    <row r="1043">
      <c r="C1043" s="90"/>
      <c r="D1043" s="91"/>
      <c r="E1043" s="92"/>
      <c r="F1043" s="93"/>
    </row>
    <row r="1044">
      <c r="C1044" s="90"/>
      <c r="D1044" s="91"/>
      <c r="E1044" s="92"/>
      <c r="F1044" s="93"/>
    </row>
    <row r="1045">
      <c r="C1045" s="90"/>
      <c r="D1045" s="91"/>
      <c r="E1045" s="92"/>
      <c r="F1045" s="93"/>
    </row>
    <row r="1046">
      <c r="C1046" s="90"/>
      <c r="D1046" s="91"/>
      <c r="E1046" s="92"/>
      <c r="F1046" s="93"/>
    </row>
    <row r="1047">
      <c r="C1047" s="90"/>
      <c r="D1047" s="91"/>
      <c r="E1047" s="92"/>
      <c r="F1047" s="93"/>
    </row>
    <row r="1048">
      <c r="C1048" s="90"/>
      <c r="D1048" s="91"/>
      <c r="E1048" s="92"/>
      <c r="F1048" s="93"/>
    </row>
    <row r="1049">
      <c r="C1049" s="90"/>
      <c r="D1049" s="91"/>
      <c r="E1049" s="92"/>
      <c r="F1049" s="93"/>
    </row>
    <row r="1050">
      <c r="C1050" s="90"/>
      <c r="D1050" s="91"/>
      <c r="E1050" s="92"/>
      <c r="F1050" s="93"/>
    </row>
    <row r="1051">
      <c r="C1051" s="90"/>
      <c r="D1051" s="91"/>
      <c r="E1051" s="92"/>
      <c r="F1051" s="93"/>
    </row>
    <row r="1052">
      <c r="C1052" s="90"/>
      <c r="D1052" s="91"/>
      <c r="E1052" s="92"/>
      <c r="F1052" s="93"/>
    </row>
    <row r="1053">
      <c r="C1053" s="90"/>
      <c r="D1053" s="91"/>
      <c r="E1053" s="92"/>
      <c r="F1053" s="93"/>
    </row>
    <row r="1054">
      <c r="C1054" s="90"/>
      <c r="D1054" s="91"/>
      <c r="E1054" s="92"/>
      <c r="F1054" s="93"/>
    </row>
    <row r="1055">
      <c r="C1055" s="90"/>
      <c r="D1055" s="91"/>
      <c r="E1055" s="92"/>
      <c r="F1055" s="93"/>
    </row>
    <row r="1056">
      <c r="C1056" s="90"/>
      <c r="D1056" s="91"/>
      <c r="E1056" s="92"/>
      <c r="F1056" s="93"/>
    </row>
    <row r="1057">
      <c r="C1057" s="90"/>
      <c r="D1057" s="91"/>
      <c r="E1057" s="92"/>
      <c r="F1057" s="93"/>
    </row>
    <row r="1058">
      <c r="C1058" s="90"/>
      <c r="D1058" s="91"/>
      <c r="E1058" s="92"/>
      <c r="F1058" s="93"/>
    </row>
    <row r="1059">
      <c r="C1059" s="90"/>
      <c r="D1059" s="91"/>
      <c r="E1059" s="92"/>
      <c r="F1059" s="93"/>
    </row>
    <row r="1060">
      <c r="C1060" s="90"/>
      <c r="D1060" s="91"/>
      <c r="E1060" s="92"/>
      <c r="F1060" s="93"/>
    </row>
    <row r="1061">
      <c r="C1061" s="90"/>
      <c r="D1061" s="91"/>
      <c r="E1061" s="92"/>
      <c r="F1061" s="93"/>
    </row>
    <row r="1062">
      <c r="C1062" s="90"/>
      <c r="D1062" s="91"/>
      <c r="E1062" s="92"/>
      <c r="F1062" s="93"/>
    </row>
    <row r="1063">
      <c r="C1063" s="90"/>
      <c r="D1063" s="91"/>
      <c r="E1063" s="92"/>
      <c r="F1063" s="93"/>
    </row>
    <row r="1064">
      <c r="C1064" s="90"/>
      <c r="D1064" s="91"/>
      <c r="E1064" s="92"/>
      <c r="F1064" s="93"/>
    </row>
    <row r="1065">
      <c r="C1065" s="90"/>
      <c r="D1065" s="91"/>
      <c r="E1065" s="92"/>
      <c r="F1065" s="93"/>
    </row>
    <row r="1066">
      <c r="C1066" s="90"/>
      <c r="D1066" s="91"/>
      <c r="E1066" s="92"/>
      <c r="F1066" s="93"/>
    </row>
    <row r="1067">
      <c r="C1067" s="90"/>
      <c r="D1067" s="91"/>
      <c r="E1067" s="92"/>
      <c r="F1067" s="93"/>
    </row>
    <row r="1068">
      <c r="C1068" s="90"/>
      <c r="D1068" s="91"/>
      <c r="E1068" s="92"/>
      <c r="F1068" s="93"/>
    </row>
    <row r="1069">
      <c r="C1069" s="90"/>
      <c r="D1069" s="91"/>
      <c r="E1069" s="92"/>
      <c r="F1069" s="93"/>
    </row>
    <row r="1070">
      <c r="C1070" s="90"/>
      <c r="D1070" s="91"/>
      <c r="E1070" s="92"/>
      <c r="F1070" s="93"/>
    </row>
    <row r="1071">
      <c r="C1071" s="90"/>
      <c r="D1071" s="91"/>
      <c r="E1071" s="92"/>
      <c r="F1071" s="93"/>
    </row>
    <row r="1072">
      <c r="C1072" s="90"/>
      <c r="D1072" s="91"/>
      <c r="E1072" s="92"/>
      <c r="F1072" s="93"/>
    </row>
    <row r="1073">
      <c r="C1073" s="90"/>
      <c r="D1073" s="91"/>
      <c r="E1073" s="92"/>
      <c r="F1073" s="93"/>
    </row>
    <row r="1074">
      <c r="C1074" s="90"/>
      <c r="D1074" s="91"/>
      <c r="E1074" s="92"/>
      <c r="F1074" s="93"/>
    </row>
    <row r="1075">
      <c r="C1075" s="90"/>
      <c r="D1075" s="91"/>
      <c r="E1075" s="92"/>
      <c r="F1075" s="93"/>
    </row>
    <row r="1076">
      <c r="C1076" s="90"/>
      <c r="D1076" s="91"/>
      <c r="E1076" s="92"/>
      <c r="F1076" s="93"/>
    </row>
    <row r="1077">
      <c r="C1077" s="90"/>
      <c r="D1077" s="91"/>
      <c r="E1077" s="92"/>
      <c r="F1077" s="93"/>
    </row>
    <row r="1078">
      <c r="C1078" s="90"/>
      <c r="D1078" s="91"/>
      <c r="E1078" s="92"/>
      <c r="F1078" s="93"/>
    </row>
    <row r="1079">
      <c r="C1079" s="90"/>
      <c r="D1079" s="91"/>
      <c r="E1079" s="92"/>
      <c r="F1079" s="93"/>
    </row>
    <row r="1080">
      <c r="C1080" s="90"/>
      <c r="D1080" s="91"/>
      <c r="E1080" s="92"/>
      <c r="F1080" s="93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38"/>
  </cols>
  <sheetData>
    <row r="1">
      <c r="A1" s="84" t="s">
        <v>0</v>
      </c>
      <c r="B1" s="84" t="s">
        <v>943</v>
      </c>
      <c r="C1" s="85" t="s">
        <v>787</v>
      </c>
      <c r="D1" s="86" t="s">
        <v>944</v>
      </c>
      <c r="E1" s="87" t="s">
        <v>945</v>
      </c>
      <c r="F1" s="88" t="s">
        <v>946</v>
      </c>
    </row>
    <row r="2">
      <c r="A2" s="89" t="s">
        <v>958</v>
      </c>
      <c r="C2" s="90"/>
      <c r="D2" s="91"/>
      <c r="E2" s="92"/>
      <c r="F2" s="93"/>
    </row>
    <row r="3">
      <c r="A3" s="89" t="s">
        <v>959</v>
      </c>
      <c r="C3" s="90"/>
      <c r="D3" s="91"/>
      <c r="E3" s="92"/>
      <c r="F3" s="93"/>
    </row>
    <row r="4">
      <c r="C4" s="90"/>
      <c r="D4" s="91"/>
      <c r="E4" s="92"/>
      <c r="F4" s="93"/>
    </row>
    <row r="5">
      <c r="A5" s="89" t="s">
        <v>960</v>
      </c>
      <c r="C5" s="90"/>
      <c r="D5" s="91"/>
      <c r="E5" s="92"/>
      <c r="F5" s="93"/>
    </row>
    <row r="6">
      <c r="A6" s="89" t="s">
        <v>961</v>
      </c>
      <c r="C6" s="90"/>
      <c r="D6" s="91"/>
      <c r="E6" s="92"/>
      <c r="F6" s="93"/>
    </row>
    <row r="7">
      <c r="C7" s="90"/>
      <c r="D7" s="91"/>
      <c r="E7" s="92"/>
      <c r="F7" s="93"/>
    </row>
    <row r="8">
      <c r="A8" s="89" t="s">
        <v>962</v>
      </c>
      <c r="C8" s="90"/>
      <c r="D8" s="91"/>
      <c r="E8" s="92"/>
      <c r="F8" s="93"/>
    </row>
    <row r="9">
      <c r="A9" s="89">
        <v>14.0</v>
      </c>
      <c r="B9" s="84" t="s">
        <v>247</v>
      </c>
      <c r="C9" s="85">
        <v>45946.0</v>
      </c>
      <c r="D9" s="86">
        <v>11.91</v>
      </c>
      <c r="E9" s="87">
        <v>2.68</v>
      </c>
      <c r="F9" s="88">
        <v>1.0</v>
      </c>
    </row>
    <row r="10">
      <c r="A10" s="89">
        <v>14.0</v>
      </c>
      <c r="B10" s="84" t="s">
        <v>247</v>
      </c>
      <c r="C10" s="85">
        <v>45948.0</v>
      </c>
      <c r="D10" s="86">
        <v>11.91</v>
      </c>
      <c r="E10" s="87">
        <v>2.68</v>
      </c>
      <c r="F10" s="88">
        <v>1.0</v>
      </c>
    </row>
    <row r="11">
      <c r="A11" s="89">
        <v>14.0</v>
      </c>
      <c r="B11" s="84" t="s">
        <v>247</v>
      </c>
      <c r="C11" s="85">
        <v>45948.0</v>
      </c>
      <c r="D11" s="86">
        <v>10.91</v>
      </c>
      <c r="E11" s="87">
        <v>2.54</v>
      </c>
      <c r="F11" s="88">
        <v>1.0</v>
      </c>
    </row>
    <row r="12">
      <c r="A12" s="89">
        <v>14.0</v>
      </c>
      <c r="B12" s="84" t="s">
        <v>247</v>
      </c>
      <c r="C12" s="85">
        <v>45948.0</v>
      </c>
      <c r="D12" s="86">
        <v>7.91</v>
      </c>
      <c r="E12" s="87">
        <v>2.12</v>
      </c>
      <c r="F12" s="88">
        <v>1.0</v>
      </c>
    </row>
    <row r="13">
      <c r="A13" s="89">
        <v>14.0</v>
      </c>
      <c r="B13" s="84" t="s">
        <v>247</v>
      </c>
      <c r="C13" s="85">
        <v>45948.0</v>
      </c>
      <c r="D13" s="86">
        <v>7.91</v>
      </c>
      <c r="E13" s="87">
        <v>2.12</v>
      </c>
      <c r="F13" s="88">
        <v>1.0</v>
      </c>
    </row>
    <row r="14">
      <c r="A14" s="89">
        <v>14.0</v>
      </c>
      <c r="B14" s="84" t="s">
        <v>247</v>
      </c>
      <c r="C14" s="85">
        <v>45948.0</v>
      </c>
      <c r="D14" s="86">
        <v>10.41</v>
      </c>
      <c r="E14" s="87">
        <v>2.47</v>
      </c>
      <c r="F14" s="88">
        <v>1.0</v>
      </c>
    </row>
    <row r="15">
      <c r="A15" s="89">
        <v>14.0</v>
      </c>
      <c r="B15" s="84" t="s">
        <v>247</v>
      </c>
      <c r="C15" s="85">
        <v>45948.0</v>
      </c>
      <c r="D15" s="86">
        <v>7.91</v>
      </c>
      <c r="E15" s="87">
        <v>2.12</v>
      </c>
      <c r="F15" s="88">
        <v>1.0</v>
      </c>
    </row>
    <row r="16">
      <c r="A16" s="89">
        <v>14.0</v>
      </c>
      <c r="B16" s="84" t="s">
        <v>247</v>
      </c>
      <c r="C16" s="85">
        <v>45948.0</v>
      </c>
      <c r="D16" s="86">
        <v>11.91</v>
      </c>
      <c r="E16" s="87">
        <v>2.68</v>
      </c>
      <c r="F16" s="88">
        <v>1.0</v>
      </c>
    </row>
    <row r="17">
      <c r="A17" s="89">
        <v>14.0</v>
      </c>
      <c r="B17" s="84" t="s">
        <v>247</v>
      </c>
      <c r="C17" s="85">
        <v>45948.0</v>
      </c>
      <c r="D17" s="86">
        <v>10.41</v>
      </c>
      <c r="E17" s="87">
        <v>2.47</v>
      </c>
      <c r="F17" s="88">
        <v>1.0</v>
      </c>
    </row>
    <row r="18">
      <c r="A18" s="89">
        <v>14.0</v>
      </c>
      <c r="B18" s="84" t="s">
        <v>247</v>
      </c>
      <c r="C18" s="85">
        <v>45948.0</v>
      </c>
      <c r="D18" s="86">
        <v>10.91</v>
      </c>
      <c r="E18" s="87">
        <v>2.54</v>
      </c>
      <c r="F18" s="88">
        <v>1.0</v>
      </c>
    </row>
    <row r="19">
      <c r="A19" s="89">
        <v>5.0</v>
      </c>
      <c r="B19" s="84" t="s">
        <v>103</v>
      </c>
      <c r="C19" s="85">
        <v>45948.0</v>
      </c>
      <c r="D19" s="86">
        <v>2.57</v>
      </c>
      <c r="E19" s="87">
        <v>2.8</v>
      </c>
      <c r="F19" s="88">
        <v>1.0</v>
      </c>
    </row>
    <row r="20">
      <c r="A20" s="89">
        <v>14.0</v>
      </c>
      <c r="B20" s="84" t="s">
        <v>247</v>
      </c>
      <c r="C20" s="85">
        <v>45948.0</v>
      </c>
      <c r="D20" s="86">
        <v>8.91</v>
      </c>
      <c r="E20" s="87">
        <v>2.26</v>
      </c>
      <c r="F20" s="88">
        <v>1.0</v>
      </c>
    </row>
    <row r="21">
      <c r="A21" s="89">
        <v>14.0</v>
      </c>
      <c r="B21" s="84" t="s">
        <v>247</v>
      </c>
      <c r="C21" s="85">
        <v>45948.0</v>
      </c>
      <c r="D21" s="86">
        <v>10.91</v>
      </c>
      <c r="E21" s="87">
        <v>2.54</v>
      </c>
      <c r="F21" s="88">
        <v>1.0</v>
      </c>
    </row>
    <row r="22">
      <c r="A22" s="89">
        <v>14.0</v>
      </c>
      <c r="B22" s="84" t="s">
        <v>247</v>
      </c>
      <c r="C22" s="85">
        <v>45948.0</v>
      </c>
      <c r="D22" s="86">
        <v>10.91</v>
      </c>
      <c r="E22" s="87">
        <v>2.54</v>
      </c>
      <c r="F22" s="88">
        <v>1.0</v>
      </c>
    </row>
    <row r="23">
      <c r="A23" s="89">
        <v>6.0</v>
      </c>
      <c r="B23" s="84" t="s">
        <v>172</v>
      </c>
      <c r="C23" s="85">
        <v>45948.0</v>
      </c>
      <c r="D23" s="86">
        <v>7.24</v>
      </c>
      <c r="E23" s="87">
        <v>2.52</v>
      </c>
      <c r="F23" s="88">
        <v>1.0</v>
      </c>
    </row>
    <row r="24">
      <c r="A24" s="89">
        <v>4.0</v>
      </c>
      <c r="B24" s="84" t="s">
        <v>85</v>
      </c>
      <c r="C24" s="85">
        <v>45948.0</v>
      </c>
      <c r="D24" s="86">
        <v>5.42</v>
      </c>
      <c r="E24" s="87">
        <v>1.77</v>
      </c>
      <c r="F24" s="88">
        <v>1.0</v>
      </c>
    </row>
    <row r="25">
      <c r="A25" s="89">
        <v>4.0</v>
      </c>
      <c r="B25" s="84" t="s">
        <v>85</v>
      </c>
      <c r="C25" s="85">
        <v>45948.0</v>
      </c>
      <c r="D25" s="86">
        <v>5.42</v>
      </c>
      <c r="E25" s="87">
        <v>1.77</v>
      </c>
      <c r="F25" s="88">
        <v>1.0</v>
      </c>
    </row>
    <row r="26">
      <c r="A26" s="89">
        <v>14.0</v>
      </c>
      <c r="B26" s="84" t="s">
        <v>247</v>
      </c>
      <c r="C26" s="85">
        <v>45948.0</v>
      </c>
      <c r="D26" s="86">
        <v>8.11</v>
      </c>
      <c r="E26" s="87">
        <v>2.14</v>
      </c>
      <c r="F26" s="88">
        <v>1.0</v>
      </c>
    </row>
    <row r="27">
      <c r="A27" s="89">
        <v>14.0</v>
      </c>
      <c r="B27" s="84" t="s">
        <v>247</v>
      </c>
      <c r="C27" s="85">
        <v>45949.0</v>
      </c>
      <c r="D27" s="86">
        <v>10.91</v>
      </c>
      <c r="E27" s="87">
        <v>2.54</v>
      </c>
      <c r="F27" s="88">
        <v>1.0</v>
      </c>
    </row>
    <row r="28">
      <c r="A28" s="89">
        <v>14.0</v>
      </c>
      <c r="B28" s="84" t="s">
        <v>247</v>
      </c>
      <c r="C28" s="85">
        <v>45949.0</v>
      </c>
      <c r="D28" s="86">
        <v>10.91</v>
      </c>
      <c r="E28" s="87">
        <v>2.54</v>
      </c>
      <c r="F28" s="88">
        <v>1.0</v>
      </c>
    </row>
    <row r="29">
      <c r="A29" s="89">
        <v>14.0</v>
      </c>
      <c r="B29" s="84" t="s">
        <v>247</v>
      </c>
      <c r="C29" s="85">
        <v>45949.0</v>
      </c>
      <c r="D29" s="86">
        <v>10.91</v>
      </c>
      <c r="E29" s="87">
        <v>2.54</v>
      </c>
      <c r="F29" s="88">
        <v>1.0</v>
      </c>
    </row>
    <row r="30">
      <c r="A30" s="89">
        <v>14.0</v>
      </c>
      <c r="B30" s="84" t="s">
        <v>247</v>
      </c>
      <c r="C30" s="85">
        <v>45949.0</v>
      </c>
      <c r="D30" s="86">
        <v>7.91</v>
      </c>
      <c r="E30" s="87">
        <v>2.12</v>
      </c>
      <c r="F30" s="88">
        <v>1.0</v>
      </c>
    </row>
    <row r="31">
      <c r="A31" s="89">
        <v>14.0</v>
      </c>
      <c r="B31" s="84" t="s">
        <v>247</v>
      </c>
      <c r="C31" s="85">
        <v>45949.0</v>
      </c>
      <c r="D31" s="86">
        <v>7.91</v>
      </c>
      <c r="E31" s="87">
        <v>2.12</v>
      </c>
      <c r="F31" s="88">
        <v>1.0</v>
      </c>
    </row>
    <row r="32">
      <c r="A32" s="89">
        <v>14.0</v>
      </c>
      <c r="B32" s="84" t="s">
        <v>247</v>
      </c>
      <c r="C32" s="85">
        <v>45949.0</v>
      </c>
      <c r="D32" s="86">
        <v>7.91</v>
      </c>
      <c r="E32" s="87">
        <v>2.12</v>
      </c>
      <c r="F32" s="88">
        <v>1.0</v>
      </c>
    </row>
    <row r="33">
      <c r="A33" s="89">
        <v>4.0</v>
      </c>
      <c r="B33" s="84" t="s">
        <v>85</v>
      </c>
      <c r="C33" s="85">
        <v>45949.0</v>
      </c>
      <c r="D33" s="86">
        <v>4.92</v>
      </c>
      <c r="E33" s="87">
        <v>1.69</v>
      </c>
      <c r="F33" s="88">
        <v>1.0</v>
      </c>
    </row>
    <row r="34">
      <c r="A34" s="89">
        <v>14.0</v>
      </c>
      <c r="B34" s="84" t="s">
        <v>247</v>
      </c>
      <c r="C34" s="85">
        <v>45949.0</v>
      </c>
      <c r="D34" s="86">
        <v>11.91</v>
      </c>
      <c r="E34" s="87">
        <v>2.68</v>
      </c>
      <c r="F34" s="88">
        <v>1.0</v>
      </c>
    </row>
    <row r="35">
      <c r="A35" s="89">
        <v>14.0</v>
      </c>
      <c r="B35" s="84" t="s">
        <v>247</v>
      </c>
      <c r="C35" s="85">
        <v>45949.0</v>
      </c>
      <c r="D35" s="86">
        <v>7.99</v>
      </c>
      <c r="E35" s="87">
        <v>2.13</v>
      </c>
      <c r="F35" s="88">
        <v>1.0</v>
      </c>
    </row>
    <row r="36">
      <c r="A36" s="89">
        <v>14.0</v>
      </c>
      <c r="B36" s="84" t="s">
        <v>247</v>
      </c>
      <c r="C36" s="85">
        <v>45949.0</v>
      </c>
      <c r="D36" s="86">
        <v>11.91</v>
      </c>
      <c r="E36" s="87">
        <v>2.68</v>
      </c>
      <c r="F36" s="88">
        <v>1.0</v>
      </c>
    </row>
    <row r="37">
      <c r="A37" s="89">
        <v>14.0</v>
      </c>
      <c r="B37" s="84" t="s">
        <v>247</v>
      </c>
      <c r="C37" s="85">
        <v>45949.0</v>
      </c>
      <c r="D37" s="86">
        <v>12.91</v>
      </c>
      <c r="E37" s="87">
        <v>2.82</v>
      </c>
      <c r="F37" s="88">
        <v>1.0</v>
      </c>
    </row>
    <row r="38">
      <c r="A38" s="89">
        <v>14.0</v>
      </c>
      <c r="B38" s="84" t="s">
        <v>247</v>
      </c>
      <c r="C38" s="85">
        <v>45949.0</v>
      </c>
      <c r="D38" s="86">
        <v>12.91</v>
      </c>
      <c r="E38" s="87">
        <v>2.82</v>
      </c>
      <c r="F38" s="88">
        <v>1.0</v>
      </c>
    </row>
    <row r="39">
      <c r="A39" s="89">
        <v>4.0</v>
      </c>
      <c r="B39" s="84" t="s">
        <v>85</v>
      </c>
      <c r="C39" s="85">
        <v>45949.0</v>
      </c>
      <c r="D39" s="86">
        <v>4.92</v>
      </c>
      <c r="E39" s="87">
        <v>1.69</v>
      </c>
      <c r="F39" s="88">
        <v>1.0</v>
      </c>
    </row>
    <row r="40">
      <c r="A40" s="89" t="s">
        <v>963</v>
      </c>
      <c r="C40" s="90"/>
      <c r="D40" s="86">
        <v>285.52</v>
      </c>
      <c r="E40" s="87">
        <v>2.36</v>
      </c>
      <c r="F40" s="88">
        <v>31.0</v>
      </c>
    </row>
    <row r="41">
      <c r="C41" s="90"/>
      <c r="D41" s="91"/>
      <c r="E41" s="92"/>
      <c r="F41" s="93"/>
    </row>
    <row r="42">
      <c r="A42" s="89" t="s">
        <v>964</v>
      </c>
      <c r="C42" s="90"/>
      <c r="D42" s="91"/>
      <c r="E42" s="92"/>
      <c r="F42" s="93"/>
    </row>
    <row r="43">
      <c r="A43" s="89">
        <v>14.0</v>
      </c>
      <c r="B43" s="84" t="s">
        <v>247</v>
      </c>
      <c r="C43" s="85">
        <v>45950.0</v>
      </c>
      <c r="D43" s="86">
        <v>9.16</v>
      </c>
      <c r="E43" s="87">
        <v>2.29</v>
      </c>
      <c r="F43" s="88">
        <v>1.0</v>
      </c>
    </row>
    <row r="44">
      <c r="A44" s="89">
        <v>14.0</v>
      </c>
      <c r="B44" s="84" t="s">
        <v>247</v>
      </c>
      <c r="C44" s="85">
        <v>45950.0</v>
      </c>
      <c r="D44" s="86">
        <v>9.16</v>
      </c>
      <c r="E44" s="87">
        <v>2.29</v>
      </c>
      <c r="F44" s="88">
        <v>1.0</v>
      </c>
    </row>
    <row r="45">
      <c r="A45" s="89">
        <v>14.0</v>
      </c>
      <c r="B45" s="84" t="s">
        <v>247</v>
      </c>
      <c r="C45" s="85">
        <v>45950.0</v>
      </c>
      <c r="D45" s="86">
        <v>11.91</v>
      </c>
      <c r="E45" s="87">
        <v>2.68</v>
      </c>
      <c r="F45" s="88">
        <v>1.0</v>
      </c>
    </row>
    <row r="46">
      <c r="A46" s="89">
        <v>14.0</v>
      </c>
      <c r="B46" s="84" t="s">
        <v>247</v>
      </c>
      <c r="C46" s="85">
        <v>45950.0</v>
      </c>
      <c r="D46" s="86">
        <v>9.16</v>
      </c>
      <c r="E46" s="87">
        <v>2.29</v>
      </c>
      <c r="F46" s="88">
        <v>1.0</v>
      </c>
    </row>
    <row r="47">
      <c r="A47" s="89">
        <v>14.0</v>
      </c>
      <c r="B47" s="84" t="s">
        <v>247</v>
      </c>
      <c r="C47" s="85">
        <v>45950.0</v>
      </c>
      <c r="D47" s="86">
        <v>9.16</v>
      </c>
      <c r="E47" s="87">
        <v>2.29</v>
      </c>
      <c r="F47" s="88">
        <v>1.0</v>
      </c>
    </row>
    <row r="48">
      <c r="A48" s="89">
        <v>14.0</v>
      </c>
      <c r="B48" s="84" t="s">
        <v>247</v>
      </c>
      <c r="C48" s="85">
        <v>45950.0</v>
      </c>
      <c r="D48" s="86">
        <v>11.91</v>
      </c>
      <c r="E48" s="87">
        <v>2.68</v>
      </c>
      <c r="F48" s="88">
        <v>1.0</v>
      </c>
    </row>
    <row r="49">
      <c r="A49" s="89">
        <v>5.0</v>
      </c>
      <c r="B49" s="84" t="s">
        <v>103</v>
      </c>
      <c r="C49" s="85">
        <v>45950.0</v>
      </c>
      <c r="D49" s="86">
        <v>13.57</v>
      </c>
      <c r="E49" s="87">
        <v>10.49</v>
      </c>
      <c r="F49" s="88">
        <v>1.0</v>
      </c>
    </row>
    <row r="50">
      <c r="A50" s="89">
        <v>14.0</v>
      </c>
      <c r="B50" s="84" t="s">
        <v>247</v>
      </c>
      <c r="C50" s="85">
        <v>45951.0</v>
      </c>
      <c r="D50" s="86">
        <v>11.91</v>
      </c>
      <c r="E50" s="87">
        <v>2.68</v>
      </c>
      <c r="F50" s="88">
        <v>1.0</v>
      </c>
    </row>
    <row r="51">
      <c r="A51" s="89">
        <v>14.0</v>
      </c>
      <c r="B51" s="84" t="s">
        <v>247</v>
      </c>
      <c r="C51" s="85">
        <v>45951.0</v>
      </c>
      <c r="D51" s="86">
        <v>10.01</v>
      </c>
      <c r="E51" s="87">
        <v>2.41</v>
      </c>
      <c r="F51" s="88">
        <v>1.0</v>
      </c>
    </row>
    <row r="52">
      <c r="A52" s="89">
        <v>14.0</v>
      </c>
      <c r="B52" s="84" t="s">
        <v>247</v>
      </c>
      <c r="C52" s="85">
        <v>45951.0</v>
      </c>
      <c r="D52" s="86">
        <v>17.91</v>
      </c>
      <c r="E52" s="87">
        <v>3.53</v>
      </c>
      <c r="F52" s="88">
        <v>1.0</v>
      </c>
    </row>
    <row r="53">
      <c r="A53" s="89">
        <v>14.0</v>
      </c>
      <c r="B53" s="84" t="s">
        <v>247</v>
      </c>
      <c r="C53" s="85">
        <v>45951.0</v>
      </c>
      <c r="D53" s="86">
        <v>10.91</v>
      </c>
      <c r="E53" s="87">
        <v>2.54</v>
      </c>
      <c r="F53" s="88">
        <v>1.0</v>
      </c>
    </row>
    <row r="54">
      <c r="A54" s="89">
        <v>14.0</v>
      </c>
      <c r="B54" s="84" t="s">
        <v>247</v>
      </c>
      <c r="C54" s="85">
        <v>45952.0</v>
      </c>
      <c r="D54" s="86">
        <v>9.91</v>
      </c>
      <c r="E54" s="87">
        <v>2.4</v>
      </c>
      <c r="F54" s="88">
        <v>1.0</v>
      </c>
    </row>
    <row r="55">
      <c r="A55" s="89">
        <v>14.0</v>
      </c>
      <c r="B55" s="84" t="s">
        <v>247</v>
      </c>
      <c r="C55" s="85">
        <v>45952.0</v>
      </c>
      <c r="D55" s="86">
        <v>7.91</v>
      </c>
      <c r="E55" s="87">
        <v>2.12</v>
      </c>
      <c r="F55" s="88">
        <v>1.0</v>
      </c>
    </row>
    <row r="56">
      <c r="A56" s="89">
        <v>14.0</v>
      </c>
      <c r="B56" s="84" t="s">
        <v>247</v>
      </c>
      <c r="C56" s="85">
        <v>45952.0</v>
      </c>
      <c r="D56" s="86">
        <v>11.91</v>
      </c>
      <c r="E56" s="87">
        <v>2.68</v>
      </c>
      <c r="F56" s="88">
        <v>1.0</v>
      </c>
    </row>
    <row r="57">
      <c r="A57" s="89">
        <v>6.0</v>
      </c>
      <c r="B57" s="84" t="s">
        <v>172</v>
      </c>
      <c r="C57" s="85">
        <v>45953.0</v>
      </c>
      <c r="D57" s="86">
        <v>9.24</v>
      </c>
      <c r="E57" s="87">
        <v>2.94</v>
      </c>
      <c r="F57" s="88">
        <v>1.0</v>
      </c>
    </row>
    <row r="58">
      <c r="A58" s="89">
        <v>15.0</v>
      </c>
      <c r="B58" s="84" t="s">
        <v>247</v>
      </c>
      <c r="C58" s="85">
        <v>45953.0</v>
      </c>
      <c r="D58" s="86">
        <v>11.86</v>
      </c>
      <c r="E58" s="87">
        <v>2.66</v>
      </c>
      <c r="F58" s="88">
        <v>1.0</v>
      </c>
    </row>
    <row r="59">
      <c r="A59" s="89">
        <v>15.0</v>
      </c>
      <c r="B59" s="84" t="s">
        <v>247</v>
      </c>
      <c r="C59" s="85">
        <v>45953.0</v>
      </c>
      <c r="D59" s="86">
        <v>7.07</v>
      </c>
      <c r="E59" s="87">
        <v>1.99</v>
      </c>
      <c r="F59" s="88">
        <v>1.0</v>
      </c>
    </row>
    <row r="60">
      <c r="A60" s="89">
        <v>15.0</v>
      </c>
      <c r="B60" s="84" t="s">
        <v>247</v>
      </c>
      <c r="C60" s="85">
        <v>45953.0</v>
      </c>
      <c r="D60" s="86">
        <v>9.11</v>
      </c>
      <c r="E60" s="87">
        <v>2.27</v>
      </c>
      <c r="F60" s="88">
        <v>1.0</v>
      </c>
    </row>
    <row r="61">
      <c r="A61" s="89">
        <v>15.0</v>
      </c>
      <c r="B61" s="84" t="s">
        <v>247</v>
      </c>
      <c r="C61" s="85">
        <v>45953.0</v>
      </c>
      <c r="D61" s="86">
        <v>6.86</v>
      </c>
      <c r="E61" s="87">
        <v>1.96</v>
      </c>
      <c r="F61" s="88">
        <v>1.0</v>
      </c>
    </row>
    <row r="62">
      <c r="A62" s="89">
        <v>15.0</v>
      </c>
      <c r="B62" s="84" t="s">
        <v>247</v>
      </c>
      <c r="C62" s="85">
        <v>45953.0</v>
      </c>
      <c r="D62" s="86">
        <v>9.11</v>
      </c>
      <c r="E62" s="87">
        <v>2.27</v>
      </c>
      <c r="F62" s="88">
        <v>1.0</v>
      </c>
    </row>
    <row r="63">
      <c r="A63" s="89">
        <v>15.0</v>
      </c>
      <c r="B63" s="84" t="s">
        <v>247</v>
      </c>
      <c r="C63" s="85">
        <v>45953.0</v>
      </c>
      <c r="D63" s="86">
        <v>11.86</v>
      </c>
      <c r="E63" s="87">
        <v>2.66</v>
      </c>
      <c r="F63" s="88">
        <v>1.0</v>
      </c>
    </row>
    <row r="64">
      <c r="A64" s="89">
        <v>15.0</v>
      </c>
      <c r="B64" s="84" t="s">
        <v>247</v>
      </c>
      <c r="C64" s="85">
        <v>45954.0</v>
      </c>
      <c r="D64" s="86">
        <v>7.86</v>
      </c>
      <c r="E64" s="87">
        <v>2.1</v>
      </c>
      <c r="F64" s="88">
        <v>1.0</v>
      </c>
    </row>
    <row r="65">
      <c r="A65" s="89">
        <v>15.0</v>
      </c>
      <c r="B65" s="84" t="s">
        <v>247</v>
      </c>
      <c r="C65" s="85">
        <v>45954.0</v>
      </c>
      <c r="D65" s="86">
        <v>10.86</v>
      </c>
      <c r="E65" s="87">
        <v>2.52</v>
      </c>
      <c r="F65" s="88">
        <v>1.0</v>
      </c>
    </row>
    <row r="66">
      <c r="A66" s="89">
        <v>15.0</v>
      </c>
      <c r="B66" s="84" t="s">
        <v>247</v>
      </c>
      <c r="C66" s="85">
        <v>45954.0</v>
      </c>
      <c r="D66" s="86">
        <v>11.86</v>
      </c>
      <c r="E66" s="87">
        <v>2.66</v>
      </c>
      <c r="F66" s="88">
        <v>1.0</v>
      </c>
    </row>
    <row r="67">
      <c r="A67" s="89">
        <v>15.0</v>
      </c>
      <c r="B67" s="84" t="s">
        <v>247</v>
      </c>
      <c r="C67" s="85">
        <v>45955.0</v>
      </c>
      <c r="D67" s="86">
        <v>7.86</v>
      </c>
      <c r="E67" s="87">
        <v>2.1</v>
      </c>
      <c r="F67" s="88">
        <v>1.0</v>
      </c>
    </row>
    <row r="68">
      <c r="A68" s="89">
        <v>13.0</v>
      </c>
      <c r="B68" s="84" t="s">
        <v>468</v>
      </c>
      <c r="C68" s="85">
        <v>45955.0</v>
      </c>
      <c r="D68" s="86">
        <v>5.96</v>
      </c>
      <c r="E68" s="87">
        <v>2.48</v>
      </c>
      <c r="F68" s="88">
        <v>1.0</v>
      </c>
    </row>
    <row r="69">
      <c r="A69" s="89">
        <v>15.0</v>
      </c>
      <c r="B69" s="84" t="s">
        <v>247</v>
      </c>
      <c r="C69" s="85">
        <v>45955.0</v>
      </c>
      <c r="D69" s="86">
        <v>7.86</v>
      </c>
      <c r="E69" s="87">
        <v>2.1</v>
      </c>
      <c r="F69" s="88">
        <v>1.0</v>
      </c>
    </row>
    <row r="70">
      <c r="A70" s="89">
        <v>15.0</v>
      </c>
      <c r="B70" s="84" t="s">
        <v>247</v>
      </c>
      <c r="C70" s="85">
        <v>45955.0</v>
      </c>
      <c r="D70" s="86">
        <v>7.96</v>
      </c>
      <c r="E70" s="87">
        <v>2.11</v>
      </c>
      <c r="F70" s="88">
        <v>1.0</v>
      </c>
    </row>
    <row r="71">
      <c r="A71" s="89">
        <v>13.0</v>
      </c>
      <c r="B71" s="84" t="s">
        <v>468</v>
      </c>
      <c r="C71" s="85">
        <v>45955.0</v>
      </c>
      <c r="D71" s="86">
        <v>11.96</v>
      </c>
      <c r="E71" s="87">
        <v>3.96</v>
      </c>
      <c r="F71" s="88">
        <v>1.0</v>
      </c>
    </row>
    <row r="72">
      <c r="A72" s="89">
        <v>15.0</v>
      </c>
      <c r="B72" s="84" t="s">
        <v>247</v>
      </c>
      <c r="C72" s="85">
        <v>45955.0</v>
      </c>
      <c r="D72" s="86">
        <v>8.06</v>
      </c>
      <c r="E72" s="87">
        <v>2.13</v>
      </c>
      <c r="F72" s="88">
        <v>1.0</v>
      </c>
    </row>
    <row r="73">
      <c r="A73" s="89">
        <v>15.0</v>
      </c>
      <c r="B73" s="84" t="s">
        <v>247</v>
      </c>
      <c r="C73" s="85">
        <v>45955.0</v>
      </c>
      <c r="D73" s="86">
        <v>7.96</v>
      </c>
      <c r="E73" s="87">
        <v>2.11</v>
      </c>
      <c r="F73" s="88">
        <v>1.0</v>
      </c>
    </row>
    <row r="74">
      <c r="A74" s="89">
        <v>15.0</v>
      </c>
      <c r="B74" s="84" t="s">
        <v>247</v>
      </c>
      <c r="C74" s="85">
        <v>45955.0</v>
      </c>
      <c r="D74" s="86">
        <v>7.86</v>
      </c>
      <c r="E74" s="87">
        <v>2.1</v>
      </c>
      <c r="F74" s="88">
        <v>1.0</v>
      </c>
    </row>
    <row r="75">
      <c r="A75" s="89">
        <v>15.0</v>
      </c>
      <c r="B75" s="84" t="s">
        <v>247</v>
      </c>
      <c r="C75" s="85">
        <v>45955.0</v>
      </c>
      <c r="D75" s="86">
        <v>7.26</v>
      </c>
      <c r="E75" s="87">
        <v>2.02</v>
      </c>
      <c r="F75" s="88">
        <v>1.0</v>
      </c>
    </row>
    <row r="76">
      <c r="A76" s="89">
        <v>15.0</v>
      </c>
      <c r="B76" s="84" t="s">
        <v>247</v>
      </c>
      <c r="C76" s="85">
        <v>45955.0</v>
      </c>
      <c r="D76" s="86">
        <v>7.86</v>
      </c>
      <c r="E76" s="87">
        <v>2.1</v>
      </c>
      <c r="F76" s="88">
        <v>1.0</v>
      </c>
    </row>
    <row r="77">
      <c r="A77" s="89">
        <v>6.0</v>
      </c>
      <c r="B77" s="84" t="s">
        <v>172</v>
      </c>
      <c r="C77" s="85">
        <v>45955.0</v>
      </c>
      <c r="D77" s="86">
        <v>7.24</v>
      </c>
      <c r="E77" s="87">
        <v>2.52</v>
      </c>
      <c r="F77" s="88">
        <v>1.0</v>
      </c>
    </row>
    <row r="78">
      <c r="A78" s="89">
        <v>4.0</v>
      </c>
      <c r="B78" s="84" t="s">
        <v>85</v>
      </c>
      <c r="C78" s="85">
        <v>45955.0</v>
      </c>
      <c r="D78" s="86">
        <v>8.02</v>
      </c>
      <c r="E78" s="87">
        <v>2.13</v>
      </c>
      <c r="F78" s="88">
        <v>1.0</v>
      </c>
    </row>
    <row r="79">
      <c r="A79" s="89">
        <v>15.0</v>
      </c>
      <c r="B79" s="84" t="s">
        <v>247</v>
      </c>
      <c r="C79" s="85">
        <v>45955.0</v>
      </c>
      <c r="D79" s="86">
        <v>7.86</v>
      </c>
      <c r="E79" s="87">
        <v>2.1</v>
      </c>
      <c r="F79" s="88">
        <v>1.0</v>
      </c>
    </row>
    <row r="80">
      <c r="A80" s="89">
        <v>13.0</v>
      </c>
      <c r="B80" s="84" t="s">
        <v>468</v>
      </c>
      <c r="C80" s="85">
        <v>45956.0</v>
      </c>
      <c r="D80" s="86">
        <v>7.96</v>
      </c>
      <c r="E80" s="87">
        <v>2.97</v>
      </c>
      <c r="F80" s="88">
        <v>1.0</v>
      </c>
    </row>
    <row r="81">
      <c r="A81" s="89">
        <v>13.0</v>
      </c>
      <c r="B81" s="84" t="s">
        <v>468</v>
      </c>
      <c r="C81" s="85">
        <v>45956.0</v>
      </c>
      <c r="D81" s="86">
        <v>7.96</v>
      </c>
      <c r="E81" s="87">
        <v>2.97</v>
      </c>
      <c r="F81" s="88">
        <v>1.0</v>
      </c>
    </row>
    <row r="82">
      <c r="A82" s="89">
        <v>15.0</v>
      </c>
      <c r="B82" s="84" t="s">
        <v>247</v>
      </c>
      <c r="C82" s="85">
        <v>45956.0</v>
      </c>
      <c r="D82" s="86">
        <v>10.91</v>
      </c>
      <c r="E82" s="87">
        <v>2.53</v>
      </c>
      <c r="F82" s="88">
        <v>1.0</v>
      </c>
    </row>
    <row r="83">
      <c r="A83" s="89">
        <v>15.0</v>
      </c>
      <c r="B83" s="84" t="s">
        <v>247</v>
      </c>
      <c r="C83" s="85">
        <v>45956.0</v>
      </c>
      <c r="D83" s="86">
        <v>7.86</v>
      </c>
      <c r="E83" s="87">
        <v>2.1</v>
      </c>
      <c r="F83" s="88">
        <v>1.0</v>
      </c>
    </row>
    <row r="84">
      <c r="A84" s="89">
        <v>15.0</v>
      </c>
      <c r="B84" s="84" t="s">
        <v>247</v>
      </c>
      <c r="C84" s="85">
        <v>45956.0</v>
      </c>
      <c r="D84" s="86">
        <v>9.86</v>
      </c>
      <c r="E84" s="87">
        <v>2.38</v>
      </c>
      <c r="F84" s="88">
        <v>1.0</v>
      </c>
    </row>
    <row r="85">
      <c r="A85" s="89">
        <v>15.0</v>
      </c>
      <c r="B85" s="84" t="s">
        <v>247</v>
      </c>
      <c r="C85" s="85">
        <v>45956.0</v>
      </c>
      <c r="D85" s="86">
        <v>9.86</v>
      </c>
      <c r="E85" s="87">
        <v>2.38</v>
      </c>
      <c r="F85" s="88">
        <v>1.0</v>
      </c>
    </row>
    <row r="86">
      <c r="A86" s="89">
        <v>15.0</v>
      </c>
      <c r="B86" s="84" t="s">
        <v>247</v>
      </c>
      <c r="C86" s="85">
        <v>45956.0</v>
      </c>
      <c r="D86" s="86">
        <v>7.86</v>
      </c>
      <c r="E86" s="87">
        <v>2.1</v>
      </c>
      <c r="F86" s="88">
        <v>1.0</v>
      </c>
    </row>
    <row r="87">
      <c r="A87" s="89">
        <v>15.0</v>
      </c>
      <c r="B87" s="84" t="s">
        <v>247</v>
      </c>
      <c r="C87" s="85">
        <v>45956.0</v>
      </c>
      <c r="D87" s="86">
        <v>9.86</v>
      </c>
      <c r="E87" s="87">
        <v>2.38</v>
      </c>
      <c r="F87" s="88">
        <v>1.0</v>
      </c>
    </row>
    <row r="88">
      <c r="A88" s="89">
        <v>5.0</v>
      </c>
      <c r="B88" s="84" t="s">
        <v>103</v>
      </c>
      <c r="C88" s="85">
        <v>45956.0</v>
      </c>
      <c r="D88" s="86">
        <v>5.57</v>
      </c>
      <c r="E88" s="87">
        <v>4.89</v>
      </c>
      <c r="F88" s="88">
        <v>1.0</v>
      </c>
    </row>
    <row r="89">
      <c r="A89" s="89">
        <v>15.0</v>
      </c>
      <c r="B89" s="84" t="s">
        <v>247</v>
      </c>
      <c r="C89" s="85">
        <v>45956.0</v>
      </c>
      <c r="D89" s="86">
        <v>10.91</v>
      </c>
      <c r="E89" s="87">
        <v>2.53</v>
      </c>
      <c r="F89" s="88">
        <v>1.0</v>
      </c>
    </row>
    <row r="90">
      <c r="A90" s="89" t="s">
        <v>965</v>
      </c>
      <c r="C90" s="90"/>
      <c r="D90" s="86">
        <v>442.52</v>
      </c>
      <c r="E90" s="87">
        <v>2.65</v>
      </c>
      <c r="F90" s="88">
        <v>47.0</v>
      </c>
    </row>
    <row r="91">
      <c r="C91" s="90"/>
      <c r="D91" s="91"/>
      <c r="E91" s="92"/>
      <c r="F91" s="93"/>
    </row>
    <row r="92">
      <c r="A92" s="89" t="s">
        <v>966</v>
      </c>
      <c r="C92" s="90"/>
      <c r="D92" s="91"/>
      <c r="E92" s="92"/>
      <c r="F92" s="93"/>
    </row>
    <row r="93">
      <c r="A93" s="89">
        <v>13.0</v>
      </c>
      <c r="B93" s="84" t="s">
        <v>468</v>
      </c>
      <c r="C93" s="85">
        <v>45957.0</v>
      </c>
      <c r="D93" s="86">
        <v>8.46</v>
      </c>
      <c r="E93" s="87">
        <v>3.1</v>
      </c>
      <c r="F93" s="88">
        <v>1.0</v>
      </c>
    </row>
    <row r="94">
      <c r="A94" s="89">
        <v>13.0</v>
      </c>
      <c r="B94" s="84" t="s">
        <v>468</v>
      </c>
      <c r="C94" s="85">
        <v>45957.0</v>
      </c>
      <c r="D94" s="86">
        <v>8.46</v>
      </c>
      <c r="E94" s="87">
        <v>3.1</v>
      </c>
      <c r="F94" s="88">
        <v>1.0</v>
      </c>
    </row>
    <row r="95">
      <c r="A95" s="89">
        <v>13.0</v>
      </c>
      <c r="B95" s="84" t="s">
        <v>468</v>
      </c>
      <c r="C95" s="85">
        <v>45957.0</v>
      </c>
      <c r="D95" s="86">
        <v>11.96</v>
      </c>
      <c r="E95" s="87">
        <v>3.96</v>
      </c>
      <c r="F95" s="88">
        <v>1.0</v>
      </c>
    </row>
    <row r="96">
      <c r="A96" s="89">
        <v>13.0</v>
      </c>
      <c r="B96" s="84" t="s">
        <v>468</v>
      </c>
      <c r="C96" s="85">
        <v>45958.0</v>
      </c>
      <c r="D96" s="86">
        <v>7.96</v>
      </c>
      <c r="E96" s="87">
        <v>2.97</v>
      </c>
      <c r="F96" s="88">
        <v>1.0</v>
      </c>
    </row>
    <row r="97">
      <c r="A97" s="89">
        <v>13.0</v>
      </c>
      <c r="B97" s="84" t="s">
        <v>468</v>
      </c>
      <c r="C97" s="85">
        <v>45958.0</v>
      </c>
      <c r="D97" s="86">
        <v>8.76</v>
      </c>
      <c r="E97" s="87">
        <v>3.17</v>
      </c>
      <c r="F97" s="88">
        <v>1.0</v>
      </c>
    </row>
    <row r="98">
      <c r="A98" s="89">
        <v>13.0</v>
      </c>
      <c r="B98" s="84" t="s">
        <v>468</v>
      </c>
      <c r="C98" s="85">
        <v>45959.0</v>
      </c>
      <c r="D98" s="86">
        <v>10.96</v>
      </c>
      <c r="E98" s="87">
        <v>3.72</v>
      </c>
      <c r="F98" s="88">
        <v>1.0</v>
      </c>
    </row>
    <row r="99">
      <c r="A99" s="89">
        <v>13.0</v>
      </c>
      <c r="B99" s="84" t="s">
        <v>468</v>
      </c>
      <c r="C99" s="85">
        <v>45959.0</v>
      </c>
      <c r="D99" s="86">
        <v>10.96</v>
      </c>
      <c r="E99" s="87">
        <v>3.72</v>
      </c>
      <c r="F99" s="88">
        <v>1.0</v>
      </c>
    </row>
    <row r="100">
      <c r="A100" s="89">
        <v>16.0</v>
      </c>
      <c r="B100" s="84" t="s">
        <v>468</v>
      </c>
      <c r="C100" s="85">
        <v>45960.0</v>
      </c>
      <c r="D100" s="86"/>
      <c r="E100" s="87"/>
      <c r="F100" s="88">
        <v>1.0</v>
      </c>
    </row>
    <row r="101">
      <c r="A101" s="89">
        <v>16.0</v>
      </c>
      <c r="B101" s="84" t="s">
        <v>468</v>
      </c>
      <c r="C101" s="85">
        <v>45960.0</v>
      </c>
      <c r="D101" s="86"/>
      <c r="E101" s="87"/>
      <c r="F101" s="88">
        <v>1.0</v>
      </c>
    </row>
    <row r="102">
      <c r="A102" s="89">
        <v>16.0</v>
      </c>
      <c r="B102" s="84" t="s">
        <v>468</v>
      </c>
      <c r="C102" s="85">
        <v>45960.0</v>
      </c>
      <c r="D102" s="86"/>
      <c r="E102" s="87"/>
      <c r="F102" s="88">
        <v>1.0</v>
      </c>
    </row>
    <row r="103">
      <c r="A103" s="89">
        <v>16.0</v>
      </c>
      <c r="B103" s="84" t="s">
        <v>468</v>
      </c>
      <c r="C103" s="85">
        <v>45960.0</v>
      </c>
      <c r="D103" s="86"/>
      <c r="E103" s="87"/>
      <c r="F103" s="88">
        <v>1.0</v>
      </c>
    </row>
    <row r="104">
      <c r="A104" s="89">
        <v>16.0</v>
      </c>
      <c r="B104" s="84" t="s">
        <v>468</v>
      </c>
      <c r="C104" s="85">
        <v>45960.0</v>
      </c>
      <c r="D104" s="86"/>
      <c r="E104" s="87"/>
      <c r="F104" s="88">
        <v>1.0</v>
      </c>
    </row>
    <row r="105">
      <c r="A105" s="89">
        <v>16.0</v>
      </c>
      <c r="B105" s="84" t="s">
        <v>468</v>
      </c>
      <c r="C105" s="85">
        <v>45960.0</v>
      </c>
      <c r="D105" s="86"/>
      <c r="E105" s="87"/>
      <c r="F105" s="88">
        <v>1.0</v>
      </c>
    </row>
    <row r="106">
      <c r="A106" s="89">
        <v>16.0</v>
      </c>
      <c r="B106" s="84" t="s">
        <v>468</v>
      </c>
      <c r="C106" s="85">
        <v>45960.0</v>
      </c>
      <c r="D106" s="86"/>
      <c r="E106" s="87"/>
      <c r="F106" s="88">
        <v>1.0</v>
      </c>
    </row>
    <row r="107">
      <c r="A107" s="89">
        <v>16.0</v>
      </c>
      <c r="B107" s="84" t="s">
        <v>468</v>
      </c>
      <c r="C107" s="85">
        <v>45961.0</v>
      </c>
      <c r="D107" s="91"/>
      <c r="E107" s="92"/>
      <c r="F107" s="88">
        <v>1.0</v>
      </c>
    </row>
    <row r="108">
      <c r="A108" s="89">
        <v>16.0</v>
      </c>
      <c r="B108" s="84" t="s">
        <v>468</v>
      </c>
      <c r="C108" s="85">
        <v>45961.0</v>
      </c>
      <c r="D108" s="86"/>
      <c r="E108" s="92"/>
      <c r="F108" s="88">
        <v>1.0</v>
      </c>
    </row>
    <row r="109">
      <c r="A109" s="89">
        <v>15.0</v>
      </c>
      <c r="B109" s="84" t="s">
        <v>247</v>
      </c>
      <c r="C109" s="85">
        <v>45961.0</v>
      </c>
      <c r="D109" s="86">
        <v>6.86</v>
      </c>
      <c r="E109" s="87">
        <v>1.96</v>
      </c>
      <c r="F109" s="88">
        <v>1.0</v>
      </c>
    </row>
    <row r="110">
      <c r="A110" s="89">
        <v>16.0</v>
      </c>
      <c r="B110" s="84" t="s">
        <v>468</v>
      </c>
      <c r="C110" s="85">
        <v>45961.0</v>
      </c>
      <c r="D110" s="86"/>
      <c r="E110" s="87"/>
      <c r="F110" s="88">
        <v>1.0</v>
      </c>
    </row>
    <row r="111">
      <c r="A111" s="89">
        <v>16.0</v>
      </c>
      <c r="B111" s="84" t="s">
        <v>468</v>
      </c>
      <c r="C111" s="85">
        <v>45961.0</v>
      </c>
      <c r="D111" s="86"/>
      <c r="E111" s="87"/>
      <c r="F111" s="88">
        <v>1.0</v>
      </c>
    </row>
    <row r="112">
      <c r="A112" s="89">
        <v>5.0</v>
      </c>
      <c r="B112" s="84" t="s">
        <v>103</v>
      </c>
      <c r="C112" s="85">
        <v>45961.0</v>
      </c>
      <c r="D112" s="86">
        <v>3.57</v>
      </c>
      <c r="E112" s="87">
        <v>3.5</v>
      </c>
      <c r="F112" s="88">
        <v>1.0</v>
      </c>
    </row>
    <row r="113">
      <c r="A113" s="89">
        <v>15.0</v>
      </c>
      <c r="B113" s="84" t="s">
        <v>247</v>
      </c>
      <c r="C113" s="85">
        <v>45961.0</v>
      </c>
      <c r="D113" s="86">
        <v>6.46</v>
      </c>
      <c r="E113" s="87">
        <v>1.9</v>
      </c>
      <c r="F113" s="88">
        <v>1.0</v>
      </c>
    </row>
    <row r="114">
      <c r="A114" s="89">
        <v>15.0</v>
      </c>
      <c r="B114" s="84" t="s">
        <v>247</v>
      </c>
      <c r="C114" s="85">
        <v>45961.0</v>
      </c>
      <c r="D114" s="86">
        <v>6.46</v>
      </c>
      <c r="E114" s="87">
        <v>1.9</v>
      </c>
      <c r="F114" s="88">
        <v>1.0</v>
      </c>
    </row>
    <row r="115">
      <c r="A115" s="89">
        <v>15.0</v>
      </c>
      <c r="B115" s="84" t="s">
        <v>247</v>
      </c>
      <c r="C115" s="85">
        <v>45961.0</v>
      </c>
      <c r="D115" s="86">
        <v>6.86</v>
      </c>
      <c r="E115" s="87">
        <v>1.96</v>
      </c>
      <c r="F115" s="88">
        <v>1.0</v>
      </c>
    </row>
    <row r="116">
      <c r="A116" s="89">
        <v>15.0</v>
      </c>
      <c r="B116" s="84" t="s">
        <v>247</v>
      </c>
      <c r="C116" s="85">
        <v>45961.0</v>
      </c>
      <c r="D116" s="86">
        <v>8.86</v>
      </c>
      <c r="E116" s="87">
        <v>2.24</v>
      </c>
      <c r="F116" s="88">
        <v>1.0</v>
      </c>
    </row>
    <row r="117">
      <c r="A117" s="89">
        <v>15.0</v>
      </c>
      <c r="B117" s="84" t="s">
        <v>247</v>
      </c>
      <c r="C117" s="85">
        <v>45961.0</v>
      </c>
      <c r="D117" s="86">
        <v>6.86</v>
      </c>
      <c r="E117" s="87">
        <v>1.96</v>
      </c>
      <c r="F117" s="88">
        <v>1.0</v>
      </c>
    </row>
    <row r="118">
      <c r="A118" s="89" t="s">
        <v>967</v>
      </c>
      <c r="C118" s="90"/>
      <c r="D118" s="86">
        <v>113.45</v>
      </c>
      <c r="E118" s="87">
        <v>2.8</v>
      </c>
      <c r="F118" s="88">
        <v>25.0</v>
      </c>
    </row>
    <row r="119">
      <c r="C119" s="90"/>
      <c r="D119" s="91"/>
      <c r="E119" s="92"/>
      <c r="F119" s="93"/>
    </row>
    <row r="120">
      <c r="A120" s="89" t="s">
        <v>968</v>
      </c>
      <c r="C120" s="90"/>
      <c r="D120" s="86">
        <v>841.49</v>
      </c>
      <c r="E120" s="87">
        <v>2.58</v>
      </c>
      <c r="F120" s="88">
        <v>103.0</v>
      </c>
    </row>
    <row r="121">
      <c r="C121" s="90"/>
      <c r="D121" s="91"/>
      <c r="E121" s="92"/>
      <c r="F121" s="93"/>
    </row>
    <row r="122">
      <c r="C122" s="90"/>
      <c r="D122" s="91"/>
      <c r="E122" s="92"/>
      <c r="F122" s="93"/>
    </row>
    <row r="123">
      <c r="C123" s="90"/>
      <c r="D123" s="91"/>
      <c r="E123" s="92"/>
      <c r="F123" s="93"/>
    </row>
    <row r="124">
      <c r="C124" s="90"/>
      <c r="D124" s="91"/>
      <c r="E124" s="92"/>
      <c r="F124" s="93"/>
    </row>
    <row r="125">
      <c r="C125" s="90"/>
      <c r="D125" s="91"/>
      <c r="E125" s="92"/>
      <c r="F125" s="93"/>
    </row>
    <row r="126">
      <c r="C126" s="90"/>
      <c r="D126" s="91"/>
      <c r="E126" s="92"/>
      <c r="F126" s="93"/>
    </row>
    <row r="127">
      <c r="C127" s="90"/>
      <c r="D127" s="91"/>
      <c r="E127" s="92"/>
      <c r="F127" s="93"/>
    </row>
    <row r="128">
      <c r="C128" s="90"/>
      <c r="D128" s="91"/>
      <c r="E128" s="92"/>
      <c r="F128" s="93"/>
    </row>
    <row r="129">
      <c r="C129" s="90"/>
      <c r="D129" s="91"/>
      <c r="E129" s="92"/>
      <c r="F129" s="93"/>
    </row>
    <row r="130">
      <c r="C130" s="90"/>
      <c r="D130" s="91"/>
      <c r="E130" s="92"/>
      <c r="F130" s="93"/>
    </row>
    <row r="131">
      <c r="C131" s="90"/>
      <c r="D131" s="91"/>
      <c r="E131" s="92"/>
      <c r="F131" s="93"/>
    </row>
    <row r="132">
      <c r="C132" s="90"/>
      <c r="D132" s="91"/>
      <c r="E132" s="92"/>
      <c r="F132" s="93"/>
    </row>
    <row r="133">
      <c r="C133" s="90"/>
      <c r="D133" s="91"/>
      <c r="E133" s="92"/>
      <c r="F133" s="93"/>
    </row>
    <row r="134">
      <c r="C134" s="90"/>
      <c r="D134" s="91"/>
      <c r="E134" s="92"/>
      <c r="F134" s="93"/>
    </row>
    <row r="135">
      <c r="C135" s="90"/>
      <c r="D135" s="91"/>
      <c r="E135" s="92"/>
      <c r="F135" s="93"/>
    </row>
    <row r="136">
      <c r="C136" s="90"/>
      <c r="D136" s="91"/>
      <c r="E136" s="92"/>
      <c r="F136" s="93"/>
    </row>
    <row r="137">
      <c r="C137" s="90"/>
      <c r="D137" s="91"/>
      <c r="E137" s="92"/>
      <c r="F137" s="93"/>
    </row>
    <row r="138">
      <c r="C138" s="90"/>
      <c r="D138" s="91"/>
      <c r="E138" s="92"/>
      <c r="F138" s="93"/>
    </row>
    <row r="139">
      <c r="C139" s="90"/>
      <c r="D139" s="91"/>
      <c r="E139" s="92"/>
      <c r="F139" s="93"/>
    </row>
    <row r="140">
      <c r="C140" s="90"/>
      <c r="D140" s="91"/>
      <c r="E140" s="92"/>
      <c r="F140" s="93"/>
    </row>
    <row r="141">
      <c r="C141" s="90"/>
      <c r="D141" s="91"/>
      <c r="E141" s="92"/>
      <c r="F141" s="93"/>
    </row>
    <row r="142">
      <c r="C142" s="90"/>
      <c r="D142" s="91"/>
      <c r="E142" s="92"/>
      <c r="F142" s="93"/>
    </row>
    <row r="143">
      <c r="C143" s="90"/>
      <c r="D143" s="91"/>
      <c r="E143" s="92"/>
      <c r="F143" s="93"/>
    </row>
    <row r="144">
      <c r="C144" s="90"/>
      <c r="D144" s="91"/>
      <c r="E144" s="92"/>
      <c r="F144" s="93"/>
    </row>
    <row r="145">
      <c r="C145" s="90"/>
      <c r="D145" s="91"/>
      <c r="E145" s="92"/>
      <c r="F145" s="93"/>
    </row>
    <row r="146">
      <c r="C146" s="90"/>
      <c r="D146" s="91"/>
      <c r="E146" s="92"/>
      <c r="F146" s="93"/>
    </row>
    <row r="147">
      <c r="C147" s="90"/>
      <c r="D147" s="91"/>
      <c r="E147" s="92"/>
      <c r="F147" s="93"/>
    </row>
    <row r="148">
      <c r="C148" s="90"/>
      <c r="D148" s="91"/>
      <c r="E148" s="92"/>
      <c r="F148" s="93"/>
    </row>
    <row r="149">
      <c r="C149" s="90"/>
      <c r="D149" s="91"/>
      <c r="E149" s="92"/>
      <c r="F149" s="93"/>
    </row>
    <row r="150">
      <c r="C150" s="90"/>
      <c r="D150" s="91"/>
      <c r="E150" s="92"/>
      <c r="F150" s="93"/>
    </row>
    <row r="151">
      <c r="C151" s="90"/>
      <c r="D151" s="91"/>
      <c r="E151" s="92"/>
      <c r="F151" s="93"/>
    </row>
    <row r="152">
      <c r="C152" s="90"/>
      <c r="D152" s="91"/>
      <c r="E152" s="92"/>
      <c r="F152" s="93"/>
    </row>
    <row r="153">
      <c r="C153" s="90"/>
      <c r="D153" s="91"/>
      <c r="E153" s="92"/>
      <c r="F153" s="93"/>
    </row>
    <row r="154">
      <c r="C154" s="90"/>
      <c r="D154" s="91"/>
      <c r="E154" s="92"/>
      <c r="F154" s="93"/>
    </row>
    <row r="155">
      <c r="C155" s="90"/>
      <c r="D155" s="91"/>
      <c r="E155" s="92"/>
      <c r="F155" s="93"/>
    </row>
    <row r="156">
      <c r="C156" s="90"/>
      <c r="D156" s="91"/>
      <c r="E156" s="92"/>
      <c r="F156" s="93"/>
    </row>
    <row r="157">
      <c r="C157" s="90"/>
      <c r="D157" s="91"/>
      <c r="E157" s="92"/>
      <c r="F157" s="93"/>
    </row>
    <row r="158">
      <c r="C158" s="90"/>
      <c r="D158" s="91"/>
      <c r="E158" s="92"/>
      <c r="F158" s="93"/>
    </row>
    <row r="159">
      <c r="C159" s="90"/>
      <c r="D159" s="91"/>
      <c r="E159" s="92"/>
      <c r="F159" s="93"/>
    </row>
    <row r="160">
      <c r="C160" s="90"/>
      <c r="D160" s="91"/>
      <c r="E160" s="92"/>
      <c r="F160" s="93"/>
    </row>
    <row r="161">
      <c r="C161" s="90"/>
      <c r="D161" s="91"/>
      <c r="E161" s="92"/>
      <c r="F161" s="93"/>
    </row>
    <row r="162">
      <c r="C162" s="90"/>
      <c r="D162" s="91"/>
      <c r="E162" s="92"/>
      <c r="F162" s="93"/>
    </row>
    <row r="163">
      <c r="C163" s="90"/>
      <c r="D163" s="91"/>
      <c r="E163" s="92"/>
      <c r="F163" s="93"/>
    </row>
    <row r="164">
      <c r="C164" s="90"/>
      <c r="D164" s="91"/>
      <c r="E164" s="92"/>
      <c r="F164" s="93"/>
    </row>
    <row r="165">
      <c r="C165" s="90"/>
      <c r="D165" s="91"/>
      <c r="E165" s="92"/>
      <c r="F165" s="93"/>
    </row>
    <row r="166">
      <c r="C166" s="90"/>
      <c r="D166" s="91"/>
      <c r="E166" s="92"/>
      <c r="F166" s="93"/>
    </row>
    <row r="167">
      <c r="C167" s="90"/>
      <c r="D167" s="91"/>
      <c r="E167" s="92"/>
      <c r="F167" s="93"/>
    </row>
    <row r="168">
      <c r="C168" s="90"/>
      <c r="D168" s="91"/>
      <c r="E168" s="92"/>
      <c r="F168" s="93"/>
    </row>
    <row r="169">
      <c r="C169" s="90"/>
      <c r="D169" s="91"/>
      <c r="E169" s="92"/>
      <c r="F169" s="93"/>
    </row>
    <row r="170">
      <c r="C170" s="90"/>
      <c r="D170" s="91"/>
      <c r="E170" s="92"/>
      <c r="F170" s="93"/>
    </row>
    <row r="171">
      <c r="C171" s="90"/>
      <c r="D171" s="91"/>
      <c r="E171" s="92"/>
      <c r="F171" s="93"/>
    </row>
    <row r="172">
      <c r="C172" s="90"/>
      <c r="D172" s="91"/>
      <c r="E172" s="92"/>
      <c r="F172" s="93"/>
    </row>
    <row r="173">
      <c r="C173" s="90"/>
      <c r="D173" s="91"/>
      <c r="E173" s="92"/>
      <c r="F173" s="93"/>
    </row>
    <row r="174">
      <c r="C174" s="90"/>
      <c r="D174" s="91"/>
      <c r="E174" s="92"/>
      <c r="F174" s="93"/>
    </row>
    <row r="175">
      <c r="C175" s="90"/>
      <c r="D175" s="91"/>
      <c r="E175" s="92"/>
      <c r="F175" s="93"/>
    </row>
    <row r="176">
      <c r="C176" s="90"/>
      <c r="D176" s="91"/>
      <c r="E176" s="92"/>
      <c r="F176" s="93"/>
    </row>
    <row r="177">
      <c r="C177" s="90"/>
      <c r="D177" s="91"/>
      <c r="E177" s="92"/>
      <c r="F177" s="93"/>
    </row>
    <row r="178">
      <c r="C178" s="90"/>
      <c r="D178" s="91"/>
      <c r="E178" s="92"/>
      <c r="F178" s="93"/>
    </row>
    <row r="179">
      <c r="C179" s="90"/>
      <c r="D179" s="91"/>
      <c r="E179" s="92"/>
      <c r="F179" s="93"/>
    </row>
    <row r="180">
      <c r="C180" s="90"/>
      <c r="D180" s="91"/>
      <c r="E180" s="92"/>
      <c r="F180" s="93"/>
    </row>
    <row r="181">
      <c r="C181" s="90"/>
      <c r="D181" s="91"/>
      <c r="E181" s="92"/>
      <c r="F181" s="93"/>
    </row>
    <row r="182">
      <c r="C182" s="90"/>
      <c r="D182" s="91"/>
      <c r="E182" s="92"/>
      <c r="F182" s="93"/>
    </row>
    <row r="183">
      <c r="C183" s="90"/>
      <c r="D183" s="91"/>
      <c r="E183" s="92"/>
      <c r="F183" s="93"/>
    </row>
    <row r="184">
      <c r="C184" s="90"/>
      <c r="D184" s="91"/>
      <c r="E184" s="92"/>
      <c r="F184" s="93"/>
    </row>
    <row r="185">
      <c r="C185" s="90"/>
      <c r="D185" s="91"/>
      <c r="E185" s="92"/>
      <c r="F185" s="93"/>
    </row>
    <row r="186">
      <c r="C186" s="90"/>
      <c r="D186" s="91"/>
      <c r="E186" s="92"/>
      <c r="F186" s="93"/>
    </row>
    <row r="187">
      <c r="C187" s="90"/>
      <c r="D187" s="91"/>
      <c r="E187" s="92"/>
      <c r="F187" s="93"/>
    </row>
    <row r="188">
      <c r="C188" s="90"/>
      <c r="D188" s="91"/>
      <c r="E188" s="92"/>
      <c r="F188" s="93"/>
    </row>
    <row r="189">
      <c r="C189" s="90"/>
      <c r="D189" s="91"/>
      <c r="E189" s="92"/>
      <c r="F189" s="93"/>
    </row>
    <row r="190">
      <c r="C190" s="90"/>
      <c r="D190" s="91"/>
      <c r="E190" s="92"/>
      <c r="F190" s="93"/>
    </row>
    <row r="191">
      <c r="C191" s="90"/>
      <c r="D191" s="91"/>
      <c r="E191" s="92"/>
      <c r="F191" s="93"/>
    </row>
    <row r="192">
      <c r="C192" s="90"/>
      <c r="D192" s="91"/>
      <c r="E192" s="92"/>
      <c r="F192" s="93"/>
    </row>
    <row r="193">
      <c r="C193" s="90"/>
      <c r="D193" s="91"/>
      <c r="E193" s="92"/>
      <c r="F193" s="93"/>
    </row>
    <row r="194">
      <c r="C194" s="90"/>
      <c r="D194" s="91"/>
      <c r="E194" s="92"/>
      <c r="F194" s="93"/>
    </row>
    <row r="195">
      <c r="C195" s="90"/>
      <c r="D195" s="91"/>
      <c r="E195" s="92"/>
      <c r="F195" s="93"/>
    </row>
    <row r="196">
      <c r="C196" s="90"/>
      <c r="D196" s="91"/>
      <c r="E196" s="92"/>
      <c r="F196" s="93"/>
    </row>
    <row r="197">
      <c r="C197" s="90"/>
      <c r="D197" s="91"/>
      <c r="E197" s="92"/>
      <c r="F197" s="93"/>
    </row>
    <row r="198">
      <c r="C198" s="90"/>
      <c r="D198" s="91"/>
      <c r="E198" s="92"/>
      <c r="F198" s="93"/>
    </row>
    <row r="199">
      <c r="C199" s="90"/>
      <c r="D199" s="91"/>
      <c r="E199" s="92"/>
      <c r="F199" s="93"/>
    </row>
    <row r="200">
      <c r="C200" s="90"/>
      <c r="D200" s="91"/>
      <c r="E200" s="92"/>
      <c r="F200" s="93"/>
    </row>
    <row r="201">
      <c r="C201" s="90"/>
      <c r="D201" s="91"/>
      <c r="E201" s="92"/>
      <c r="F201" s="93"/>
    </row>
    <row r="202">
      <c r="C202" s="90"/>
      <c r="D202" s="91"/>
      <c r="E202" s="92"/>
      <c r="F202" s="93"/>
    </row>
    <row r="203">
      <c r="C203" s="90"/>
      <c r="D203" s="91"/>
      <c r="E203" s="92"/>
      <c r="F203" s="93"/>
    </row>
    <row r="204">
      <c r="C204" s="90"/>
      <c r="D204" s="91"/>
      <c r="E204" s="92"/>
      <c r="F204" s="93"/>
    </row>
    <row r="205">
      <c r="C205" s="90"/>
      <c r="D205" s="91"/>
      <c r="E205" s="92"/>
      <c r="F205" s="93"/>
    </row>
    <row r="206">
      <c r="C206" s="90"/>
      <c r="D206" s="91"/>
      <c r="E206" s="92"/>
      <c r="F206" s="93"/>
    </row>
    <row r="207">
      <c r="C207" s="90"/>
      <c r="D207" s="91"/>
      <c r="E207" s="92"/>
      <c r="F207" s="93"/>
    </row>
    <row r="208">
      <c r="C208" s="90"/>
      <c r="D208" s="91"/>
      <c r="E208" s="92"/>
      <c r="F208" s="93"/>
    </row>
    <row r="209">
      <c r="C209" s="90"/>
      <c r="D209" s="91"/>
      <c r="E209" s="92"/>
      <c r="F209" s="93"/>
    </row>
    <row r="210">
      <c r="C210" s="90"/>
      <c r="D210" s="91"/>
      <c r="E210" s="92"/>
      <c r="F210" s="93"/>
    </row>
    <row r="211">
      <c r="C211" s="90"/>
      <c r="D211" s="91"/>
      <c r="E211" s="92"/>
      <c r="F211" s="93"/>
    </row>
    <row r="212">
      <c r="C212" s="90"/>
      <c r="D212" s="91"/>
      <c r="E212" s="92"/>
      <c r="F212" s="93"/>
    </row>
    <row r="213">
      <c r="C213" s="90"/>
      <c r="D213" s="91"/>
      <c r="E213" s="92"/>
      <c r="F213" s="93"/>
    </row>
    <row r="214">
      <c r="C214" s="90"/>
      <c r="D214" s="91"/>
      <c r="E214" s="92"/>
      <c r="F214" s="93"/>
    </row>
    <row r="215">
      <c r="C215" s="90"/>
      <c r="D215" s="91"/>
      <c r="E215" s="92"/>
      <c r="F215" s="93"/>
    </row>
    <row r="216">
      <c r="C216" s="90"/>
      <c r="D216" s="91"/>
      <c r="E216" s="92"/>
      <c r="F216" s="93"/>
    </row>
    <row r="217">
      <c r="C217" s="90"/>
      <c r="D217" s="91"/>
      <c r="E217" s="92"/>
      <c r="F217" s="93"/>
    </row>
    <row r="218">
      <c r="C218" s="90"/>
      <c r="D218" s="91"/>
      <c r="E218" s="92"/>
      <c r="F218" s="93"/>
    </row>
    <row r="219">
      <c r="C219" s="90"/>
      <c r="D219" s="91"/>
      <c r="E219" s="92"/>
      <c r="F219" s="93"/>
    </row>
    <row r="220">
      <c r="C220" s="90"/>
      <c r="D220" s="91"/>
      <c r="E220" s="92"/>
      <c r="F220" s="93"/>
    </row>
    <row r="221">
      <c r="C221" s="90"/>
      <c r="D221" s="91"/>
      <c r="E221" s="92"/>
      <c r="F221" s="93"/>
    </row>
    <row r="222">
      <c r="C222" s="90"/>
      <c r="D222" s="91"/>
      <c r="E222" s="92"/>
      <c r="F222" s="93"/>
    </row>
    <row r="223">
      <c r="C223" s="90"/>
      <c r="D223" s="91"/>
      <c r="E223" s="92"/>
      <c r="F223" s="93"/>
    </row>
    <row r="224">
      <c r="C224" s="90"/>
      <c r="D224" s="91"/>
      <c r="E224" s="92"/>
      <c r="F224" s="93"/>
    </row>
    <row r="225">
      <c r="C225" s="90"/>
      <c r="D225" s="91"/>
      <c r="E225" s="92"/>
      <c r="F225" s="93"/>
    </row>
    <row r="226">
      <c r="C226" s="90"/>
      <c r="D226" s="91"/>
      <c r="E226" s="92"/>
      <c r="F226" s="93"/>
    </row>
    <row r="227">
      <c r="C227" s="90"/>
      <c r="D227" s="91"/>
      <c r="E227" s="92"/>
      <c r="F227" s="93"/>
    </row>
    <row r="228">
      <c r="C228" s="90"/>
      <c r="D228" s="91"/>
      <c r="E228" s="92"/>
      <c r="F228" s="93"/>
    </row>
    <row r="229">
      <c r="C229" s="90"/>
      <c r="D229" s="91"/>
      <c r="E229" s="92"/>
      <c r="F229" s="93"/>
    </row>
    <row r="230">
      <c r="C230" s="90"/>
      <c r="D230" s="91"/>
      <c r="E230" s="92"/>
      <c r="F230" s="93"/>
    </row>
    <row r="231">
      <c r="C231" s="90"/>
      <c r="D231" s="91"/>
      <c r="E231" s="92"/>
      <c r="F231" s="93"/>
    </row>
    <row r="232">
      <c r="C232" s="90"/>
      <c r="D232" s="91"/>
      <c r="E232" s="92"/>
      <c r="F232" s="93"/>
    </row>
    <row r="233">
      <c r="C233" s="90"/>
      <c r="D233" s="91"/>
      <c r="E233" s="92"/>
      <c r="F233" s="93"/>
    </row>
    <row r="234">
      <c r="C234" s="90"/>
      <c r="D234" s="91"/>
      <c r="E234" s="92"/>
      <c r="F234" s="93"/>
    </row>
    <row r="235">
      <c r="C235" s="90"/>
      <c r="D235" s="91"/>
      <c r="E235" s="92"/>
      <c r="F235" s="93"/>
    </row>
    <row r="236">
      <c r="C236" s="90"/>
      <c r="D236" s="91"/>
      <c r="E236" s="92"/>
      <c r="F236" s="93"/>
    </row>
    <row r="237">
      <c r="C237" s="90"/>
      <c r="D237" s="91"/>
      <c r="E237" s="92"/>
      <c r="F237" s="93"/>
    </row>
    <row r="238">
      <c r="C238" s="90"/>
      <c r="D238" s="91"/>
      <c r="E238" s="92"/>
      <c r="F238" s="93"/>
    </row>
    <row r="239">
      <c r="C239" s="90"/>
      <c r="D239" s="91"/>
      <c r="E239" s="92"/>
      <c r="F239" s="93"/>
    </row>
    <row r="240">
      <c r="C240" s="90"/>
      <c r="D240" s="91"/>
      <c r="E240" s="92"/>
      <c r="F240" s="93"/>
    </row>
    <row r="241">
      <c r="C241" s="90"/>
      <c r="D241" s="91"/>
      <c r="E241" s="92"/>
      <c r="F241" s="93"/>
    </row>
    <row r="242">
      <c r="C242" s="90"/>
      <c r="D242" s="91"/>
      <c r="E242" s="92"/>
      <c r="F242" s="93"/>
    </row>
    <row r="243">
      <c r="C243" s="90"/>
      <c r="D243" s="91"/>
      <c r="E243" s="92"/>
      <c r="F243" s="93"/>
    </row>
    <row r="244">
      <c r="C244" s="90"/>
      <c r="D244" s="91"/>
      <c r="E244" s="92"/>
      <c r="F244" s="93"/>
    </row>
    <row r="245">
      <c r="C245" s="90"/>
      <c r="D245" s="91"/>
      <c r="E245" s="92"/>
      <c r="F245" s="93"/>
    </row>
    <row r="246">
      <c r="C246" s="90"/>
      <c r="D246" s="91"/>
      <c r="E246" s="92"/>
      <c r="F246" s="93"/>
    </row>
    <row r="247">
      <c r="C247" s="90"/>
      <c r="D247" s="91"/>
      <c r="E247" s="92"/>
      <c r="F247" s="93"/>
    </row>
    <row r="248">
      <c r="C248" s="90"/>
      <c r="D248" s="91"/>
      <c r="E248" s="92"/>
      <c r="F248" s="93"/>
    </row>
    <row r="249">
      <c r="C249" s="90"/>
      <c r="D249" s="91"/>
      <c r="E249" s="92"/>
      <c r="F249" s="93"/>
    </row>
    <row r="250">
      <c r="C250" s="90"/>
      <c r="D250" s="91"/>
      <c r="E250" s="92"/>
      <c r="F250" s="93"/>
    </row>
    <row r="251">
      <c r="C251" s="90"/>
      <c r="D251" s="91"/>
      <c r="E251" s="92"/>
      <c r="F251" s="93"/>
    </row>
    <row r="252">
      <c r="C252" s="90"/>
      <c r="D252" s="91"/>
      <c r="E252" s="92"/>
      <c r="F252" s="93"/>
    </row>
    <row r="253">
      <c r="C253" s="90"/>
      <c r="D253" s="91"/>
      <c r="E253" s="92"/>
      <c r="F253" s="93"/>
    </row>
    <row r="254">
      <c r="C254" s="90"/>
      <c r="D254" s="91"/>
      <c r="E254" s="92"/>
      <c r="F254" s="93"/>
    </row>
    <row r="255">
      <c r="C255" s="90"/>
      <c r="D255" s="91"/>
      <c r="E255" s="92"/>
      <c r="F255" s="93"/>
    </row>
    <row r="256">
      <c r="C256" s="90"/>
      <c r="D256" s="91"/>
      <c r="E256" s="92"/>
      <c r="F256" s="93"/>
    </row>
    <row r="257">
      <c r="C257" s="90"/>
      <c r="D257" s="91"/>
      <c r="E257" s="92"/>
      <c r="F257" s="93"/>
    </row>
    <row r="258">
      <c r="C258" s="90"/>
      <c r="D258" s="91"/>
      <c r="E258" s="92"/>
      <c r="F258" s="93"/>
    </row>
    <row r="259">
      <c r="C259" s="90"/>
      <c r="D259" s="91"/>
      <c r="E259" s="92"/>
      <c r="F259" s="93"/>
    </row>
    <row r="260">
      <c r="C260" s="90"/>
      <c r="D260" s="91"/>
      <c r="E260" s="92"/>
      <c r="F260" s="93"/>
    </row>
    <row r="261">
      <c r="C261" s="90"/>
      <c r="D261" s="91"/>
      <c r="E261" s="92"/>
      <c r="F261" s="93"/>
    </row>
    <row r="262">
      <c r="C262" s="90"/>
      <c r="D262" s="91"/>
      <c r="E262" s="92"/>
      <c r="F262" s="93"/>
    </row>
    <row r="263">
      <c r="C263" s="90"/>
      <c r="D263" s="91"/>
      <c r="E263" s="92"/>
      <c r="F263" s="93"/>
    </row>
    <row r="264">
      <c r="C264" s="90"/>
      <c r="D264" s="91"/>
      <c r="E264" s="92"/>
      <c r="F264" s="93"/>
    </row>
    <row r="265">
      <c r="C265" s="90"/>
      <c r="D265" s="91"/>
      <c r="E265" s="92"/>
      <c r="F265" s="93"/>
    </row>
    <row r="266">
      <c r="C266" s="90"/>
      <c r="D266" s="91"/>
      <c r="E266" s="92"/>
      <c r="F266" s="93"/>
    </row>
    <row r="267">
      <c r="C267" s="90"/>
      <c r="D267" s="91"/>
      <c r="E267" s="92"/>
      <c r="F267" s="93"/>
    </row>
    <row r="268">
      <c r="C268" s="90"/>
      <c r="D268" s="91"/>
      <c r="E268" s="92"/>
      <c r="F268" s="93"/>
    </row>
    <row r="269">
      <c r="C269" s="90"/>
      <c r="D269" s="91"/>
      <c r="E269" s="92"/>
      <c r="F269" s="93"/>
    </row>
    <row r="270">
      <c r="C270" s="90"/>
      <c r="D270" s="91"/>
      <c r="E270" s="92"/>
      <c r="F270" s="93"/>
    </row>
    <row r="271">
      <c r="C271" s="90"/>
      <c r="D271" s="91"/>
      <c r="E271" s="92"/>
      <c r="F271" s="93"/>
    </row>
    <row r="272">
      <c r="C272" s="90"/>
      <c r="D272" s="91"/>
      <c r="E272" s="92"/>
      <c r="F272" s="93"/>
    </row>
    <row r="273">
      <c r="C273" s="90"/>
      <c r="D273" s="91"/>
      <c r="E273" s="92"/>
      <c r="F273" s="93"/>
    </row>
    <row r="274">
      <c r="C274" s="90"/>
      <c r="D274" s="91"/>
      <c r="E274" s="92"/>
      <c r="F274" s="93"/>
    </row>
    <row r="275">
      <c r="C275" s="90"/>
      <c r="D275" s="91"/>
      <c r="E275" s="92"/>
      <c r="F275" s="93"/>
    </row>
    <row r="276">
      <c r="C276" s="90"/>
      <c r="D276" s="91"/>
      <c r="E276" s="92"/>
      <c r="F276" s="93"/>
    </row>
    <row r="277">
      <c r="C277" s="90"/>
      <c r="D277" s="91"/>
      <c r="E277" s="92"/>
      <c r="F277" s="93"/>
    </row>
    <row r="278">
      <c r="C278" s="90"/>
      <c r="D278" s="91"/>
      <c r="E278" s="92"/>
      <c r="F278" s="93"/>
    </row>
    <row r="279">
      <c r="C279" s="90"/>
      <c r="D279" s="91"/>
      <c r="E279" s="92"/>
      <c r="F279" s="93"/>
    </row>
    <row r="280">
      <c r="C280" s="90"/>
      <c r="D280" s="91"/>
      <c r="E280" s="92"/>
      <c r="F280" s="93"/>
    </row>
    <row r="281">
      <c r="C281" s="90"/>
      <c r="D281" s="91"/>
      <c r="E281" s="92"/>
      <c r="F281" s="93"/>
    </row>
    <row r="282">
      <c r="C282" s="90"/>
      <c r="D282" s="91"/>
      <c r="E282" s="92"/>
      <c r="F282" s="93"/>
    </row>
    <row r="283">
      <c r="C283" s="90"/>
      <c r="D283" s="91"/>
      <c r="E283" s="92"/>
      <c r="F283" s="93"/>
    </row>
    <row r="284">
      <c r="C284" s="90"/>
      <c r="D284" s="91"/>
      <c r="E284" s="92"/>
      <c r="F284" s="93"/>
    </row>
    <row r="285">
      <c r="C285" s="90"/>
      <c r="D285" s="91"/>
      <c r="E285" s="92"/>
      <c r="F285" s="93"/>
    </row>
    <row r="286">
      <c r="C286" s="90"/>
      <c r="D286" s="91"/>
      <c r="E286" s="92"/>
      <c r="F286" s="93"/>
    </row>
    <row r="287">
      <c r="C287" s="90"/>
      <c r="D287" s="91"/>
      <c r="E287" s="92"/>
      <c r="F287" s="93"/>
    </row>
    <row r="288">
      <c r="C288" s="90"/>
      <c r="D288" s="91"/>
      <c r="E288" s="92"/>
      <c r="F288" s="93"/>
    </row>
    <row r="289">
      <c r="C289" s="90"/>
      <c r="D289" s="91"/>
      <c r="E289" s="92"/>
      <c r="F289" s="93"/>
    </row>
    <row r="290">
      <c r="C290" s="90"/>
      <c r="D290" s="91"/>
      <c r="E290" s="92"/>
      <c r="F290" s="93"/>
    </row>
    <row r="291">
      <c r="C291" s="90"/>
      <c r="D291" s="91"/>
      <c r="E291" s="92"/>
      <c r="F291" s="93"/>
    </row>
    <row r="292">
      <c r="C292" s="90"/>
      <c r="D292" s="91"/>
      <c r="E292" s="92"/>
      <c r="F292" s="93"/>
    </row>
    <row r="293">
      <c r="C293" s="90"/>
      <c r="D293" s="91"/>
      <c r="E293" s="92"/>
      <c r="F293" s="93"/>
    </row>
    <row r="294">
      <c r="C294" s="90"/>
      <c r="D294" s="91"/>
      <c r="E294" s="92"/>
      <c r="F294" s="93"/>
    </row>
    <row r="295">
      <c r="C295" s="90"/>
      <c r="D295" s="91"/>
      <c r="E295" s="92"/>
      <c r="F295" s="93"/>
    </row>
    <row r="296">
      <c r="C296" s="90"/>
      <c r="D296" s="91"/>
      <c r="E296" s="92"/>
      <c r="F296" s="93"/>
    </row>
    <row r="297">
      <c r="C297" s="90"/>
      <c r="D297" s="91"/>
      <c r="E297" s="92"/>
      <c r="F297" s="93"/>
    </row>
    <row r="298">
      <c r="C298" s="90"/>
      <c r="D298" s="91"/>
      <c r="E298" s="92"/>
      <c r="F298" s="93"/>
    </row>
    <row r="299">
      <c r="C299" s="90"/>
      <c r="D299" s="91"/>
      <c r="E299" s="92"/>
      <c r="F299" s="93"/>
    </row>
    <row r="300">
      <c r="C300" s="90"/>
      <c r="D300" s="91"/>
      <c r="E300" s="92"/>
      <c r="F300" s="93"/>
    </row>
    <row r="301">
      <c r="C301" s="90"/>
      <c r="D301" s="91"/>
      <c r="E301" s="92"/>
      <c r="F301" s="93"/>
    </row>
    <row r="302">
      <c r="C302" s="90"/>
      <c r="D302" s="91"/>
      <c r="E302" s="92"/>
      <c r="F302" s="93"/>
    </row>
    <row r="303">
      <c r="C303" s="90"/>
      <c r="D303" s="91"/>
      <c r="E303" s="92"/>
      <c r="F303" s="93"/>
    </row>
    <row r="304">
      <c r="C304" s="90"/>
      <c r="D304" s="91"/>
      <c r="E304" s="92"/>
      <c r="F304" s="93"/>
    </row>
    <row r="305">
      <c r="C305" s="90"/>
      <c r="D305" s="91"/>
      <c r="E305" s="92"/>
      <c r="F305" s="93"/>
    </row>
    <row r="306">
      <c r="C306" s="90"/>
      <c r="D306" s="91"/>
      <c r="E306" s="92"/>
      <c r="F306" s="93"/>
    </row>
    <row r="307">
      <c r="C307" s="90"/>
      <c r="D307" s="91"/>
      <c r="E307" s="92"/>
      <c r="F307" s="93"/>
    </row>
    <row r="308">
      <c r="C308" s="90"/>
      <c r="D308" s="91"/>
      <c r="E308" s="92"/>
      <c r="F308" s="93"/>
    </row>
    <row r="309">
      <c r="C309" s="90"/>
      <c r="D309" s="91"/>
      <c r="E309" s="92"/>
      <c r="F309" s="93"/>
    </row>
    <row r="310">
      <c r="C310" s="90"/>
      <c r="D310" s="91"/>
      <c r="E310" s="92"/>
      <c r="F310" s="93"/>
    </row>
    <row r="311">
      <c r="C311" s="90"/>
      <c r="D311" s="91"/>
      <c r="E311" s="92"/>
      <c r="F311" s="93"/>
    </row>
    <row r="312">
      <c r="C312" s="90"/>
      <c r="D312" s="91"/>
      <c r="E312" s="92"/>
      <c r="F312" s="93"/>
    </row>
    <row r="313">
      <c r="C313" s="90"/>
      <c r="D313" s="91"/>
      <c r="E313" s="92"/>
      <c r="F313" s="93"/>
    </row>
    <row r="314">
      <c r="C314" s="90"/>
      <c r="D314" s="91"/>
      <c r="E314" s="92"/>
      <c r="F314" s="93"/>
    </row>
    <row r="315">
      <c r="C315" s="90"/>
      <c r="D315" s="91"/>
      <c r="E315" s="92"/>
      <c r="F315" s="93"/>
    </row>
    <row r="316">
      <c r="C316" s="90"/>
      <c r="D316" s="91"/>
      <c r="E316" s="92"/>
      <c r="F316" s="93"/>
    </row>
    <row r="317">
      <c r="C317" s="90"/>
      <c r="D317" s="91"/>
      <c r="E317" s="92"/>
      <c r="F317" s="93"/>
    </row>
    <row r="318">
      <c r="C318" s="90"/>
      <c r="D318" s="91"/>
      <c r="E318" s="92"/>
      <c r="F318" s="93"/>
    </row>
    <row r="319">
      <c r="C319" s="90"/>
      <c r="D319" s="91"/>
      <c r="E319" s="92"/>
      <c r="F319" s="93"/>
    </row>
    <row r="320">
      <c r="C320" s="90"/>
      <c r="D320" s="91"/>
      <c r="E320" s="92"/>
      <c r="F320" s="93"/>
    </row>
    <row r="321">
      <c r="C321" s="90"/>
      <c r="D321" s="91"/>
      <c r="E321" s="92"/>
      <c r="F321" s="93"/>
    </row>
    <row r="322">
      <c r="C322" s="90"/>
      <c r="D322" s="91"/>
      <c r="E322" s="92"/>
      <c r="F322" s="93"/>
    </row>
    <row r="323">
      <c r="C323" s="90"/>
      <c r="D323" s="91"/>
      <c r="E323" s="92"/>
      <c r="F323" s="93"/>
    </row>
    <row r="324">
      <c r="C324" s="90"/>
      <c r="D324" s="91"/>
      <c r="E324" s="92"/>
      <c r="F324" s="93"/>
    </row>
    <row r="325">
      <c r="C325" s="90"/>
      <c r="D325" s="91"/>
      <c r="E325" s="92"/>
      <c r="F325" s="93"/>
    </row>
    <row r="326">
      <c r="C326" s="90"/>
      <c r="D326" s="91"/>
      <c r="E326" s="92"/>
      <c r="F326" s="93"/>
    </row>
    <row r="327">
      <c r="C327" s="90"/>
      <c r="D327" s="91"/>
      <c r="E327" s="92"/>
      <c r="F327" s="93"/>
    </row>
    <row r="328">
      <c r="C328" s="90"/>
      <c r="D328" s="91"/>
      <c r="E328" s="92"/>
      <c r="F328" s="93"/>
    </row>
    <row r="329">
      <c r="C329" s="90"/>
      <c r="D329" s="91"/>
      <c r="E329" s="92"/>
      <c r="F329" s="93"/>
    </row>
    <row r="330">
      <c r="C330" s="90"/>
      <c r="D330" s="91"/>
      <c r="E330" s="92"/>
      <c r="F330" s="93"/>
    </row>
    <row r="331">
      <c r="C331" s="90"/>
      <c r="D331" s="91"/>
      <c r="E331" s="92"/>
      <c r="F331" s="93"/>
    </row>
    <row r="332">
      <c r="C332" s="90"/>
      <c r="D332" s="91"/>
      <c r="E332" s="92"/>
      <c r="F332" s="93"/>
    </row>
    <row r="333">
      <c r="C333" s="90"/>
      <c r="D333" s="91"/>
      <c r="E333" s="92"/>
      <c r="F333" s="93"/>
    </row>
    <row r="334">
      <c r="C334" s="90"/>
      <c r="D334" s="91"/>
      <c r="E334" s="92"/>
      <c r="F334" s="93"/>
    </row>
    <row r="335">
      <c r="C335" s="90"/>
      <c r="D335" s="91"/>
      <c r="E335" s="92"/>
      <c r="F335" s="93"/>
    </row>
    <row r="336">
      <c r="C336" s="90"/>
      <c r="D336" s="91"/>
      <c r="E336" s="92"/>
      <c r="F336" s="93"/>
    </row>
    <row r="337">
      <c r="C337" s="90"/>
      <c r="D337" s="91"/>
      <c r="E337" s="92"/>
      <c r="F337" s="93"/>
    </row>
    <row r="338">
      <c r="C338" s="90"/>
      <c r="D338" s="91"/>
      <c r="E338" s="92"/>
      <c r="F338" s="93"/>
    </row>
    <row r="339">
      <c r="C339" s="90"/>
      <c r="D339" s="91"/>
      <c r="E339" s="92"/>
      <c r="F339" s="93"/>
    </row>
    <row r="340">
      <c r="C340" s="90"/>
      <c r="D340" s="91"/>
      <c r="E340" s="92"/>
      <c r="F340" s="93"/>
    </row>
    <row r="341">
      <c r="C341" s="90"/>
      <c r="D341" s="91"/>
      <c r="E341" s="92"/>
      <c r="F341" s="93"/>
    </row>
    <row r="342">
      <c r="C342" s="90"/>
      <c r="D342" s="91"/>
      <c r="E342" s="92"/>
      <c r="F342" s="93"/>
    </row>
    <row r="343">
      <c r="C343" s="90"/>
      <c r="D343" s="91"/>
      <c r="E343" s="92"/>
      <c r="F343" s="93"/>
    </row>
    <row r="344">
      <c r="C344" s="90"/>
      <c r="D344" s="91"/>
      <c r="E344" s="92"/>
      <c r="F344" s="93"/>
    </row>
    <row r="345">
      <c r="C345" s="90"/>
      <c r="D345" s="91"/>
      <c r="E345" s="92"/>
      <c r="F345" s="93"/>
    </row>
    <row r="346">
      <c r="C346" s="90"/>
      <c r="D346" s="91"/>
      <c r="E346" s="92"/>
      <c r="F346" s="93"/>
    </row>
    <row r="347">
      <c r="C347" s="90"/>
      <c r="D347" s="91"/>
      <c r="E347" s="92"/>
      <c r="F347" s="93"/>
    </row>
    <row r="348">
      <c r="C348" s="90"/>
      <c r="D348" s="91"/>
      <c r="E348" s="92"/>
      <c r="F348" s="93"/>
    </row>
    <row r="349">
      <c r="C349" s="90"/>
      <c r="D349" s="91"/>
      <c r="E349" s="92"/>
      <c r="F349" s="93"/>
    </row>
    <row r="350">
      <c r="C350" s="90"/>
      <c r="D350" s="91"/>
      <c r="E350" s="92"/>
      <c r="F350" s="93"/>
    </row>
    <row r="351">
      <c r="C351" s="90"/>
      <c r="D351" s="91"/>
      <c r="E351" s="92"/>
      <c r="F351" s="93"/>
    </row>
    <row r="352">
      <c r="C352" s="90"/>
      <c r="D352" s="91"/>
      <c r="E352" s="92"/>
      <c r="F352" s="93"/>
    </row>
    <row r="353">
      <c r="C353" s="90"/>
      <c r="D353" s="91"/>
      <c r="E353" s="92"/>
      <c r="F353" s="93"/>
    </row>
    <row r="354">
      <c r="C354" s="90"/>
      <c r="D354" s="91"/>
      <c r="E354" s="92"/>
      <c r="F354" s="93"/>
    </row>
    <row r="355">
      <c r="C355" s="90"/>
      <c r="D355" s="91"/>
      <c r="E355" s="92"/>
      <c r="F355" s="93"/>
    </row>
    <row r="356">
      <c r="C356" s="90"/>
      <c r="D356" s="91"/>
      <c r="E356" s="92"/>
      <c r="F356" s="93"/>
    </row>
    <row r="357">
      <c r="C357" s="90"/>
      <c r="D357" s="91"/>
      <c r="E357" s="92"/>
      <c r="F357" s="93"/>
    </row>
    <row r="358">
      <c r="C358" s="90"/>
      <c r="D358" s="91"/>
      <c r="E358" s="92"/>
      <c r="F358" s="93"/>
    </row>
    <row r="359">
      <c r="C359" s="90"/>
      <c r="D359" s="91"/>
      <c r="E359" s="92"/>
      <c r="F359" s="93"/>
    </row>
    <row r="360">
      <c r="C360" s="90"/>
      <c r="D360" s="91"/>
      <c r="E360" s="92"/>
      <c r="F360" s="93"/>
    </row>
    <row r="361">
      <c r="C361" s="90"/>
      <c r="D361" s="91"/>
      <c r="E361" s="92"/>
      <c r="F361" s="93"/>
    </row>
    <row r="362">
      <c r="C362" s="90"/>
      <c r="D362" s="91"/>
      <c r="E362" s="92"/>
      <c r="F362" s="93"/>
    </row>
    <row r="363">
      <c r="C363" s="90"/>
      <c r="D363" s="91"/>
      <c r="E363" s="92"/>
      <c r="F363" s="93"/>
    </row>
    <row r="364">
      <c r="C364" s="90"/>
      <c r="D364" s="91"/>
      <c r="E364" s="92"/>
      <c r="F364" s="93"/>
    </row>
    <row r="365">
      <c r="C365" s="90"/>
      <c r="D365" s="91"/>
      <c r="E365" s="92"/>
      <c r="F365" s="93"/>
    </row>
    <row r="366">
      <c r="C366" s="90"/>
      <c r="D366" s="91"/>
      <c r="E366" s="92"/>
      <c r="F366" s="93"/>
    </row>
    <row r="367">
      <c r="C367" s="90"/>
      <c r="D367" s="91"/>
      <c r="E367" s="92"/>
      <c r="F367" s="93"/>
    </row>
    <row r="368">
      <c r="C368" s="90"/>
      <c r="D368" s="91"/>
      <c r="E368" s="92"/>
      <c r="F368" s="93"/>
    </row>
    <row r="369">
      <c r="C369" s="90"/>
      <c r="D369" s="91"/>
      <c r="E369" s="92"/>
      <c r="F369" s="93"/>
    </row>
    <row r="370">
      <c r="C370" s="90"/>
      <c r="D370" s="91"/>
      <c r="E370" s="92"/>
      <c r="F370" s="93"/>
    </row>
    <row r="371">
      <c r="C371" s="90"/>
      <c r="D371" s="91"/>
      <c r="E371" s="92"/>
      <c r="F371" s="93"/>
    </row>
    <row r="372">
      <c r="C372" s="90"/>
      <c r="D372" s="91"/>
      <c r="E372" s="92"/>
      <c r="F372" s="93"/>
    </row>
    <row r="373">
      <c r="C373" s="90"/>
      <c r="D373" s="91"/>
      <c r="E373" s="92"/>
      <c r="F373" s="93"/>
    </row>
    <row r="374">
      <c r="C374" s="90"/>
      <c r="D374" s="91"/>
      <c r="E374" s="92"/>
      <c r="F374" s="93"/>
    </row>
    <row r="375">
      <c r="C375" s="90"/>
      <c r="D375" s="91"/>
      <c r="E375" s="92"/>
      <c r="F375" s="93"/>
    </row>
    <row r="376">
      <c r="C376" s="90"/>
      <c r="D376" s="91"/>
      <c r="E376" s="92"/>
      <c r="F376" s="93"/>
    </row>
    <row r="377">
      <c r="C377" s="90"/>
      <c r="D377" s="91"/>
      <c r="E377" s="92"/>
      <c r="F377" s="93"/>
    </row>
    <row r="378">
      <c r="C378" s="90"/>
      <c r="D378" s="91"/>
      <c r="E378" s="92"/>
      <c r="F378" s="93"/>
    </row>
    <row r="379">
      <c r="C379" s="90"/>
      <c r="D379" s="91"/>
      <c r="E379" s="92"/>
      <c r="F379" s="93"/>
    </row>
    <row r="380">
      <c r="C380" s="90"/>
      <c r="D380" s="91"/>
      <c r="E380" s="92"/>
      <c r="F380" s="93"/>
    </row>
    <row r="381">
      <c r="C381" s="90"/>
      <c r="D381" s="91"/>
      <c r="E381" s="92"/>
      <c r="F381" s="93"/>
    </row>
    <row r="382">
      <c r="C382" s="90"/>
      <c r="D382" s="91"/>
      <c r="E382" s="92"/>
      <c r="F382" s="93"/>
    </row>
    <row r="383">
      <c r="C383" s="90"/>
      <c r="D383" s="91"/>
      <c r="E383" s="92"/>
      <c r="F383" s="93"/>
    </row>
    <row r="384">
      <c r="C384" s="90"/>
      <c r="D384" s="91"/>
      <c r="E384" s="92"/>
      <c r="F384" s="93"/>
    </row>
    <row r="385">
      <c r="C385" s="90"/>
      <c r="D385" s="91"/>
      <c r="E385" s="92"/>
      <c r="F385" s="93"/>
    </row>
    <row r="386">
      <c r="C386" s="90"/>
      <c r="D386" s="91"/>
      <c r="E386" s="92"/>
      <c r="F386" s="93"/>
    </row>
    <row r="387">
      <c r="C387" s="90"/>
      <c r="D387" s="91"/>
      <c r="E387" s="92"/>
      <c r="F387" s="93"/>
    </row>
    <row r="388">
      <c r="C388" s="90"/>
      <c r="D388" s="91"/>
      <c r="E388" s="92"/>
      <c r="F388" s="93"/>
    </row>
    <row r="389">
      <c r="C389" s="90"/>
      <c r="D389" s="91"/>
      <c r="E389" s="92"/>
      <c r="F389" s="93"/>
    </row>
    <row r="390">
      <c r="C390" s="90"/>
      <c r="D390" s="91"/>
      <c r="E390" s="92"/>
      <c r="F390" s="93"/>
    </row>
    <row r="391">
      <c r="C391" s="90"/>
      <c r="D391" s="91"/>
      <c r="E391" s="92"/>
      <c r="F391" s="93"/>
    </row>
    <row r="392">
      <c r="C392" s="90"/>
      <c r="D392" s="91"/>
      <c r="E392" s="92"/>
      <c r="F392" s="93"/>
    </row>
    <row r="393">
      <c r="C393" s="90"/>
      <c r="D393" s="91"/>
      <c r="E393" s="92"/>
      <c r="F393" s="93"/>
    </row>
    <row r="394">
      <c r="C394" s="90"/>
      <c r="D394" s="91"/>
      <c r="E394" s="92"/>
      <c r="F394" s="93"/>
    </row>
    <row r="395">
      <c r="C395" s="90"/>
      <c r="D395" s="91"/>
      <c r="E395" s="92"/>
      <c r="F395" s="93"/>
    </row>
    <row r="396">
      <c r="C396" s="90"/>
      <c r="D396" s="91"/>
      <c r="E396" s="92"/>
      <c r="F396" s="93"/>
    </row>
    <row r="397">
      <c r="C397" s="90"/>
      <c r="D397" s="91"/>
      <c r="E397" s="92"/>
      <c r="F397" s="93"/>
    </row>
    <row r="398">
      <c r="C398" s="90"/>
      <c r="D398" s="91"/>
      <c r="E398" s="92"/>
      <c r="F398" s="93"/>
    </row>
    <row r="399">
      <c r="C399" s="90"/>
      <c r="D399" s="91"/>
      <c r="E399" s="92"/>
      <c r="F399" s="93"/>
    </row>
    <row r="400">
      <c r="C400" s="90"/>
      <c r="D400" s="91"/>
      <c r="E400" s="92"/>
      <c r="F400" s="93"/>
    </row>
    <row r="401">
      <c r="C401" s="90"/>
      <c r="D401" s="91"/>
      <c r="E401" s="92"/>
      <c r="F401" s="93"/>
    </row>
    <row r="402">
      <c r="C402" s="90"/>
      <c r="D402" s="91"/>
      <c r="E402" s="92"/>
      <c r="F402" s="93"/>
    </row>
    <row r="403">
      <c r="C403" s="90"/>
      <c r="D403" s="91"/>
      <c r="E403" s="92"/>
      <c r="F403" s="93"/>
    </row>
    <row r="404">
      <c r="C404" s="90"/>
      <c r="D404" s="91"/>
      <c r="E404" s="92"/>
      <c r="F404" s="93"/>
    </row>
    <row r="405">
      <c r="C405" s="90"/>
      <c r="D405" s="91"/>
      <c r="E405" s="92"/>
      <c r="F405" s="93"/>
    </row>
    <row r="406">
      <c r="C406" s="90"/>
      <c r="D406" s="91"/>
      <c r="E406" s="92"/>
      <c r="F406" s="93"/>
    </row>
    <row r="407">
      <c r="C407" s="90"/>
      <c r="D407" s="91"/>
      <c r="E407" s="92"/>
      <c r="F407" s="93"/>
    </row>
    <row r="408">
      <c r="C408" s="90"/>
      <c r="D408" s="91"/>
      <c r="E408" s="92"/>
      <c r="F408" s="93"/>
    </row>
    <row r="409">
      <c r="C409" s="90"/>
      <c r="D409" s="91"/>
      <c r="E409" s="92"/>
      <c r="F409" s="93"/>
    </row>
    <row r="410">
      <c r="C410" s="90"/>
      <c r="D410" s="91"/>
      <c r="E410" s="92"/>
      <c r="F410" s="93"/>
    </row>
    <row r="411">
      <c r="C411" s="90"/>
      <c r="D411" s="91"/>
      <c r="E411" s="92"/>
      <c r="F411" s="93"/>
    </row>
    <row r="412">
      <c r="C412" s="90"/>
      <c r="D412" s="91"/>
      <c r="E412" s="92"/>
      <c r="F412" s="93"/>
    </row>
    <row r="413">
      <c r="C413" s="90"/>
      <c r="D413" s="91"/>
      <c r="E413" s="92"/>
      <c r="F413" s="93"/>
    </row>
    <row r="414">
      <c r="C414" s="90"/>
      <c r="D414" s="91"/>
      <c r="E414" s="92"/>
      <c r="F414" s="93"/>
    </row>
    <row r="415">
      <c r="C415" s="90"/>
      <c r="D415" s="91"/>
      <c r="E415" s="92"/>
      <c r="F415" s="93"/>
    </row>
    <row r="416">
      <c r="C416" s="90"/>
      <c r="D416" s="91"/>
      <c r="E416" s="92"/>
      <c r="F416" s="93"/>
    </row>
    <row r="417">
      <c r="C417" s="90"/>
      <c r="D417" s="91"/>
      <c r="E417" s="92"/>
      <c r="F417" s="93"/>
    </row>
    <row r="418">
      <c r="C418" s="90"/>
      <c r="D418" s="91"/>
      <c r="E418" s="92"/>
      <c r="F418" s="93"/>
    </row>
    <row r="419">
      <c r="C419" s="90"/>
      <c r="D419" s="91"/>
      <c r="E419" s="92"/>
      <c r="F419" s="93"/>
    </row>
    <row r="420">
      <c r="C420" s="90"/>
      <c r="D420" s="91"/>
      <c r="E420" s="92"/>
      <c r="F420" s="93"/>
    </row>
    <row r="421">
      <c r="C421" s="90"/>
      <c r="D421" s="91"/>
      <c r="E421" s="92"/>
      <c r="F421" s="93"/>
    </row>
    <row r="422">
      <c r="C422" s="90"/>
      <c r="D422" s="91"/>
      <c r="E422" s="92"/>
      <c r="F422" s="93"/>
    </row>
    <row r="423">
      <c r="C423" s="90"/>
      <c r="D423" s="91"/>
      <c r="E423" s="92"/>
      <c r="F423" s="93"/>
    </row>
    <row r="424">
      <c r="C424" s="90"/>
      <c r="D424" s="91"/>
      <c r="E424" s="92"/>
      <c r="F424" s="93"/>
    </row>
    <row r="425">
      <c r="C425" s="90"/>
      <c r="D425" s="91"/>
      <c r="E425" s="92"/>
      <c r="F425" s="93"/>
    </row>
    <row r="426">
      <c r="C426" s="90"/>
      <c r="D426" s="91"/>
      <c r="E426" s="92"/>
      <c r="F426" s="93"/>
    </row>
    <row r="427">
      <c r="C427" s="90"/>
      <c r="D427" s="91"/>
      <c r="E427" s="92"/>
      <c r="F427" s="93"/>
    </row>
    <row r="428">
      <c r="C428" s="90"/>
      <c r="D428" s="91"/>
      <c r="E428" s="92"/>
      <c r="F428" s="93"/>
    </row>
    <row r="429">
      <c r="C429" s="90"/>
      <c r="D429" s="91"/>
      <c r="E429" s="92"/>
      <c r="F429" s="93"/>
    </row>
    <row r="430">
      <c r="C430" s="90"/>
      <c r="D430" s="91"/>
      <c r="E430" s="92"/>
      <c r="F430" s="93"/>
    </row>
    <row r="431">
      <c r="C431" s="90"/>
      <c r="D431" s="91"/>
      <c r="E431" s="92"/>
      <c r="F431" s="93"/>
    </row>
    <row r="432">
      <c r="C432" s="90"/>
      <c r="D432" s="91"/>
      <c r="E432" s="92"/>
      <c r="F432" s="93"/>
    </row>
    <row r="433">
      <c r="C433" s="90"/>
      <c r="D433" s="91"/>
      <c r="E433" s="92"/>
      <c r="F433" s="93"/>
    </row>
    <row r="434">
      <c r="C434" s="90"/>
      <c r="D434" s="91"/>
      <c r="E434" s="92"/>
      <c r="F434" s="93"/>
    </row>
    <row r="435">
      <c r="C435" s="90"/>
      <c r="D435" s="91"/>
      <c r="E435" s="92"/>
      <c r="F435" s="93"/>
    </row>
    <row r="436">
      <c r="C436" s="90"/>
      <c r="D436" s="91"/>
      <c r="E436" s="92"/>
      <c r="F436" s="93"/>
    </row>
    <row r="437">
      <c r="C437" s="90"/>
      <c r="D437" s="91"/>
      <c r="E437" s="92"/>
      <c r="F437" s="93"/>
    </row>
    <row r="438">
      <c r="C438" s="90"/>
      <c r="D438" s="91"/>
      <c r="E438" s="92"/>
      <c r="F438" s="93"/>
    </row>
    <row r="439">
      <c r="C439" s="90"/>
      <c r="D439" s="91"/>
      <c r="E439" s="92"/>
      <c r="F439" s="93"/>
    </row>
    <row r="440">
      <c r="C440" s="90"/>
      <c r="D440" s="91"/>
      <c r="E440" s="92"/>
      <c r="F440" s="93"/>
    </row>
    <row r="441">
      <c r="C441" s="90"/>
      <c r="D441" s="91"/>
      <c r="E441" s="92"/>
      <c r="F441" s="93"/>
    </row>
    <row r="442">
      <c r="C442" s="90"/>
      <c r="D442" s="91"/>
      <c r="E442" s="92"/>
      <c r="F442" s="93"/>
    </row>
    <row r="443">
      <c r="C443" s="90"/>
      <c r="D443" s="91"/>
      <c r="E443" s="92"/>
      <c r="F443" s="93"/>
    </row>
    <row r="444">
      <c r="C444" s="90"/>
      <c r="D444" s="91"/>
      <c r="E444" s="92"/>
      <c r="F444" s="93"/>
    </row>
    <row r="445">
      <c r="C445" s="90"/>
      <c r="D445" s="91"/>
      <c r="E445" s="92"/>
      <c r="F445" s="93"/>
    </row>
    <row r="446">
      <c r="C446" s="90"/>
      <c r="D446" s="91"/>
      <c r="E446" s="92"/>
      <c r="F446" s="93"/>
    </row>
    <row r="447">
      <c r="C447" s="90"/>
      <c r="D447" s="91"/>
      <c r="E447" s="92"/>
      <c r="F447" s="93"/>
    </row>
    <row r="448">
      <c r="C448" s="90"/>
      <c r="D448" s="91"/>
      <c r="E448" s="92"/>
      <c r="F448" s="93"/>
    </row>
    <row r="449">
      <c r="C449" s="90"/>
      <c r="D449" s="91"/>
      <c r="E449" s="92"/>
      <c r="F449" s="93"/>
    </row>
    <row r="450">
      <c r="C450" s="90"/>
      <c r="D450" s="91"/>
      <c r="E450" s="92"/>
      <c r="F450" s="93"/>
    </row>
    <row r="451">
      <c r="C451" s="90"/>
      <c r="D451" s="91"/>
      <c r="E451" s="92"/>
      <c r="F451" s="93"/>
    </row>
    <row r="452">
      <c r="C452" s="90"/>
      <c r="D452" s="91"/>
      <c r="E452" s="92"/>
      <c r="F452" s="93"/>
    </row>
    <row r="453">
      <c r="C453" s="90"/>
      <c r="D453" s="91"/>
      <c r="E453" s="92"/>
      <c r="F453" s="93"/>
    </row>
    <row r="454">
      <c r="C454" s="90"/>
      <c r="D454" s="91"/>
      <c r="E454" s="92"/>
      <c r="F454" s="93"/>
    </row>
    <row r="455">
      <c r="C455" s="90"/>
      <c r="D455" s="91"/>
      <c r="E455" s="92"/>
      <c r="F455" s="93"/>
    </row>
    <row r="456">
      <c r="C456" s="90"/>
      <c r="D456" s="91"/>
      <c r="E456" s="92"/>
      <c r="F456" s="93"/>
    </row>
    <row r="457">
      <c r="C457" s="90"/>
      <c r="D457" s="91"/>
      <c r="E457" s="92"/>
      <c r="F457" s="93"/>
    </row>
    <row r="458">
      <c r="C458" s="90"/>
      <c r="D458" s="91"/>
      <c r="E458" s="92"/>
      <c r="F458" s="93"/>
    </row>
    <row r="459">
      <c r="C459" s="90"/>
      <c r="D459" s="91"/>
      <c r="E459" s="92"/>
      <c r="F459" s="93"/>
    </row>
    <row r="460">
      <c r="C460" s="90"/>
      <c r="D460" s="91"/>
      <c r="E460" s="92"/>
      <c r="F460" s="93"/>
    </row>
    <row r="461">
      <c r="C461" s="90"/>
      <c r="D461" s="91"/>
      <c r="E461" s="92"/>
      <c r="F461" s="93"/>
    </row>
    <row r="462">
      <c r="C462" s="90"/>
      <c r="D462" s="91"/>
      <c r="E462" s="92"/>
      <c r="F462" s="93"/>
    </row>
    <row r="463">
      <c r="C463" s="90"/>
      <c r="D463" s="91"/>
      <c r="E463" s="92"/>
      <c r="F463" s="93"/>
    </row>
    <row r="464">
      <c r="C464" s="90"/>
      <c r="D464" s="91"/>
      <c r="E464" s="92"/>
      <c r="F464" s="93"/>
    </row>
    <row r="465">
      <c r="C465" s="90"/>
      <c r="D465" s="91"/>
      <c r="E465" s="92"/>
      <c r="F465" s="93"/>
    </row>
    <row r="466">
      <c r="C466" s="90"/>
      <c r="D466" s="91"/>
      <c r="E466" s="92"/>
      <c r="F466" s="93"/>
    </row>
    <row r="467">
      <c r="C467" s="90"/>
      <c r="D467" s="91"/>
      <c r="E467" s="92"/>
      <c r="F467" s="93"/>
    </row>
    <row r="468">
      <c r="C468" s="90"/>
      <c r="D468" s="91"/>
      <c r="E468" s="92"/>
      <c r="F468" s="93"/>
    </row>
    <row r="469">
      <c r="C469" s="90"/>
      <c r="D469" s="91"/>
      <c r="E469" s="92"/>
      <c r="F469" s="93"/>
    </row>
    <row r="470">
      <c r="C470" s="90"/>
      <c r="D470" s="91"/>
      <c r="E470" s="92"/>
      <c r="F470" s="93"/>
    </row>
    <row r="471">
      <c r="C471" s="90"/>
      <c r="D471" s="91"/>
      <c r="E471" s="92"/>
      <c r="F471" s="93"/>
    </row>
    <row r="472">
      <c r="C472" s="90"/>
      <c r="D472" s="91"/>
      <c r="E472" s="92"/>
      <c r="F472" s="93"/>
    </row>
    <row r="473">
      <c r="C473" s="90"/>
      <c r="D473" s="91"/>
      <c r="E473" s="92"/>
      <c r="F473" s="93"/>
    </row>
    <row r="474">
      <c r="C474" s="90"/>
      <c r="D474" s="91"/>
      <c r="E474" s="92"/>
      <c r="F474" s="93"/>
    </row>
    <row r="475">
      <c r="C475" s="90"/>
      <c r="D475" s="91"/>
      <c r="E475" s="92"/>
      <c r="F475" s="93"/>
    </row>
    <row r="476">
      <c r="C476" s="90"/>
      <c r="D476" s="91"/>
      <c r="E476" s="92"/>
      <c r="F476" s="93"/>
    </row>
    <row r="477">
      <c r="C477" s="90"/>
      <c r="D477" s="91"/>
      <c r="E477" s="92"/>
      <c r="F477" s="93"/>
    </row>
    <row r="478">
      <c r="C478" s="90"/>
      <c r="D478" s="91"/>
      <c r="E478" s="92"/>
      <c r="F478" s="93"/>
    </row>
    <row r="479">
      <c r="C479" s="90"/>
      <c r="D479" s="91"/>
      <c r="E479" s="92"/>
      <c r="F479" s="93"/>
    </row>
    <row r="480">
      <c r="C480" s="90"/>
      <c r="D480" s="91"/>
      <c r="E480" s="92"/>
      <c r="F480" s="93"/>
    </row>
    <row r="481">
      <c r="C481" s="90"/>
      <c r="D481" s="91"/>
      <c r="E481" s="92"/>
      <c r="F481" s="93"/>
    </row>
    <row r="482">
      <c r="C482" s="90"/>
      <c r="D482" s="91"/>
      <c r="E482" s="92"/>
      <c r="F482" s="93"/>
    </row>
    <row r="483">
      <c r="C483" s="90"/>
      <c r="D483" s="91"/>
      <c r="E483" s="92"/>
      <c r="F483" s="93"/>
    </row>
    <row r="484">
      <c r="C484" s="90"/>
      <c r="D484" s="91"/>
      <c r="E484" s="92"/>
      <c r="F484" s="93"/>
    </row>
    <row r="485">
      <c r="C485" s="90"/>
      <c r="D485" s="91"/>
      <c r="E485" s="92"/>
      <c r="F485" s="93"/>
    </row>
    <row r="486">
      <c r="C486" s="90"/>
      <c r="D486" s="91"/>
      <c r="E486" s="92"/>
      <c r="F486" s="93"/>
    </row>
    <row r="487">
      <c r="C487" s="90"/>
      <c r="D487" s="91"/>
      <c r="E487" s="92"/>
      <c r="F487" s="93"/>
    </row>
    <row r="488">
      <c r="C488" s="90"/>
      <c r="D488" s="91"/>
      <c r="E488" s="92"/>
      <c r="F488" s="93"/>
    </row>
    <row r="489">
      <c r="C489" s="90"/>
      <c r="D489" s="91"/>
      <c r="E489" s="92"/>
      <c r="F489" s="93"/>
    </row>
    <row r="490">
      <c r="C490" s="90"/>
      <c r="D490" s="91"/>
      <c r="E490" s="92"/>
      <c r="F490" s="93"/>
    </row>
    <row r="491">
      <c r="C491" s="90"/>
      <c r="D491" s="91"/>
      <c r="E491" s="92"/>
      <c r="F491" s="93"/>
    </row>
    <row r="492">
      <c r="C492" s="90"/>
      <c r="D492" s="91"/>
      <c r="E492" s="92"/>
      <c r="F492" s="93"/>
    </row>
    <row r="493">
      <c r="C493" s="90"/>
      <c r="D493" s="91"/>
      <c r="E493" s="92"/>
      <c r="F493" s="93"/>
    </row>
    <row r="494">
      <c r="C494" s="90"/>
      <c r="D494" s="91"/>
      <c r="E494" s="92"/>
      <c r="F494" s="93"/>
    </row>
    <row r="495">
      <c r="C495" s="90"/>
      <c r="D495" s="91"/>
      <c r="E495" s="92"/>
      <c r="F495" s="93"/>
    </row>
    <row r="496">
      <c r="C496" s="90"/>
      <c r="D496" s="91"/>
      <c r="E496" s="92"/>
      <c r="F496" s="93"/>
    </row>
    <row r="497">
      <c r="C497" s="90"/>
      <c r="D497" s="91"/>
      <c r="E497" s="92"/>
      <c r="F497" s="93"/>
    </row>
    <row r="498">
      <c r="C498" s="90"/>
      <c r="D498" s="91"/>
      <c r="E498" s="92"/>
      <c r="F498" s="93"/>
    </row>
    <row r="499">
      <c r="C499" s="90"/>
      <c r="D499" s="91"/>
      <c r="E499" s="92"/>
      <c r="F499" s="93"/>
    </row>
    <row r="500">
      <c r="C500" s="90"/>
      <c r="D500" s="91"/>
      <c r="E500" s="92"/>
      <c r="F500" s="93"/>
    </row>
    <row r="501">
      <c r="C501" s="90"/>
      <c r="D501" s="91"/>
      <c r="E501" s="92"/>
      <c r="F501" s="93"/>
    </row>
    <row r="502">
      <c r="C502" s="90"/>
      <c r="D502" s="91"/>
      <c r="E502" s="92"/>
      <c r="F502" s="93"/>
    </row>
    <row r="503">
      <c r="C503" s="90"/>
      <c r="D503" s="91"/>
      <c r="E503" s="92"/>
      <c r="F503" s="93"/>
    </row>
    <row r="504">
      <c r="C504" s="90"/>
      <c r="D504" s="91"/>
      <c r="E504" s="92"/>
      <c r="F504" s="93"/>
    </row>
    <row r="505">
      <c r="C505" s="90"/>
      <c r="D505" s="91"/>
      <c r="E505" s="92"/>
      <c r="F505" s="93"/>
    </row>
    <row r="506">
      <c r="C506" s="90"/>
      <c r="D506" s="91"/>
      <c r="E506" s="92"/>
      <c r="F506" s="93"/>
    </row>
    <row r="507">
      <c r="C507" s="90"/>
      <c r="D507" s="91"/>
      <c r="E507" s="92"/>
      <c r="F507" s="93"/>
    </row>
    <row r="508">
      <c r="C508" s="90"/>
      <c r="D508" s="91"/>
      <c r="E508" s="92"/>
      <c r="F508" s="93"/>
    </row>
    <row r="509">
      <c r="C509" s="90"/>
      <c r="D509" s="91"/>
      <c r="E509" s="92"/>
      <c r="F509" s="93"/>
    </row>
    <row r="510">
      <c r="C510" s="90"/>
      <c r="D510" s="91"/>
      <c r="E510" s="92"/>
      <c r="F510" s="93"/>
    </row>
    <row r="511">
      <c r="C511" s="90"/>
      <c r="D511" s="91"/>
      <c r="E511" s="92"/>
      <c r="F511" s="93"/>
    </row>
    <row r="512">
      <c r="C512" s="90"/>
      <c r="D512" s="91"/>
      <c r="E512" s="92"/>
      <c r="F512" s="93"/>
    </row>
    <row r="513">
      <c r="C513" s="90"/>
      <c r="D513" s="91"/>
      <c r="E513" s="92"/>
      <c r="F513" s="93"/>
    </row>
    <row r="514">
      <c r="C514" s="90"/>
      <c r="D514" s="91"/>
      <c r="E514" s="92"/>
      <c r="F514" s="93"/>
    </row>
    <row r="515">
      <c r="C515" s="90"/>
      <c r="D515" s="91"/>
      <c r="E515" s="92"/>
      <c r="F515" s="93"/>
    </row>
    <row r="516">
      <c r="C516" s="90"/>
      <c r="D516" s="91"/>
      <c r="E516" s="92"/>
      <c r="F516" s="93"/>
    </row>
    <row r="517">
      <c r="C517" s="90"/>
      <c r="D517" s="91"/>
      <c r="E517" s="92"/>
      <c r="F517" s="93"/>
    </row>
    <row r="518">
      <c r="C518" s="90"/>
      <c r="D518" s="91"/>
      <c r="E518" s="92"/>
      <c r="F518" s="93"/>
    </row>
    <row r="519">
      <c r="C519" s="90"/>
      <c r="D519" s="91"/>
      <c r="E519" s="92"/>
      <c r="F519" s="93"/>
    </row>
    <row r="520">
      <c r="C520" s="90"/>
      <c r="D520" s="91"/>
      <c r="E520" s="92"/>
      <c r="F520" s="93"/>
    </row>
    <row r="521">
      <c r="C521" s="90"/>
      <c r="D521" s="91"/>
      <c r="E521" s="92"/>
      <c r="F521" s="93"/>
    </row>
    <row r="522">
      <c r="C522" s="90"/>
      <c r="D522" s="91"/>
      <c r="E522" s="92"/>
      <c r="F522" s="93"/>
    </row>
    <row r="523">
      <c r="C523" s="90"/>
      <c r="D523" s="91"/>
      <c r="E523" s="92"/>
      <c r="F523" s="93"/>
    </row>
    <row r="524">
      <c r="C524" s="90"/>
      <c r="D524" s="91"/>
      <c r="E524" s="92"/>
      <c r="F524" s="93"/>
    </row>
    <row r="525">
      <c r="C525" s="90"/>
      <c r="D525" s="91"/>
      <c r="E525" s="92"/>
      <c r="F525" s="93"/>
    </row>
    <row r="526">
      <c r="C526" s="90"/>
      <c r="D526" s="91"/>
      <c r="E526" s="92"/>
      <c r="F526" s="93"/>
    </row>
    <row r="527">
      <c r="C527" s="90"/>
      <c r="D527" s="91"/>
      <c r="E527" s="92"/>
      <c r="F527" s="93"/>
    </row>
    <row r="528">
      <c r="C528" s="90"/>
      <c r="D528" s="91"/>
      <c r="E528" s="92"/>
      <c r="F528" s="93"/>
    </row>
    <row r="529">
      <c r="C529" s="90"/>
      <c r="D529" s="91"/>
      <c r="E529" s="92"/>
      <c r="F529" s="93"/>
    </row>
    <row r="530">
      <c r="C530" s="90"/>
      <c r="D530" s="91"/>
      <c r="E530" s="92"/>
      <c r="F530" s="93"/>
    </row>
    <row r="531">
      <c r="C531" s="90"/>
      <c r="D531" s="91"/>
      <c r="E531" s="92"/>
      <c r="F531" s="93"/>
    </row>
    <row r="532">
      <c r="C532" s="90"/>
      <c r="D532" s="91"/>
      <c r="E532" s="92"/>
      <c r="F532" s="93"/>
    </row>
    <row r="533">
      <c r="C533" s="90"/>
      <c r="D533" s="91"/>
      <c r="E533" s="92"/>
      <c r="F533" s="93"/>
    </row>
    <row r="534">
      <c r="C534" s="90"/>
      <c r="D534" s="91"/>
      <c r="E534" s="92"/>
      <c r="F534" s="93"/>
    </row>
    <row r="535">
      <c r="C535" s="90"/>
      <c r="D535" s="91"/>
      <c r="E535" s="92"/>
      <c r="F535" s="93"/>
    </row>
    <row r="536">
      <c r="C536" s="90"/>
      <c r="D536" s="91"/>
      <c r="E536" s="92"/>
      <c r="F536" s="93"/>
    </row>
    <row r="537">
      <c r="C537" s="90"/>
      <c r="D537" s="91"/>
      <c r="E537" s="92"/>
      <c r="F537" s="93"/>
    </row>
    <row r="538">
      <c r="C538" s="90"/>
      <c r="D538" s="91"/>
      <c r="E538" s="92"/>
      <c r="F538" s="93"/>
    </row>
    <row r="539">
      <c r="C539" s="90"/>
      <c r="D539" s="91"/>
      <c r="E539" s="92"/>
      <c r="F539" s="93"/>
    </row>
    <row r="540">
      <c r="C540" s="90"/>
      <c r="D540" s="91"/>
      <c r="E540" s="92"/>
      <c r="F540" s="93"/>
    </row>
    <row r="541">
      <c r="C541" s="90"/>
      <c r="D541" s="91"/>
      <c r="E541" s="92"/>
      <c r="F541" s="93"/>
    </row>
    <row r="542">
      <c r="C542" s="90"/>
      <c r="D542" s="91"/>
      <c r="E542" s="92"/>
      <c r="F542" s="93"/>
    </row>
    <row r="543">
      <c r="C543" s="90"/>
      <c r="D543" s="91"/>
      <c r="E543" s="92"/>
      <c r="F543" s="93"/>
    </row>
    <row r="544">
      <c r="C544" s="90"/>
      <c r="D544" s="91"/>
      <c r="E544" s="92"/>
      <c r="F544" s="93"/>
    </row>
    <row r="545">
      <c r="C545" s="90"/>
      <c r="D545" s="91"/>
      <c r="E545" s="92"/>
      <c r="F545" s="93"/>
    </row>
    <row r="546">
      <c r="C546" s="90"/>
      <c r="D546" s="91"/>
      <c r="E546" s="92"/>
      <c r="F546" s="93"/>
    </row>
    <row r="547">
      <c r="C547" s="90"/>
      <c r="D547" s="91"/>
      <c r="E547" s="92"/>
      <c r="F547" s="93"/>
    </row>
    <row r="548">
      <c r="C548" s="90"/>
      <c r="D548" s="91"/>
      <c r="E548" s="92"/>
      <c r="F548" s="93"/>
    </row>
    <row r="549">
      <c r="C549" s="90"/>
      <c r="D549" s="91"/>
      <c r="E549" s="92"/>
      <c r="F549" s="93"/>
    </row>
    <row r="550">
      <c r="C550" s="90"/>
      <c r="D550" s="91"/>
      <c r="E550" s="92"/>
      <c r="F550" s="93"/>
    </row>
    <row r="551">
      <c r="C551" s="90"/>
      <c r="D551" s="91"/>
      <c r="E551" s="92"/>
      <c r="F551" s="93"/>
    </row>
    <row r="552">
      <c r="C552" s="90"/>
      <c r="D552" s="91"/>
      <c r="E552" s="92"/>
      <c r="F552" s="93"/>
    </row>
    <row r="553">
      <c r="C553" s="90"/>
      <c r="D553" s="91"/>
      <c r="E553" s="92"/>
      <c r="F553" s="93"/>
    </row>
    <row r="554">
      <c r="C554" s="90"/>
      <c r="D554" s="91"/>
      <c r="E554" s="92"/>
      <c r="F554" s="93"/>
    </row>
    <row r="555">
      <c r="C555" s="90"/>
      <c r="D555" s="91"/>
      <c r="E555" s="92"/>
      <c r="F555" s="93"/>
    </row>
    <row r="556">
      <c r="C556" s="90"/>
      <c r="D556" s="91"/>
      <c r="E556" s="92"/>
      <c r="F556" s="93"/>
    </row>
    <row r="557">
      <c r="C557" s="90"/>
      <c r="D557" s="91"/>
      <c r="E557" s="92"/>
      <c r="F557" s="93"/>
    </row>
    <row r="558">
      <c r="C558" s="90"/>
      <c r="D558" s="91"/>
      <c r="E558" s="92"/>
      <c r="F558" s="93"/>
    </row>
    <row r="559">
      <c r="C559" s="90"/>
      <c r="D559" s="91"/>
      <c r="E559" s="92"/>
      <c r="F559" s="93"/>
    </row>
    <row r="560">
      <c r="C560" s="90"/>
      <c r="D560" s="91"/>
      <c r="E560" s="92"/>
      <c r="F560" s="93"/>
    </row>
    <row r="561">
      <c r="C561" s="90"/>
      <c r="D561" s="91"/>
      <c r="E561" s="92"/>
      <c r="F561" s="93"/>
    </row>
    <row r="562">
      <c r="C562" s="90"/>
      <c r="D562" s="91"/>
      <c r="E562" s="92"/>
      <c r="F562" s="93"/>
    </row>
    <row r="563">
      <c r="C563" s="90"/>
      <c r="D563" s="91"/>
      <c r="E563" s="92"/>
      <c r="F563" s="93"/>
    </row>
    <row r="564">
      <c r="C564" s="90"/>
      <c r="D564" s="91"/>
      <c r="E564" s="92"/>
      <c r="F564" s="93"/>
    </row>
    <row r="565">
      <c r="C565" s="90"/>
      <c r="D565" s="91"/>
      <c r="E565" s="92"/>
      <c r="F565" s="93"/>
    </row>
    <row r="566">
      <c r="C566" s="90"/>
      <c r="D566" s="91"/>
      <c r="E566" s="92"/>
      <c r="F566" s="93"/>
    </row>
    <row r="567">
      <c r="C567" s="90"/>
      <c r="D567" s="91"/>
      <c r="E567" s="92"/>
      <c r="F567" s="93"/>
    </row>
    <row r="568">
      <c r="C568" s="90"/>
      <c r="D568" s="91"/>
      <c r="E568" s="92"/>
      <c r="F568" s="93"/>
    </row>
    <row r="569">
      <c r="C569" s="90"/>
      <c r="D569" s="91"/>
      <c r="E569" s="92"/>
      <c r="F569" s="93"/>
    </row>
    <row r="570">
      <c r="C570" s="90"/>
      <c r="D570" s="91"/>
      <c r="E570" s="92"/>
      <c r="F570" s="93"/>
    </row>
    <row r="571">
      <c r="C571" s="90"/>
      <c r="D571" s="91"/>
      <c r="E571" s="92"/>
      <c r="F571" s="93"/>
    </row>
    <row r="572">
      <c r="C572" s="90"/>
      <c r="D572" s="91"/>
      <c r="E572" s="92"/>
      <c r="F572" s="93"/>
    </row>
    <row r="573">
      <c r="C573" s="90"/>
      <c r="D573" s="91"/>
      <c r="E573" s="92"/>
      <c r="F573" s="93"/>
    </row>
    <row r="574">
      <c r="C574" s="90"/>
      <c r="D574" s="91"/>
      <c r="E574" s="92"/>
      <c r="F574" s="93"/>
    </row>
    <row r="575">
      <c r="C575" s="90"/>
      <c r="D575" s="91"/>
      <c r="E575" s="92"/>
      <c r="F575" s="93"/>
    </row>
    <row r="576">
      <c r="C576" s="90"/>
      <c r="D576" s="91"/>
      <c r="E576" s="92"/>
      <c r="F576" s="93"/>
    </row>
    <row r="577">
      <c r="C577" s="90"/>
      <c r="D577" s="91"/>
      <c r="E577" s="92"/>
      <c r="F577" s="93"/>
    </row>
    <row r="578">
      <c r="C578" s="90"/>
      <c r="D578" s="91"/>
      <c r="E578" s="92"/>
      <c r="F578" s="93"/>
    </row>
    <row r="579">
      <c r="C579" s="90"/>
      <c r="D579" s="91"/>
      <c r="E579" s="92"/>
      <c r="F579" s="93"/>
    </row>
    <row r="580">
      <c r="C580" s="90"/>
      <c r="D580" s="91"/>
      <c r="E580" s="92"/>
      <c r="F580" s="93"/>
    </row>
    <row r="581">
      <c r="C581" s="90"/>
      <c r="D581" s="91"/>
      <c r="E581" s="92"/>
      <c r="F581" s="93"/>
    </row>
    <row r="582">
      <c r="C582" s="90"/>
      <c r="D582" s="91"/>
      <c r="E582" s="92"/>
      <c r="F582" s="93"/>
    </row>
    <row r="583">
      <c r="C583" s="90"/>
      <c r="D583" s="91"/>
      <c r="E583" s="92"/>
      <c r="F583" s="93"/>
    </row>
    <row r="584">
      <c r="C584" s="90"/>
      <c r="D584" s="91"/>
      <c r="E584" s="92"/>
      <c r="F584" s="93"/>
    </row>
    <row r="585">
      <c r="C585" s="90"/>
      <c r="D585" s="91"/>
      <c r="E585" s="92"/>
      <c r="F585" s="93"/>
    </row>
    <row r="586">
      <c r="C586" s="90"/>
      <c r="D586" s="91"/>
      <c r="E586" s="92"/>
      <c r="F586" s="93"/>
    </row>
    <row r="587">
      <c r="C587" s="90"/>
      <c r="D587" s="91"/>
      <c r="E587" s="92"/>
      <c r="F587" s="93"/>
    </row>
    <row r="588">
      <c r="C588" s="90"/>
      <c r="D588" s="91"/>
      <c r="E588" s="92"/>
      <c r="F588" s="93"/>
    </row>
    <row r="589">
      <c r="C589" s="90"/>
      <c r="D589" s="91"/>
      <c r="E589" s="92"/>
      <c r="F589" s="93"/>
    </row>
    <row r="590">
      <c r="C590" s="90"/>
      <c r="D590" s="91"/>
      <c r="E590" s="92"/>
      <c r="F590" s="93"/>
    </row>
    <row r="591">
      <c r="C591" s="90"/>
      <c r="D591" s="91"/>
      <c r="E591" s="92"/>
      <c r="F591" s="93"/>
    </row>
    <row r="592">
      <c r="C592" s="90"/>
      <c r="D592" s="91"/>
      <c r="E592" s="92"/>
      <c r="F592" s="93"/>
    </row>
    <row r="593">
      <c r="C593" s="90"/>
      <c r="D593" s="91"/>
      <c r="E593" s="92"/>
      <c r="F593" s="93"/>
    </row>
    <row r="594">
      <c r="C594" s="90"/>
      <c r="D594" s="91"/>
      <c r="E594" s="92"/>
      <c r="F594" s="93"/>
    </row>
    <row r="595">
      <c r="C595" s="90"/>
      <c r="D595" s="91"/>
      <c r="E595" s="92"/>
      <c r="F595" s="93"/>
    </row>
    <row r="596">
      <c r="C596" s="90"/>
      <c r="D596" s="91"/>
      <c r="E596" s="92"/>
      <c r="F596" s="93"/>
    </row>
    <row r="597">
      <c r="C597" s="90"/>
      <c r="D597" s="91"/>
      <c r="E597" s="92"/>
      <c r="F597" s="93"/>
    </row>
    <row r="598">
      <c r="C598" s="90"/>
      <c r="D598" s="91"/>
      <c r="E598" s="92"/>
      <c r="F598" s="93"/>
    </row>
    <row r="599">
      <c r="C599" s="90"/>
      <c r="D599" s="91"/>
      <c r="E599" s="92"/>
      <c r="F599" s="93"/>
    </row>
    <row r="600">
      <c r="C600" s="90"/>
      <c r="D600" s="91"/>
      <c r="E600" s="92"/>
      <c r="F600" s="93"/>
    </row>
    <row r="601">
      <c r="C601" s="90"/>
      <c r="D601" s="91"/>
      <c r="E601" s="92"/>
      <c r="F601" s="93"/>
    </row>
    <row r="602">
      <c r="C602" s="90"/>
      <c r="D602" s="91"/>
      <c r="E602" s="92"/>
      <c r="F602" s="93"/>
    </row>
    <row r="603">
      <c r="C603" s="90"/>
      <c r="D603" s="91"/>
      <c r="E603" s="92"/>
      <c r="F603" s="93"/>
    </row>
    <row r="604">
      <c r="C604" s="90"/>
      <c r="D604" s="91"/>
      <c r="E604" s="92"/>
      <c r="F604" s="93"/>
    </row>
    <row r="605">
      <c r="C605" s="90"/>
      <c r="D605" s="91"/>
      <c r="E605" s="92"/>
      <c r="F605" s="93"/>
    </row>
    <row r="606">
      <c r="C606" s="90"/>
      <c r="D606" s="91"/>
      <c r="E606" s="92"/>
      <c r="F606" s="93"/>
    </row>
    <row r="607">
      <c r="C607" s="90"/>
      <c r="D607" s="91"/>
      <c r="E607" s="92"/>
      <c r="F607" s="93"/>
    </row>
    <row r="608">
      <c r="C608" s="90"/>
      <c r="D608" s="91"/>
      <c r="E608" s="92"/>
      <c r="F608" s="93"/>
    </row>
    <row r="609">
      <c r="C609" s="90"/>
      <c r="D609" s="91"/>
      <c r="E609" s="92"/>
      <c r="F609" s="93"/>
    </row>
    <row r="610">
      <c r="C610" s="90"/>
      <c r="D610" s="91"/>
      <c r="E610" s="92"/>
      <c r="F610" s="93"/>
    </row>
    <row r="611">
      <c r="C611" s="90"/>
      <c r="D611" s="91"/>
      <c r="E611" s="92"/>
      <c r="F611" s="93"/>
    </row>
    <row r="612">
      <c r="C612" s="90"/>
      <c r="D612" s="91"/>
      <c r="E612" s="92"/>
      <c r="F612" s="93"/>
    </row>
    <row r="613">
      <c r="C613" s="90"/>
      <c r="D613" s="91"/>
      <c r="E613" s="92"/>
      <c r="F613" s="93"/>
    </row>
    <row r="614">
      <c r="C614" s="90"/>
      <c r="D614" s="91"/>
      <c r="E614" s="92"/>
      <c r="F614" s="93"/>
    </row>
    <row r="615">
      <c r="C615" s="90"/>
      <c r="D615" s="91"/>
      <c r="E615" s="92"/>
      <c r="F615" s="93"/>
    </row>
    <row r="616">
      <c r="C616" s="90"/>
      <c r="D616" s="91"/>
      <c r="E616" s="92"/>
      <c r="F616" s="93"/>
    </row>
    <row r="617">
      <c r="C617" s="90"/>
      <c r="D617" s="91"/>
      <c r="E617" s="92"/>
      <c r="F617" s="93"/>
    </row>
    <row r="618">
      <c r="C618" s="90"/>
      <c r="D618" s="91"/>
      <c r="E618" s="92"/>
      <c r="F618" s="93"/>
    </row>
    <row r="619">
      <c r="C619" s="90"/>
      <c r="D619" s="91"/>
      <c r="E619" s="92"/>
      <c r="F619" s="93"/>
    </row>
    <row r="620">
      <c r="C620" s="90"/>
      <c r="D620" s="91"/>
      <c r="E620" s="92"/>
      <c r="F620" s="93"/>
    </row>
    <row r="621">
      <c r="C621" s="90"/>
      <c r="D621" s="91"/>
      <c r="E621" s="92"/>
      <c r="F621" s="93"/>
    </row>
    <row r="622">
      <c r="C622" s="90"/>
      <c r="D622" s="91"/>
      <c r="E622" s="92"/>
      <c r="F622" s="93"/>
    </row>
    <row r="623">
      <c r="C623" s="90"/>
      <c r="D623" s="91"/>
      <c r="E623" s="92"/>
      <c r="F623" s="93"/>
    </row>
    <row r="624">
      <c r="C624" s="90"/>
      <c r="D624" s="91"/>
      <c r="E624" s="92"/>
      <c r="F624" s="93"/>
    </row>
    <row r="625">
      <c r="C625" s="90"/>
      <c r="D625" s="91"/>
      <c r="E625" s="92"/>
      <c r="F625" s="93"/>
    </row>
    <row r="626">
      <c r="C626" s="90"/>
      <c r="D626" s="91"/>
      <c r="E626" s="92"/>
      <c r="F626" s="93"/>
    </row>
    <row r="627">
      <c r="C627" s="90"/>
      <c r="D627" s="91"/>
      <c r="E627" s="92"/>
      <c r="F627" s="93"/>
    </row>
    <row r="628">
      <c r="C628" s="90"/>
      <c r="D628" s="91"/>
      <c r="E628" s="92"/>
      <c r="F628" s="93"/>
    </row>
    <row r="629">
      <c r="C629" s="90"/>
      <c r="D629" s="91"/>
      <c r="E629" s="92"/>
      <c r="F629" s="93"/>
    </row>
    <row r="630">
      <c r="C630" s="90"/>
      <c r="D630" s="91"/>
      <c r="E630" s="92"/>
      <c r="F630" s="93"/>
    </row>
    <row r="631">
      <c r="C631" s="90"/>
      <c r="D631" s="91"/>
      <c r="E631" s="92"/>
      <c r="F631" s="93"/>
    </row>
    <row r="632">
      <c r="C632" s="90"/>
      <c r="D632" s="91"/>
      <c r="E632" s="92"/>
      <c r="F632" s="93"/>
    </row>
    <row r="633">
      <c r="C633" s="90"/>
      <c r="D633" s="91"/>
      <c r="E633" s="92"/>
      <c r="F633" s="93"/>
    </row>
    <row r="634">
      <c r="C634" s="90"/>
      <c r="D634" s="91"/>
      <c r="E634" s="92"/>
      <c r="F634" s="93"/>
    </row>
    <row r="635">
      <c r="C635" s="90"/>
      <c r="D635" s="91"/>
      <c r="E635" s="92"/>
      <c r="F635" s="93"/>
    </row>
    <row r="636">
      <c r="C636" s="90"/>
      <c r="D636" s="91"/>
      <c r="E636" s="92"/>
      <c r="F636" s="93"/>
    </row>
    <row r="637">
      <c r="C637" s="90"/>
      <c r="D637" s="91"/>
      <c r="E637" s="92"/>
      <c r="F637" s="93"/>
    </row>
    <row r="638">
      <c r="C638" s="90"/>
      <c r="D638" s="91"/>
      <c r="E638" s="92"/>
      <c r="F638" s="93"/>
    </row>
    <row r="639">
      <c r="C639" s="90"/>
      <c r="D639" s="91"/>
      <c r="E639" s="92"/>
      <c r="F639" s="93"/>
    </row>
    <row r="640">
      <c r="C640" s="90"/>
      <c r="D640" s="91"/>
      <c r="E640" s="92"/>
      <c r="F640" s="93"/>
    </row>
    <row r="641">
      <c r="C641" s="90"/>
      <c r="D641" s="91"/>
      <c r="E641" s="92"/>
      <c r="F641" s="93"/>
    </row>
    <row r="642">
      <c r="C642" s="90"/>
      <c r="D642" s="91"/>
      <c r="E642" s="92"/>
      <c r="F642" s="93"/>
    </row>
    <row r="643">
      <c r="C643" s="90"/>
      <c r="D643" s="91"/>
      <c r="E643" s="92"/>
      <c r="F643" s="93"/>
    </row>
    <row r="644">
      <c r="C644" s="90"/>
      <c r="D644" s="91"/>
      <c r="E644" s="92"/>
      <c r="F644" s="93"/>
    </row>
    <row r="645">
      <c r="C645" s="90"/>
      <c r="D645" s="91"/>
      <c r="E645" s="92"/>
      <c r="F645" s="93"/>
    </row>
    <row r="646">
      <c r="C646" s="90"/>
      <c r="D646" s="91"/>
      <c r="E646" s="92"/>
      <c r="F646" s="93"/>
    </row>
    <row r="647">
      <c r="C647" s="90"/>
      <c r="D647" s="91"/>
      <c r="E647" s="92"/>
      <c r="F647" s="93"/>
    </row>
    <row r="648">
      <c r="C648" s="90"/>
      <c r="D648" s="91"/>
      <c r="E648" s="92"/>
      <c r="F648" s="93"/>
    </row>
    <row r="649">
      <c r="C649" s="90"/>
      <c r="D649" s="91"/>
      <c r="E649" s="92"/>
      <c r="F649" s="93"/>
    </row>
    <row r="650">
      <c r="C650" s="90"/>
      <c r="D650" s="91"/>
      <c r="E650" s="92"/>
      <c r="F650" s="93"/>
    </row>
    <row r="651">
      <c r="C651" s="90"/>
      <c r="D651" s="91"/>
      <c r="E651" s="92"/>
      <c r="F651" s="93"/>
    </row>
    <row r="652">
      <c r="C652" s="90"/>
      <c r="D652" s="91"/>
      <c r="E652" s="92"/>
      <c r="F652" s="93"/>
    </row>
    <row r="653">
      <c r="C653" s="90"/>
      <c r="D653" s="91"/>
      <c r="E653" s="92"/>
      <c r="F653" s="93"/>
    </row>
    <row r="654">
      <c r="C654" s="90"/>
      <c r="D654" s="91"/>
      <c r="E654" s="92"/>
      <c r="F654" s="93"/>
    </row>
    <row r="655">
      <c r="C655" s="90"/>
      <c r="D655" s="91"/>
      <c r="E655" s="92"/>
      <c r="F655" s="93"/>
    </row>
    <row r="656">
      <c r="C656" s="90"/>
      <c r="D656" s="91"/>
      <c r="E656" s="92"/>
      <c r="F656" s="93"/>
    </row>
    <row r="657">
      <c r="C657" s="90"/>
      <c r="D657" s="91"/>
      <c r="E657" s="92"/>
      <c r="F657" s="93"/>
    </row>
    <row r="658">
      <c r="C658" s="90"/>
      <c r="D658" s="91"/>
      <c r="E658" s="92"/>
      <c r="F658" s="93"/>
    </row>
    <row r="659">
      <c r="C659" s="90"/>
      <c r="D659" s="91"/>
      <c r="E659" s="92"/>
      <c r="F659" s="93"/>
    </row>
    <row r="660">
      <c r="C660" s="90"/>
      <c r="D660" s="91"/>
      <c r="E660" s="92"/>
      <c r="F660" s="93"/>
    </row>
    <row r="661">
      <c r="C661" s="90"/>
      <c r="D661" s="91"/>
      <c r="E661" s="92"/>
      <c r="F661" s="93"/>
    </row>
    <row r="662">
      <c r="C662" s="90"/>
      <c r="D662" s="91"/>
      <c r="E662" s="92"/>
      <c r="F662" s="93"/>
    </row>
    <row r="663">
      <c r="C663" s="90"/>
      <c r="D663" s="91"/>
      <c r="E663" s="92"/>
      <c r="F663" s="93"/>
    </row>
    <row r="664">
      <c r="C664" s="90"/>
      <c r="D664" s="91"/>
      <c r="E664" s="92"/>
      <c r="F664" s="93"/>
    </row>
    <row r="665">
      <c r="C665" s="90"/>
      <c r="D665" s="91"/>
      <c r="E665" s="92"/>
      <c r="F665" s="93"/>
    </row>
    <row r="666">
      <c r="C666" s="90"/>
      <c r="D666" s="91"/>
      <c r="E666" s="92"/>
      <c r="F666" s="93"/>
    </row>
    <row r="667">
      <c r="C667" s="90"/>
      <c r="D667" s="91"/>
      <c r="E667" s="92"/>
      <c r="F667" s="93"/>
    </row>
    <row r="668">
      <c r="C668" s="90"/>
      <c r="D668" s="91"/>
      <c r="E668" s="92"/>
      <c r="F668" s="93"/>
    </row>
    <row r="669">
      <c r="C669" s="90"/>
      <c r="D669" s="91"/>
      <c r="E669" s="92"/>
      <c r="F669" s="93"/>
    </row>
    <row r="670">
      <c r="C670" s="90"/>
      <c r="D670" s="91"/>
      <c r="E670" s="92"/>
      <c r="F670" s="93"/>
    </row>
    <row r="671">
      <c r="C671" s="90"/>
      <c r="D671" s="91"/>
      <c r="E671" s="92"/>
      <c r="F671" s="93"/>
    </row>
    <row r="672">
      <c r="C672" s="90"/>
      <c r="D672" s="91"/>
      <c r="E672" s="92"/>
      <c r="F672" s="93"/>
    </row>
    <row r="673">
      <c r="C673" s="90"/>
      <c r="D673" s="91"/>
      <c r="E673" s="92"/>
      <c r="F673" s="93"/>
    </row>
    <row r="674">
      <c r="C674" s="90"/>
      <c r="D674" s="91"/>
      <c r="E674" s="92"/>
      <c r="F674" s="93"/>
    </row>
    <row r="675">
      <c r="C675" s="90"/>
      <c r="D675" s="91"/>
      <c r="E675" s="92"/>
      <c r="F675" s="93"/>
    </row>
    <row r="676">
      <c r="C676" s="90"/>
      <c r="D676" s="91"/>
      <c r="E676" s="92"/>
      <c r="F676" s="93"/>
    </row>
    <row r="677">
      <c r="C677" s="90"/>
      <c r="D677" s="91"/>
      <c r="E677" s="92"/>
      <c r="F677" s="93"/>
    </row>
    <row r="678">
      <c r="C678" s="90"/>
      <c r="D678" s="91"/>
      <c r="E678" s="92"/>
      <c r="F678" s="93"/>
    </row>
    <row r="679">
      <c r="C679" s="90"/>
      <c r="D679" s="91"/>
      <c r="E679" s="92"/>
      <c r="F679" s="93"/>
    </row>
    <row r="680">
      <c r="C680" s="90"/>
      <c r="D680" s="91"/>
      <c r="E680" s="92"/>
      <c r="F680" s="93"/>
    </row>
    <row r="681">
      <c r="C681" s="90"/>
      <c r="D681" s="91"/>
      <c r="E681" s="92"/>
      <c r="F681" s="93"/>
    </row>
    <row r="682">
      <c r="C682" s="90"/>
      <c r="D682" s="91"/>
      <c r="E682" s="92"/>
      <c r="F682" s="93"/>
    </row>
    <row r="683">
      <c r="C683" s="90"/>
      <c r="D683" s="91"/>
      <c r="E683" s="92"/>
      <c r="F683" s="93"/>
    </row>
    <row r="684">
      <c r="C684" s="90"/>
      <c r="D684" s="91"/>
      <c r="E684" s="92"/>
      <c r="F684" s="93"/>
    </row>
    <row r="685">
      <c r="C685" s="90"/>
      <c r="D685" s="91"/>
      <c r="E685" s="92"/>
      <c r="F685" s="93"/>
    </row>
    <row r="686">
      <c r="C686" s="90"/>
      <c r="D686" s="91"/>
      <c r="E686" s="92"/>
      <c r="F686" s="93"/>
    </row>
    <row r="687">
      <c r="C687" s="90"/>
      <c r="D687" s="91"/>
      <c r="E687" s="92"/>
      <c r="F687" s="93"/>
    </row>
    <row r="688">
      <c r="C688" s="90"/>
      <c r="D688" s="91"/>
      <c r="E688" s="92"/>
      <c r="F688" s="93"/>
    </row>
    <row r="689">
      <c r="C689" s="90"/>
      <c r="D689" s="91"/>
      <c r="E689" s="92"/>
      <c r="F689" s="93"/>
    </row>
    <row r="690">
      <c r="C690" s="90"/>
      <c r="D690" s="91"/>
      <c r="E690" s="92"/>
      <c r="F690" s="93"/>
    </row>
    <row r="691">
      <c r="C691" s="90"/>
      <c r="D691" s="91"/>
      <c r="E691" s="92"/>
      <c r="F691" s="93"/>
    </row>
    <row r="692">
      <c r="C692" s="90"/>
      <c r="D692" s="91"/>
      <c r="E692" s="92"/>
      <c r="F692" s="93"/>
    </row>
    <row r="693">
      <c r="C693" s="90"/>
      <c r="D693" s="91"/>
      <c r="E693" s="92"/>
      <c r="F693" s="93"/>
    </row>
    <row r="694">
      <c r="C694" s="90"/>
      <c r="D694" s="91"/>
      <c r="E694" s="92"/>
      <c r="F694" s="93"/>
    </row>
    <row r="695">
      <c r="C695" s="90"/>
      <c r="D695" s="91"/>
      <c r="E695" s="92"/>
      <c r="F695" s="93"/>
    </row>
    <row r="696">
      <c r="C696" s="90"/>
      <c r="D696" s="91"/>
      <c r="E696" s="92"/>
      <c r="F696" s="93"/>
    </row>
    <row r="697">
      <c r="C697" s="90"/>
      <c r="D697" s="91"/>
      <c r="E697" s="92"/>
      <c r="F697" s="93"/>
    </row>
    <row r="698">
      <c r="C698" s="90"/>
      <c r="D698" s="91"/>
      <c r="E698" s="92"/>
      <c r="F698" s="93"/>
    </row>
    <row r="699">
      <c r="C699" s="90"/>
      <c r="D699" s="91"/>
      <c r="E699" s="92"/>
      <c r="F699" s="93"/>
    </row>
    <row r="700">
      <c r="C700" s="90"/>
      <c r="D700" s="91"/>
      <c r="E700" s="92"/>
      <c r="F700" s="93"/>
    </row>
    <row r="701">
      <c r="C701" s="90"/>
      <c r="D701" s="91"/>
      <c r="E701" s="92"/>
      <c r="F701" s="93"/>
    </row>
    <row r="702">
      <c r="C702" s="90"/>
      <c r="D702" s="91"/>
      <c r="E702" s="92"/>
      <c r="F702" s="93"/>
    </row>
    <row r="703">
      <c r="C703" s="90"/>
      <c r="D703" s="91"/>
      <c r="E703" s="92"/>
      <c r="F703" s="93"/>
    </row>
    <row r="704">
      <c r="C704" s="90"/>
      <c r="D704" s="91"/>
      <c r="E704" s="92"/>
      <c r="F704" s="93"/>
    </row>
    <row r="705">
      <c r="C705" s="90"/>
      <c r="D705" s="91"/>
      <c r="E705" s="92"/>
      <c r="F705" s="93"/>
    </row>
    <row r="706">
      <c r="C706" s="90"/>
      <c r="D706" s="91"/>
      <c r="E706" s="92"/>
      <c r="F706" s="93"/>
    </row>
    <row r="707">
      <c r="C707" s="90"/>
      <c r="D707" s="91"/>
      <c r="E707" s="92"/>
      <c r="F707" s="93"/>
    </row>
    <row r="708">
      <c r="C708" s="90"/>
      <c r="D708" s="91"/>
      <c r="E708" s="92"/>
      <c r="F708" s="93"/>
    </row>
    <row r="709">
      <c r="C709" s="90"/>
      <c r="D709" s="91"/>
      <c r="E709" s="92"/>
      <c r="F709" s="93"/>
    </row>
    <row r="710">
      <c r="C710" s="90"/>
      <c r="D710" s="91"/>
      <c r="E710" s="92"/>
      <c r="F710" s="93"/>
    </row>
    <row r="711">
      <c r="C711" s="90"/>
      <c r="D711" s="91"/>
      <c r="E711" s="92"/>
      <c r="F711" s="93"/>
    </row>
    <row r="712">
      <c r="C712" s="90"/>
      <c r="D712" s="91"/>
      <c r="E712" s="92"/>
      <c r="F712" s="93"/>
    </row>
    <row r="713">
      <c r="C713" s="90"/>
      <c r="D713" s="91"/>
      <c r="E713" s="92"/>
      <c r="F713" s="93"/>
    </row>
    <row r="714">
      <c r="C714" s="90"/>
      <c r="D714" s="91"/>
      <c r="E714" s="92"/>
      <c r="F714" s="93"/>
    </row>
    <row r="715">
      <c r="C715" s="90"/>
      <c r="D715" s="91"/>
      <c r="E715" s="92"/>
      <c r="F715" s="93"/>
    </row>
    <row r="716">
      <c r="C716" s="90"/>
      <c r="D716" s="91"/>
      <c r="E716" s="92"/>
      <c r="F716" s="93"/>
    </row>
    <row r="717">
      <c r="C717" s="90"/>
      <c r="D717" s="91"/>
      <c r="E717" s="92"/>
      <c r="F717" s="93"/>
    </row>
    <row r="718">
      <c r="C718" s="90"/>
      <c r="D718" s="91"/>
      <c r="E718" s="92"/>
      <c r="F718" s="93"/>
    </row>
    <row r="719">
      <c r="C719" s="90"/>
      <c r="D719" s="91"/>
      <c r="E719" s="92"/>
      <c r="F719" s="93"/>
    </row>
    <row r="720">
      <c r="C720" s="90"/>
      <c r="D720" s="91"/>
      <c r="E720" s="92"/>
      <c r="F720" s="93"/>
    </row>
    <row r="721">
      <c r="C721" s="90"/>
      <c r="D721" s="91"/>
      <c r="E721" s="92"/>
      <c r="F721" s="93"/>
    </row>
    <row r="722">
      <c r="C722" s="90"/>
      <c r="D722" s="91"/>
      <c r="E722" s="92"/>
      <c r="F722" s="93"/>
    </row>
    <row r="723">
      <c r="C723" s="90"/>
      <c r="D723" s="91"/>
      <c r="E723" s="92"/>
      <c r="F723" s="93"/>
    </row>
    <row r="724">
      <c r="C724" s="90"/>
      <c r="D724" s="91"/>
      <c r="E724" s="92"/>
      <c r="F724" s="93"/>
    </row>
    <row r="725">
      <c r="C725" s="90"/>
      <c r="D725" s="91"/>
      <c r="E725" s="92"/>
      <c r="F725" s="93"/>
    </row>
    <row r="726">
      <c r="C726" s="90"/>
      <c r="D726" s="91"/>
      <c r="E726" s="92"/>
      <c r="F726" s="93"/>
    </row>
    <row r="727">
      <c r="C727" s="90"/>
      <c r="D727" s="91"/>
      <c r="E727" s="92"/>
      <c r="F727" s="93"/>
    </row>
    <row r="728">
      <c r="C728" s="90"/>
      <c r="D728" s="91"/>
      <c r="E728" s="92"/>
      <c r="F728" s="93"/>
    </row>
    <row r="729">
      <c r="C729" s="90"/>
      <c r="D729" s="91"/>
      <c r="E729" s="92"/>
      <c r="F729" s="93"/>
    </row>
    <row r="730">
      <c r="C730" s="90"/>
      <c r="D730" s="91"/>
      <c r="E730" s="92"/>
      <c r="F730" s="93"/>
    </row>
    <row r="731">
      <c r="C731" s="90"/>
      <c r="D731" s="91"/>
      <c r="E731" s="92"/>
      <c r="F731" s="93"/>
    </row>
    <row r="732">
      <c r="C732" s="90"/>
      <c r="D732" s="91"/>
      <c r="E732" s="92"/>
      <c r="F732" s="93"/>
    </row>
    <row r="733">
      <c r="C733" s="90"/>
      <c r="D733" s="91"/>
      <c r="E733" s="92"/>
      <c r="F733" s="93"/>
    </row>
    <row r="734">
      <c r="C734" s="90"/>
      <c r="D734" s="91"/>
      <c r="E734" s="92"/>
      <c r="F734" s="93"/>
    </row>
    <row r="735">
      <c r="C735" s="90"/>
      <c r="D735" s="91"/>
      <c r="E735" s="92"/>
      <c r="F735" s="93"/>
    </row>
    <row r="736">
      <c r="C736" s="90"/>
      <c r="D736" s="91"/>
      <c r="E736" s="92"/>
      <c r="F736" s="93"/>
    </row>
    <row r="737">
      <c r="C737" s="90"/>
      <c r="D737" s="91"/>
      <c r="E737" s="92"/>
      <c r="F737" s="93"/>
    </row>
    <row r="738">
      <c r="C738" s="90"/>
      <c r="D738" s="91"/>
      <c r="E738" s="92"/>
      <c r="F738" s="93"/>
    </row>
    <row r="739">
      <c r="C739" s="90"/>
      <c r="D739" s="91"/>
      <c r="E739" s="92"/>
      <c r="F739" s="93"/>
    </row>
    <row r="740">
      <c r="C740" s="90"/>
      <c r="D740" s="91"/>
      <c r="E740" s="92"/>
      <c r="F740" s="93"/>
    </row>
    <row r="741">
      <c r="C741" s="90"/>
      <c r="D741" s="91"/>
      <c r="E741" s="92"/>
      <c r="F741" s="93"/>
    </row>
    <row r="742">
      <c r="C742" s="90"/>
      <c r="D742" s="91"/>
      <c r="E742" s="92"/>
      <c r="F742" s="93"/>
    </row>
    <row r="743">
      <c r="C743" s="90"/>
      <c r="D743" s="91"/>
      <c r="E743" s="92"/>
      <c r="F743" s="93"/>
    </row>
    <row r="744">
      <c r="C744" s="90"/>
      <c r="D744" s="91"/>
      <c r="E744" s="92"/>
      <c r="F744" s="93"/>
    </row>
    <row r="745">
      <c r="C745" s="90"/>
      <c r="D745" s="91"/>
      <c r="E745" s="92"/>
      <c r="F745" s="93"/>
    </row>
    <row r="746">
      <c r="C746" s="90"/>
      <c r="D746" s="91"/>
      <c r="E746" s="92"/>
      <c r="F746" s="93"/>
    </row>
    <row r="747">
      <c r="C747" s="90"/>
      <c r="D747" s="91"/>
      <c r="E747" s="92"/>
      <c r="F747" s="93"/>
    </row>
    <row r="748">
      <c r="C748" s="90"/>
      <c r="D748" s="91"/>
      <c r="E748" s="92"/>
      <c r="F748" s="93"/>
    </row>
    <row r="749">
      <c r="C749" s="90"/>
      <c r="D749" s="91"/>
      <c r="E749" s="92"/>
      <c r="F749" s="93"/>
    </row>
    <row r="750">
      <c r="C750" s="90"/>
      <c r="D750" s="91"/>
      <c r="E750" s="92"/>
      <c r="F750" s="93"/>
    </row>
    <row r="751">
      <c r="C751" s="90"/>
      <c r="D751" s="91"/>
      <c r="E751" s="92"/>
      <c r="F751" s="93"/>
    </row>
    <row r="752">
      <c r="C752" s="90"/>
      <c r="D752" s="91"/>
      <c r="E752" s="92"/>
      <c r="F752" s="93"/>
    </row>
    <row r="753">
      <c r="C753" s="90"/>
      <c r="D753" s="91"/>
      <c r="E753" s="92"/>
      <c r="F753" s="93"/>
    </row>
    <row r="754">
      <c r="C754" s="90"/>
      <c r="D754" s="91"/>
      <c r="E754" s="92"/>
      <c r="F754" s="93"/>
    </row>
    <row r="755">
      <c r="C755" s="90"/>
      <c r="D755" s="91"/>
      <c r="E755" s="92"/>
      <c r="F755" s="93"/>
    </row>
    <row r="756">
      <c r="C756" s="90"/>
      <c r="D756" s="91"/>
      <c r="E756" s="92"/>
      <c r="F756" s="93"/>
    </row>
    <row r="757">
      <c r="C757" s="90"/>
      <c r="D757" s="91"/>
      <c r="E757" s="92"/>
      <c r="F757" s="93"/>
    </row>
    <row r="758">
      <c r="C758" s="90"/>
      <c r="D758" s="91"/>
      <c r="E758" s="92"/>
      <c r="F758" s="93"/>
    </row>
    <row r="759">
      <c r="C759" s="90"/>
      <c r="D759" s="91"/>
      <c r="E759" s="92"/>
      <c r="F759" s="93"/>
    </row>
    <row r="760">
      <c r="C760" s="90"/>
      <c r="D760" s="91"/>
      <c r="E760" s="92"/>
      <c r="F760" s="93"/>
    </row>
    <row r="761">
      <c r="C761" s="90"/>
      <c r="D761" s="91"/>
      <c r="E761" s="92"/>
      <c r="F761" s="93"/>
    </row>
    <row r="762">
      <c r="C762" s="90"/>
      <c r="D762" s="91"/>
      <c r="E762" s="92"/>
      <c r="F762" s="93"/>
    </row>
    <row r="763">
      <c r="C763" s="90"/>
      <c r="D763" s="91"/>
      <c r="E763" s="92"/>
      <c r="F763" s="93"/>
    </row>
    <row r="764">
      <c r="C764" s="90"/>
      <c r="D764" s="91"/>
      <c r="E764" s="92"/>
      <c r="F764" s="93"/>
    </row>
    <row r="765">
      <c r="C765" s="90"/>
      <c r="D765" s="91"/>
      <c r="E765" s="92"/>
      <c r="F765" s="93"/>
    </row>
    <row r="766">
      <c r="C766" s="90"/>
      <c r="D766" s="91"/>
      <c r="E766" s="92"/>
      <c r="F766" s="93"/>
    </row>
    <row r="767">
      <c r="C767" s="90"/>
      <c r="D767" s="91"/>
      <c r="E767" s="92"/>
      <c r="F767" s="93"/>
    </row>
    <row r="768">
      <c r="C768" s="90"/>
      <c r="D768" s="91"/>
      <c r="E768" s="92"/>
      <c r="F768" s="93"/>
    </row>
    <row r="769">
      <c r="C769" s="90"/>
      <c r="D769" s="91"/>
      <c r="E769" s="92"/>
      <c r="F769" s="93"/>
    </row>
    <row r="770">
      <c r="C770" s="90"/>
      <c r="D770" s="91"/>
      <c r="E770" s="92"/>
      <c r="F770" s="93"/>
    </row>
    <row r="771">
      <c r="C771" s="90"/>
      <c r="D771" s="91"/>
      <c r="E771" s="92"/>
      <c r="F771" s="93"/>
    </row>
    <row r="772">
      <c r="C772" s="90"/>
      <c r="D772" s="91"/>
      <c r="E772" s="92"/>
      <c r="F772" s="93"/>
    </row>
    <row r="773">
      <c r="C773" s="90"/>
      <c r="D773" s="91"/>
      <c r="E773" s="92"/>
      <c r="F773" s="93"/>
    </row>
    <row r="774">
      <c r="C774" s="90"/>
      <c r="D774" s="91"/>
      <c r="E774" s="92"/>
      <c r="F774" s="93"/>
    </row>
    <row r="775">
      <c r="C775" s="90"/>
      <c r="D775" s="91"/>
      <c r="E775" s="92"/>
      <c r="F775" s="93"/>
    </row>
    <row r="776">
      <c r="C776" s="90"/>
      <c r="D776" s="91"/>
      <c r="E776" s="92"/>
      <c r="F776" s="93"/>
    </row>
    <row r="777">
      <c r="C777" s="90"/>
      <c r="D777" s="91"/>
      <c r="E777" s="92"/>
      <c r="F777" s="93"/>
    </row>
    <row r="778">
      <c r="C778" s="90"/>
      <c r="D778" s="91"/>
      <c r="E778" s="92"/>
      <c r="F778" s="93"/>
    </row>
    <row r="779">
      <c r="C779" s="90"/>
      <c r="D779" s="91"/>
      <c r="E779" s="92"/>
      <c r="F779" s="93"/>
    </row>
    <row r="780">
      <c r="C780" s="90"/>
      <c r="D780" s="91"/>
      <c r="E780" s="92"/>
      <c r="F780" s="93"/>
    </row>
    <row r="781">
      <c r="C781" s="90"/>
      <c r="D781" s="91"/>
      <c r="E781" s="92"/>
      <c r="F781" s="93"/>
    </row>
    <row r="782">
      <c r="C782" s="90"/>
      <c r="D782" s="91"/>
      <c r="E782" s="92"/>
      <c r="F782" s="93"/>
    </row>
    <row r="783">
      <c r="C783" s="90"/>
      <c r="D783" s="91"/>
      <c r="E783" s="92"/>
      <c r="F783" s="93"/>
    </row>
    <row r="784">
      <c r="C784" s="90"/>
      <c r="D784" s="91"/>
      <c r="E784" s="92"/>
      <c r="F784" s="93"/>
    </row>
    <row r="785">
      <c r="C785" s="90"/>
      <c r="D785" s="91"/>
      <c r="E785" s="92"/>
      <c r="F785" s="93"/>
    </row>
    <row r="786">
      <c r="C786" s="90"/>
      <c r="D786" s="91"/>
      <c r="E786" s="92"/>
      <c r="F786" s="93"/>
    </row>
    <row r="787">
      <c r="C787" s="90"/>
      <c r="D787" s="91"/>
      <c r="E787" s="92"/>
      <c r="F787" s="93"/>
    </row>
    <row r="788">
      <c r="C788" s="90"/>
      <c r="D788" s="91"/>
      <c r="E788" s="92"/>
      <c r="F788" s="93"/>
    </row>
    <row r="789">
      <c r="C789" s="90"/>
      <c r="D789" s="91"/>
      <c r="E789" s="92"/>
      <c r="F789" s="93"/>
    </row>
    <row r="790">
      <c r="C790" s="90"/>
      <c r="D790" s="91"/>
      <c r="E790" s="92"/>
      <c r="F790" s="93"/>
    </row>
    <row r="791">
      <c r="C791" s="90"/>
      <c r="D791" s="91"/>
      <c r="E791" s="92"/>
      <c r="F791" s="93"/>
    </row>
    <row r="792">
      <c r="C792" s="90"/>
      <c r="D792" s="91"/>
      <c r="E792" s="92"/>
      <c r="F792" s="93"/>
    </row>
    <row r="793">
      <c r="C793" s="90"/>
      <c r="D793" s="91"/>
      <c r="E793" s="92"/>
      <c r="F793" s="93"/>
    </row>
    <row r="794">
      <c r="C794" s="90"/>
      <c r="D794" s="91"/>
      <c r="E794" s="92"/>
      <c r="F794" s="93"/>
    </row>
    <row r="795">
      <c r="C795" s="90"/>
      <c r="D795" s="91"/>
      <c r="E795" s="92"/>
      <c r="F795" s="93"/>
    </row>
    <row r="796">
      <c r="C796" s="90"/>
      <c r="D796" s="91"/>
      <c r="E796" s="92"/>
      <c r="F796" s="93"/>
    </row>
    <row r="797">
      <c r="C797" s="90"/>
      <c r="D797" s="91"/>
      <c r="E797" s="92"/>
      <c r="F797" s="93"/>
    </row>
    <row r="798">
      <c r="C798" s="90"/>
      <c r="D798" s="91"/>
      <c r="E798" s="92"/>
      <c r="F798" s="93"/>
    </row>
    <row r="799">
      <c r="C799" s="90"/>
      <c r="D799" s="91"/>
      <c r="E799" s="92"/>
      <c r="F799" s="93"/>
    </row>
    <row r="800">
      <c r="C800" s="90"/>
      <c r="D800" s="91"/>
      <c r="E800" s="92"/>
      <c r="F800" s="93"/>
    </row>
    <row r="801">
      <c r="C801" s="90"/>
      <c r="D801" s="91"/>
      <c r="E801" s="92"/>
      <c r="F801" s="93"/>
    </row>
    <row r="802">
      <c r="C802" s="90"/>
      <c r="D802" s="91"/>
      <c r="E802" s="92"/>
      <c r="F802" s="93"/>
    </row>
    <row r="803">
      <c r="C803" s="90"/>
      <c r="D803" s="91"/>
      <c r="E803" s="92"/>
      <c r="F803" s="93"/>
    </row>
    <row r="804">
      <c r="C804" s="90"/>
      <c r="D804" s="91"/>
      <c r="E804" s="92"/>
      <c r="F804" s="93"/>
    </row>
    <row r="805">
      <c r="C805" s="90"/>
      <c r="D805" s="91"/>
      <c r="E805" s="92"/>
      <c r="F805" s="93"/>
    </row>
    <row r="806">
      <c r="C806" s="90"/>
      <c r="D806" s="91"/>
      <c r="E806" s="92"/>
      <c r="F806" s="93"/>
    </row>
    <row r="807">
      <c r="C807" s="90"/>
      <c r="D807" s="91"/>
      <c r="E807" s="92"/>
      <c r="F807" s="93"/>
    </row>
    <row r="808">
      <c r="C808" s="90"/>
      <c r="D808" s="91"/>
      <c r="E808" s="92"/>
      <c r="F808" s="93"/>
    </row>
    <row r="809">
      <c r="C809" s="90"/>
      <c r="D809" s="91"/>
      <c r="E809" s="92"/>
      <c r="F809" s="93"/>
    </row>
    <row r="810">
      <c r="C810" s="90"/>
      <c r="D810" s="91"/>
      <c r="E810" s="92"/>
      <c r="F810" s="93"/>
    </row>
    <row r="811">
      <c r="C811" s="90"/>
      <c r="D811" s="91"/>
      <c r="E811" s="92"/>
      <c r="F811" s="93"/>
    </row>
    <row r="812">
      <c r="C812" s="90"/>
      <c r="D812" s="91"/>
      <c r="E812" s="92"/>
      <c r="F812" s="93"/>
    </row>
    <row r="813">
      <c r="C813" s="90"/>
      <c r="D813" s="91"/>
      <c r="E813" s="92"/>
      <c r="F813" s="93"/>
    </row>
    <row r="814">
      <c r="C814" s="90"/>
      <c r="D814" s="91"/>
      <c r="E814" s="92"/>
      <c r="F814" s="93"/>
    </row>
    <row r="815">
      <c r="C815" s="90"/>
      <c r="D815" s="91"/>
      <c r="E815" s="92"/>
      <c r="F815" s="93"/>
    </row>
    <row r="816">
      <c r="C816" s="90"/>
      <c r="D816" s="91"/>
      <c r="E816" s="92"/>
      <c r="F816" s="93"/>
    </row>
    <row r="817">
      <c r="C817" s="90"/>
      <c r="D817" s="91"/>
      <c r="E817" s="92"/>
      <c r="F817" s="93"/>
    </row>
    <row r="818">
      <c r="C818" s="90"/>
      <c r="D818" s="91"/>
      <c r="E818" s="92"/>
      <c r="F818" s="93"/>
    </row>
    <row r="819">
      <c r="C819" s="90"/>
      <c r="D819" s="91"/>
      <c r="E819" s="92"/>
      <c r="F819" s="93"/>
    </row>
    <row r="820">
      <c r="C820" s="90"/>
      <c r="D820" s="91"/>
      <c r="E820" s="92"/>
      <c r="F820" s="93"/>
    </row>
    <row r="821">
      <c r="C821" s="90"/>
      <c r="D821" s="91"/>
      <c r="E821" s="92"/>
      <c r="F821" s="93"/>
    </row>
    <row r="822">
      <c r="C822" s="90"/>
      <c r="D822" s="91"/>
      <c r="E822" s="92"/>
      <c r="F822" s="93"/>
    </row>
    <row r="823">
      <c r="C823" s="90"/>
      <c r="D823" s="91"/>
      <c r="E823" s="92"/>
      <c r="F823" s="93"/>
    </row>
    <row r="824">
      <c r="C824" s="90"/>
      <c r="D824" s="91"/>
      <c r="E824" s="92"/>
      <c r="F824" s="93"/>
    </row>
    <row r="825">
      <c r="C825" s="90"/>
      <c r="D825" s="91"/>
      <c r="E825" s="92"/>
      <c r="F825" s="93"/>
    </row>
    <row r="826">
      <c r="C826" s="90"/>
      <c r="D826" s="91"/>
      <c r="E826" s="92"/>
      <c r="F826" s="93"/>
    </row>
    <row r="827">
      <c r="C827" s="90"/>
      <c r="D827" s="91"/>
      <c r="E827" s="92"/>
      <c r="F827" s="93"/>
    </row>
    <row r="828">
      <c r="C828" s="90"/>
      <c r="D828" s="91"/>
      <c r="E828" s="92"/>
      <c r="F828" s="93"/>
    </row>
    <row r="829">
      <c r="C829" s="90"/>
      <c r="D829" s="91"/>
      <c r="E829" s="92"/>
      <c r="F829" s="93"/>
    </row>
    <row r="830">
      <c r="C830" s="90"/>
      <c r="D830" s="91"/>
      <c r="E830" s="92"/>
      <c r="F830" s="93"/>
    </row>
    <row r="831">
      <c r="C831" s="90"/>
      <c r="D831" s="91"/>
      <c r="E831" s="92"/>
      <c r="F831" s="93"/>
    </row>
    <row r="832">
      <c r="C832" s="90"/>
      <c r="D832" s="91"/>
      <c r="E832" s="92"/>
      <c r="F832" s="93"/>
    </row>
    <row r="833">
      <c r="C833" s="90"/>
      <c r="D833" s="91"/>
      <c r="E833" s="92"/>
      <c r="F833" s="93"/>
    </row>
    <row r="834">
      <c r="C834" s="90"/>
      <c r="D834" s="91"/>
      <c r="E834" s="92"/>
      <c r="F834" s="93"/>
    </row>
    <row r="835">
      <c r="C835" s="90"/>
      <c r="D835" s="91"/>
      <c r="E835" s="92"/>
      <c r="F835" s="93"/>
    </row>
    <row r="836">
      <c r="C836" s="90"/>
      <c r="D836" s="91"/>
      <c r="E836" s="92"/>
      <c r="F836" s="93"/>
    </row>
    <row r="837">
      <c r="C837" s="90"/>
      <c r="D837" s="91"/>
      <c r="E837" s="92"/>
      <c r="F837" s="93"/>
    </row>
    <row r="838">
      <c r="C838" s="90"/>
      <c r="D838" s="91"/>
      <c r="E838" s="92"/>
      <c r="F838" s="93"/>
    </row>
    <row r="839">
      <c r="C839" s="90"/>
      <c r="D839" s="91"/>
      <c r="E839" s="92"/>
      <c r="F839" s="93"/>
    </row>
    <row r="840">
      <c r="C840" s="90"/>
      <c r="D840" s="91"/>
      <c r="E840" s="92"/>
      <c r="F840" s="93"/>
    </row>
    <row r="841">
      <c r="C841" s="90"/>
      <c r="D841" s="91"/>
      <c r="E841" s="92"/>
      <c r="F841" s="93"/>
    </row>
    <row r="842">
      <c r="C842" s="90"/>
      <c r="D842" s="91"/>
      <c r="E842" s="92"/>
      <c r="F842" s="93"/>
    </row>
    <row r="843">
      <c r="C843" s="90"/>
      <c r="D843" s="91"/>
      <c r="E843" s="92"/>
      <c r="F843" s="93"/>
    </row>
    <row r="844">
      <c r="C844" s="90"/>
      <c r="D844" s="91"/>
      <c r="E844" s="92"/>
      <c r="F844" s="93"/>
    </row>
    <row r="845">
      <c r="C845" s="90"/>
      <c r="D845" s="91"/>
      <c r="E845" s="92"/>
      <c r="F845" s="93"/>
    </row>
    <row r="846">
      <c r="C846" s="90"/>
      <c r="D846" s="91"/>
      <c r="E846" s="92"/>
      <c r="F846" s="93"/>
    </row>
    <row r="847">
      <c r="C847" s="90"/>
      <c r="D847" s="91"/>
      <c r="E847" s="92"/>
      <c r="F847" s="93"/>
    </row>
    <row r="848">
      <c r="C848" s="90"/>
      <c r="D848" s="91"/>
      <c r="E848" s="92"/>
      <c r="F848" s="93"/>
    </row>
    <row r="849">
      <c r="C849" s="90"/>
      <c r="D849" s="91"/>
      <c r="E849" s="92"/>
      <c r="F849" s="93"/>
    </row>
    <row r="850">
      <c r="C850" s="90"/>
      <c r="D850" s="91"/>
      <c r="E850" s="92"/>
      <c r="F850" s="93"/>
    </row>
    <row r="851">
      <c r="C851" s="90"/>
      <c r="D851" s="91"/>
      <c r="E851" s="92"/>
      <c r="F851" s="93"/>
    </row>
    <row r="852">
      <c r="C852" s="90"/>
      <c r="D852" s="91"/>
      <c r="E852" s="92"/>
      <c r="F852" s="93"/>
    </row>
    <row r="853">
      <c r="C853" s="90"/>
      <c r="D853" s="91"/>
      <c r="E853" s="92"/>
      <c r="F853" s="93"/>
    </row>
    <row r="854">
      <c r="C854" s="90"/>
      <c r="D854" s="91"/>
      <c r="E854" s="92"/>
      <c r="F854" s="93"/>
    </row>
    <row r="855">
      <c r="C855" s="90"/>
      <c r="D855" s="91"/>
      <c r="E855" s="92"/>
      <c r="F855" s="93"/>
    </row>
    <row r="856">
      <c r="C856" s="90"/>
      <c r="D856" s="91"/>
      <c r="E856" s="92"/>
      <c r="F856" s="93"/>
    </row>
    <row r="857">
      <c r="C857" s="90"/>
      <c r="D857" s="91"/>
      <c r="E857" s="92"/>
      <c r="F857" s="93"/>
    </row>
    <row r="858">
      <c r="C858" s="90"/>
      <c r="D858" s="91"/>
      <c r="E858" s="92"/>
      <c r="F858" s="93"/>
    </row>
    <row r="859">
      <c r="C859" s="90"/>
      <c r="D859" s="91"/>
      <c r="E859" s="92"/>
      <c r="F859" s="93"/>
    </row>
    <row r="860">
      <c r="C860" s="90"/>
      <c r="D860" s="91"/>
      <c r="E860" s="92"/>
      <c r="F860" s="93"/>
    </row>
    <row r="861">
      <c r="C861" s="90"/>
      <c r="D861" s="91"/>
      <c r="E861" s="92"/>
      <c r="F861" s="93"/>
    </row>
    <row r="862">
      <c r="C862" s="90"/>
      <c r="D862" s="91"/>
      <c r="E862" s="92"/>
      <c r="F862" s="93"/>
    </row>
    <row r="863">
      <c r="C863" s="90"/>
      <c r="D863" s="91"/>
      <c r="E863" s="92"/>
      <c r="F863" s="93"/>
    </row>
    <row r="864">
      <c r="C864" s="90"/>
      <c r="D864" s="91"/>
      <c r="E864" s="92"/>
      <c r="F864" s="93"/>
    </row>
    <row r="865">
      <c r="C865" s="90"/>
      <c r="D865" s="91"/>
      <c r="E865" s="92"/>
      <c r="F865" s="93"/>
    </row>
    <row r="866">
      <c r="C866" s="90"/>
      <c r="D866" s="91"/>
      <c r="E866" s="92"/>
      <c r="F866" s="93"/>
    </row>
    <row r="867">
      <c r="C867" s="90"/>
      <c r="D867" s="91"/>
      <c r="E867" s="92"/>
      <c r="F867" s="93"/>
    </row>
    <row r="868">
      <c r="C868" s="90"/>
      <c r="D868" s="91"/>
      <c r="E868" s="92"/>
      <c r="F868" s="93"/>
    </row>
    <row r="869">
      <c r="C869" s="90"/>
      <c r="D869" s="91"/>
      <c r="E869" s="92"/>
      <c r="F869" s="93"/>
    </row>
    <row r="870">
      <c r="C870" s="90"/>
      <c r="D870" s="91"/>
      <c r="E870" s="92"/>
      <c r="F870" s="93"/>
    </row>
    <row r="871">
      <c r="C871" s="90"/>
      <c r="D871" s="91"/>
      <c r="E871" s="92"/>
      <c r="F871" s="93"/>
    </row>
    <row r="872">
      <c r="C872" s="90"/>
      <c r="D872" s="91"/>
      <c r="E872" s="92"/>
      <c r="F872" s="93"/>
    </row>
    <row r="873">
      <c r="C873" s="90"/>
      <c r="D873" s="91"/>
      <c r="E873" s="92"/>
      <c r="F873" s="93"/>
    </row>
    <row r="874">
      <c r="C874" s="90"/>
      <c r="D874" s="91"/>
      <c r="E874" s="92"/>
      <c r="F874" s="93"/>
    </row>
    <row r="875">
      <c r="C875" s="90"/>
      <c r="D875" s="91"/>
      <c r="E875" s="92"/>
      <c r="F875" s="93"/>
    </row>
    <row r="876">
      <c r="C876" s="90"/>
      <c r="D876" s="91"/>
      <c r="E876" s="92"/>
      <c r="F876" s="93"/>
    </row>
    <row r="877">
      <c r="C877" s="90"/>
      <c r="D877" s="91"/>
      <c r="E877" s="92"/>
      <c r="F877" s="93"/>
    </row>
    <row r="878">
      <c r="C878" s="90"/>
      <c r="D878" s="91"/>
      <c r="E878" s="92"/>
      <c r="F878" s="93"/>
    </row>
    <row r="879">
      <c r="C879" s="90"/>
      <c r="D879" s="91"/>
      <c r="E879" s="92"/>
      <c r="F879" s="93"/>
    </row>
    <row r="880">
      <c r="C880" s="90"/>
      <c r="D880" s="91"/>
      <c r="E880" s="92"/>
      <c r="F880" s="93"/>
    </row>
    <row r="881">
      <c r="C881" s="90"/>
      <c r="D881" s="91"/>
      <c r="E881" s="92"/>
      <c r="F881" s="93"/>
    </row>
    <row r="882">
      <c r="C882" s="90"/>
      <c r="D882" s="91"/>
      <c r="E882" s="92"/>
      <c r="F882" s="93"/>
    </row>
    <row r="883">
      <c r="C883" s="90"/>
      <c r="D883" s="91"/>
      <c r="E883" s="92"/>
      <c r="F883" s="93"/>
    </row>
    <row r="884">
      <c r="C884" s="90"/>
      <c r="D884" s="91"/>
      <c r="E884" s="92"/>
      <c r="F884" s="93"/>
    </row>
    <row r="885">
      <c r="C885" s="90"/>
      <c r="D885" s="91"/>
      <c r="E885" s="92"/>
      <c r="F885" s="93"/>
    </row>
    <row r="886">
      <c r="C886" s="90"/>
      <c r="D886" s="91"/>
      <c r="E886" s="92"/>
      <c r="F886" s="93"/>
    </row>
    <row r="887">
      <c r="C887" s="90"/>
      <c r="D887" s="91"/>
      <c r="E887" s="92"/>
      <c r="F887" s="93"/>
    </row>
    <row r="888">
      <c r="C888" s="90"/>
      <c r="D888" s="91"/>
      <c r="E888" s="92"/>
      <c r="F888" s="93"/>
    </row>
    <row r="889">
      <c r="C889" s="90"/>
      <c r="D889" s="91"/>
      <c r="E889" s="92"/>
      <c r="F889" s="93"/>
    </row>
    <row r="890">
      <c r="C890" s="90"/>
      <c r="D890" s="91"/>
      <c r="E890" s="92"/>
      <c r="F890" s="93"/>
    </row>
    <row r="891">
      <c r="C891" s="90"/>
      <c r="D891" s="91"/>
      <c r="E891" s="92"/>
      <c r="F891" s="93"/>
    </row>
    <row r="892">
      <c r="C892" s="90"/>
      <c r="D892" s="91"/>
      <c r="E892" s="92"/>
      <c r="F892" s="93"/>
    </row>
    <row r="893">
      <c r="C893" s="90"/>
      <c r="D893" s="91"/>
      <c r="E893" s="92"/>
      <c r="F893" s="93"/>
    </row>
    <row r="894">
      <c r="C894" s="90"/>
      <c r="D894" s="91"/>
      <c r="E894" s="92"/>
      <c r="F894" s="93"/>
    </row>
    <row r="895">
      <c r="C895" s="90"/>
      <c r="D895" s="91"/>
      <c r="E895" s="92"/>
      <c r="F895" s="93"/>
    </row>
    <row r="896">
      <c r="C896" s="90"/>
      <c r="D896" s="91"/>
      <c r="E896" s="92"/>
      <c r="F896" s="93"/>
    </row>
    <row r="897">
      <c r="C897" s="90"/>
      <c r="D897" s="91"/>
      <c r="E897" s="92"/>
      <c r="F897" s="93"/>
    </row>
    <row r="898">
      <c r="C898" s="90"/>
      <c r="D898" s="91"/>
      <c r="E898" s="92"/>
      <c r="F898" s="93"/>
    </row>
    <row r="899">
      <c r="C899" s="90"/>
      <c r="D899" s="91"/>
      <c r="E899" s="92"/>
      <c r="F899" s="93"/>
    </row>
    <row r="900">
      <c r="C900" s="90"/>
      <c r="D900" s="91"/>
      <c r="E900" s="92"/>
      <c r="F900" s="93"/>
    </row>
    <row r="901">
      <c r="C901" s="90"/>
      <c r="D901" s="91"/>
      <c r="E901" s="92"/>
      <c r="F901" s="93"/>
    </row>
    <row r="902">
      <c r="C902" s="90"/>
      <c r="D902" s="91"/>
      <c r="E902" s="92"/>
      <c r="F902" s="93"/>
    </row>
    <row r="903">
      <c r="C903" s="90"/>
      <c r="D903" s="91"/>
      <c r="E903" s="92"/>
      <c r="F903" s="93"/>
    </row>
    <row r="904">
      <c r="C904" s="90"/>
      <c r="D904" s="91"/>
      <c r="E904" s="92"/>
      <c r="F904" s="93"/>
    </row>
    <row r="905">
      <c r="C905" s="90"/>
      <c r="D905" s="91"/>
      <c r="E905" s="92"/>
      <c r="F905" s="93"/>
    </row>
    <row r="906">
      <c r="C906" s="90"/>
      <c r="D906" s="91"/>
      <c r="E906" s="92"/>
      <c r="F906" s="93"/>
    </row>
    <row r="907">
      <c r="C907" s="90"/>
      <c r="D907" s="91"/>
      <c r="E907" s="92"/>
      <c r="F907" s="93"/>
    </row>
    <row r="908">
      <c r="C908" s="90"/>
      <c r="D908" s="91"/>
      <c r="E908" s="92"/>
      <c r="F908" s="93"/>
    </row>
    <row r="909">
      <c r="C909" s="90"/>
      <c r="D909" s="91"/>
      <c r="E909" s="92"/>
      <c r="F909" s="93"/>
    </row>
    <row r="910">
      <c r="C910" s="90"/>
      <c r="D910" s="91"/>
      <c r="E910" s="92"/>
      <c r="F910" s="93"/>
    </row>
    <row r="911">
      <c r="C911" s="90"/>
      <c r="D911" s="91"/>
      <c r="E911" s="92"/>
      <c r="F911" s="93"/>
    </row>
    <row r="912">
      <c r="C912" s="90"/>
      <c r="D912" s="91"/>
      <c r="E912" s="92"/>
      <c r="F912" s="93"/>
    </row>
    <row r="913">
      <c r="C913" s="90"/>
      <c r="D913" s="91"/>
      <c r="E913" s="92"/>
      <c r="F913" s="93"/>
    </row>
    <row r="914">
      <c r="C914" s="90"/>
      <c r="D914" s="91"/>
      <c r="E914" s="92"/>
      <c r="F914" s="93"/>
    </row>
    <row r="915">
      <c r="C915" s="90"/>
      <c r="D915" s="91"/>
      <c r="E915" s="92"/>
      <c r="F915" s="93"/>
    </row>
    <row r="916">
      <c r="C916" s="90"/>
      <c r="D916" s="91"/>
      <c r="E916" s="92"/>
      <c r="F916" s="93"/>
    </row>
    <row r="917">
      <c r="C917" s="90"/>
      <c r="D917" s="91"/>
      <c r="E917" s="92"/>
      <c r="F917" s="93"/>
    </row>
    <row r="918">
      <c r="C918" s="90"/>
      <c r="D918" s="91"/>
      <c r="E918" s="92"/>
      <c r="F918" s="93"/>
    </row>
    <row r="919">
      <c r="C919" s="90"/>
      <c r="D919" s="91"/>
      <c r="E919" s="92"/>
      <c r="F919" s="93"/>
    </row>
    <row r="920">
      <c r="C920" s="90"/>
      <c r="D920" s="91"/>
      <c r="E920" s="92"/>
      <c r="F920" s="93"/>
    </row>
    <row r="921">
      <c r="C921" s="90"/>
      <c r="D921" s="91"/>
      <c r="E921" s="92"/>
      <c r="F921" s="93"/>
    </row>
    <row r="922">
      <c r="C922" s="90"/>
      <c r="D922" s="91"/>
      <c r="E922" s="92"/>
      <c r="F922" s="93"/>
    </row>
    <row r="923">
      <c r="C923" s="90"/>
      <c r="D923" s="91"/>
      <c r="E923" s="92"/>
      <c r="F923" s="93"/>
    </row>
    <row r="924">
      <c r="C924" s="90"/>
      <c r="D924" s="91"/>
      <c r="E924" s="92"/>
      <c r="F924" s="93"/>
    </row>
    <row r="925">
      <c r="C925" s="90"/>
      <c r="D925" s="91"/>
      <c r="E925" s="92"/>
      <c r="F925" s="93"/>
    </row>
    <row r="926">
      <c r="C926" s="90"/>
      <c r="D926" s="91"/>
      <c r="E926" s="92"/>
      <c r="F926" s="93"/>
    </row>
    <row r="927">
      <c r="C927" s="90"/>
      <c r="D927" s="91"/>
      <c r="E927" s="92"/>
      <c r="F927" s="93"/>
    </row>
    <row r="928">
      <c r="C928" s="90"/>
      <c r="D928" s="91"/>
      <c r="E928" s="92"/>
      <c r="F928" s="93"/>
    </row>
    <row r="929">
      <c r="C929" s="90"/>
      <c r="D929" s="91"/>
      <c r="E929" s="92"/>
      <c r="F929" s="93"/>
    </row>
    <row r="930">
      <c r="C930" s="90"/>
      <c r="D930" s="91"/>
      <c r="E930" s="92"/>
      <c r="F930" s="93"/>
    </row>
    <row r="931">
      <c r="C931" s="90"/>
      <c r="D931" s="91"/>
      <c r="E931" s="92"/>
      <c r="F931" s="93"/>
    </row>
    <row r="932">
      <c r="C932" s="90"/>
      <c r="D932" s="91"/>
      <c r="E932" s="92"/>
      <c r="F932" s="93"/>
    </row>
    <row r="933">
      <c r="C933" s="90"/>
      <c r="D933" s="91"/>
      <c r="E933" s="92"/>
      <c r="F933" s="93"/>
    </row>
    <row r="934">
      <c r="C934" s="90"/>
      <c r="D934" s="91"/>
      <c r="E934" s="92"/>
      <c r="F934" s="93"/>
    </row>
    <row r="935">
      <c r="C935" s="90"/>
      <c r="D935" s="91"/>
      <c r="E935" s="92"/>
      <c r="F935" s="93"/>
    </row>
    <row r="936">
      <c r="C936" s="90"/>
      <c r="D936" s="91"/>
      <c r="E936" s="92"/>
      <c r="F936" s="93"/>
    </row>
    <row r="937">
      <c r="C937" s="90"/>
      <c r="D937" s="91"/>
      <c r="E937" s="92"/>
      <c r="F937" s="93"/>
    </row>
    <row r="938">
      <c r="C938" s="90"/>
      <c r="D938" s="91"/>
      <c r="E938" s="92"/>
      <c r="F938" s="93"/>
    </row>
    <row r="939">
      <c r="C939" s="90"/>
      <c r="D939" s="91"/>
      <c r="E939" s="92"/>
      <c r="F939" s="93"/>
    </row>
    <row r="940">
      <c r="C940" s="90"/>
      <c r="D940" s="91"/>
      <c r="E940" s="92"/>
      <c r="F940" s="93"/>
    </row>
    <row r="941">
      <c r="C941" s="90"/>
      <c r="D941" s="91"/>
      <c r="E941" s="92"/>
      <c r="F941" s="93"/>
    </row>
    <row r="942">
      <c r="C942" s="90"/>
      <c r="D942" s="91"/>
      <c r="E942" s="92"/>
      <c r="F942" s="93"/>
    </row>
    <row r="943">
      <c r="C943" s="90"/>
      <c r="D943" s="91"/>
      <c r="E943" s="92"/>
      <c r="F943" s="93"/>
    </row>
    <row r="944">
      <c r="C944" s="90"/>
      <c r="D944" s="91"/>
      <c r="E944" s="92"/>
      <c r="F944" s="93"/>
    </row>
    <row r="945">
      <c r="C945" s="90"/>
      <c r="D945" s="91"/>
      <c r="E945" s="92"/>
      <c r="F945" s="93"/>
    </row>
    <row r="946">
      <c r="C946" s="90"/>
      <c r="D946" s="91"/>
      <c r="E946" s="92"/>
      <c r="F946" s="93"/>
    </row>
    <row r="947">
      <c r="C947" s="90"/>
      <c r="D947" s="91"/>
      <c r="E947" s="92"/>
      <c r="F947" s="93"/>
    </row>
    <row r="948">
      <c r="C948" s="90"/>
      <c r="D948" s="91"/>
      <c r="E948" s="92"/>
      <c r="F948" s="93"/>
    </row>
    <row r="949">
      <c r="C949" s="90"/>
      <c r="D949" s="91"/>
      <c r="E949" s="92"/>
      <c r="F949" s="93"/>
    </row>
    <row r="950">
      <c r="C950" s="90"/>
      <c r="D950" s="91"/>
      <c r="E950" s="92"/>
      <c r="F950" s="93"/>
    </row>
    <row r="951">
      <c r="C951" s="90"/>
      <c r="D951" s="91"/>
      <c r="E951" s="92"/>
      <c r="F951" s="93"/>
    </row>
    <row r="952">
      <c r="C952" s="90"/>
      <c r="D952" s="91"/>
      <c r="E952" s="92"/>
      <c r="F952" s="93"/>
    </row>
    <row r="953">
      <c r="C953" s="90"/>
      <c r="D953" s="91"/>
      <c r="E953" s="92"/>
      <c r="F953" s="93"/>
    </row>
    <row r="954">
      <c r="C954" s="90"/>
      <c r="D954" s="91"/>
      <c r="E954" s="92"/>
      <c r="F954" s="93"/>
    </row>
    <row r="955">
      <c r="C955" s="90"/>
      <c r="D955" s="91"/>
      <c r="E955" s="92"/>
      <c r="F955" s="93"/>
    </row>
    <row r="956">
      <c r="C956" s="90"/>
      <c r="D956" s="91"/>
      <c r="E956" s="92"/>
      <c r="F956" s="93"/>
    </row>
    <row r="957">
      <c r="C957" s="90"/>
      <c r="D957" s="91"/>
      <c r="E957" s="92"/>
      <c r="F957" s="93"/>
    </row>
    <row r="958">
      <c r="C958" s="90"/>
      <c r="D958" s="91"/>
      <c r="E958" s="92"/>
      <c r="F958" s="93"/>
    </row>
    <row r="959">
      <c r="C959" s="90"/>
      <c r="D959" s="91"/>
      <c r="E959" s="92"/>
      <c r="F959" s="93"/>
    </row>
    <row r="960">
      <c r="C960" s="90"/>
      <c r="D960" s="91"/>
      <c r="E960" s="92"/>
      <c r="F960" s="93"/>
    </row>
    <row r="961">
      <c r="C961" s="90"/>
      <c r="D961" s="91"/>
      <c r="E961" s="92"/>
      <c r="F961" s="93"/>
    </row>
    <row r="962">
      <c r="C962" s="90"/>
      <c r="D962" s="91"/>
      <c r="E962" s="92"/>
      <c r="F962" s="93"/>
    </row>
    <row r="963">
      <c r="C963" s="90"/>
      <c r="D963" s="91"/>
      <c r="E963" s="92"/>
      <c r="F963" s="93"/>
    </row>
    <row r="964">
      <c r="C964" s="90"/>
      <c r="D964" s="91"/>
      <c r="E964" s="92"/>
      <c r="F964" s="93"/>
    </row>
    <row r="965">
      <c r="C965" s="90"/>
      <c r="D965" s="91"/>
      <c r="E965" s="92"/>
      <c r="F965" s="93"/>
    </row>
    <row r="966">
      <c r="C966" s="90"/>
      <c r="D966" s="91"/>
      <c r="E966" s="92"/>
      <c r="F966" s="93"/>
    </row>
    <row r="967">
      <c r="C967" s="90"/>
      <c r="D967" s="91"/>
      <c r="E967" s="92"/>
      <c r="F967" s="93"/>
    </row>
    <row r="968">
      <c r="C968" s="90"/>
      <c r="D968" s="91"/>
      <c r="E968" s="92"/>
      <c r="F968" s="93"/>
    </row>
    <row r="969">
      <c r="C969" s="90"/>
      <c r="D969" s="91"/>
      <c r="E969" s="92"/>
      <c r="F969" s="93"/>
    </row>
    <row r="970">
      <c r="C970" s="90"/>
      <c r="D970" s="91"/>
      <c r="E970" s="92"/>
      <c r="F970" s="93"/>
    </row>
    <row r="971">
      <c r="C971" s="90"/>
      <c r="D971" s="91"/>
      <c r="E971" s="92"/>
      <c r="F971" s="93"/>
    </row>
    <row r="972">
      <c r="C972" s="90"/>
      <c r="D972" s="91"/>
      <c r="E972" s="92"/>
      <c r="F972" s="93"/>
    </row>
    <row r="973">
      <c r="C973" s="90"/>
      <c r="D973" s="91"/>
      <c r="E973" s="92"/>
      <c r="F973" s="93"/>
    </row>
    <row r="974">
      <c r="C974" s="90"/>
      <c r="D974" s="91"/>
      <c r="E974" s="92"/>
      <c r="F974" s="93"/>
    </row>
    <row r="975">
      <c r="C975" s="90"/>
      <c r="D975" s="91"/>
      <c r="E975" s="92"/>
      <c r="F975" s="93"/>
    </row>
    <row r="976">
      <c r="C976" s="90"/>
      <c r="D976" s="91"/>
      <c r="E976" s="92"/>
      <c r="F976" s="93"/>
    </row>
    <row r="977">
      <c r="C977" s="90"/>
      <c r="D977" s="91"/>
      <c r="E977" s="92"/>
      <c r="F977" s="93"/>
    </row>
    <row r="978">
      <c r="C978" s="90"/>
      <c r="D978" s="91"/>
      <c r="E978" s="92"/>
      <c r="F978" s="93"/>
    </row>
    <row r="979">
      <c r="C979" s="90"/>
      <c r="D979" s="91"/>
      <c r="E979" s="92"/>
      <c r="F979" s="93"/>
    </row>
    <row r="980">
      <c r="C980" s="90"/>
      <c r="D980" s="91"/>
      <c r="E980" s="92"/>
      <c r="F980" s="93"/>
    </row>
    <row r="981">
      <c r="C981" s="90"/>
      <c r="D981" s="91"/>
      <c r="E981" s="92"/>
      <c r="F981" s="93"/>
    </row>
    <row r="982">
      <c r="C982" s="90"/>
      <c r="D982" s="91"/>
      <c r="E982" s="92"/>
      <c r="F982" s="93"/>
    </row>
    <row r="983">
      <c r="C983" s="90"/>
      <c r="D983" s="91"/>
      <c r="E983" s="92"/>
      <c r="F983" s="93"/>
    </row>
    <row r="984">
      <c r="C984" s="90"/>
      <c r="D984" s="91"/>
      <c r="E984" s="92"/>
      <c r="F984" s="93"/>
    </row>
    <row r="985">
      <c r="C985" s="90"/>
      <c r="D985" s="91"/>
      <c r="E985" s="92"/>
      <c r="F985" s="93"/>
    </row>
    <row r="986">
      <c r="C986" s="90"/>
      <c r="D986" s="91"/>
      <c r="E986" s="92"/>
      <c r="F986" s="93"/>
    </row>
    <row r="987">
      <c r="C987" s="90"/>
      <c r="D987" s="91"/>
      <c r="E987" s="92"/>
      <c r="F987" s="93"/>
    </row>
    <row r="988">
      <c r="C988" s="90"/>
      <c r="D988" s="91"/>
      <c r="E988" s="92"/>
      <c r="F988" s="93"/>
    </row>
    <row r="989">
      <c r="C989" s="90"/>
      <c r="D989" s="91"/>
      <c r="E989" s="92"/>
      <c r="F989" s="93"/>
    </row>
    <row r="990">
      <c r="C990" s="90"/>
      <c r="D990" s="91"/>
      <c r="E990" s="92"/>
      <c r="F990" s="93"/>
    </row>
    <row r="991">
      <c r="C991" s="90"/>
      <c r="D991" s="91"/>
      <c r="E991" s="92"/>
      <c r="F991" s="93"/>
    </row>
    <row r="992">
      <c r="C992" s="90"/>
      <c r="D992" s="91"/>
      <c r="E992" s="92"/>
      <c r="F992" s="93"/>
    </row>
    <row r="993">
      <c r="C993" s="90"/>
      <c r="D993" s="91"/>
      <c r="E993" s="92"/>
      <c r="F993" s="93"/>
    </row>
    <row r="994">
      <c r="C994" s="90"/>
      <c r="D994" s="91"/>
      <c r="E994" s="92"/>
      <c r="F994" s="93"/>
    </row>
    <row r="995">
      <c r="C995" s="90"/>
      <c r="D995" s="91"/>
      <c r="E995" s="92"/>
      <c r="F995" s="93"/>
    </row>
    <row r="996">
      <c r="C996" s="90"/>
      <c r="D996" s="91"/>
      <c r="E996" s="92"/>
      <c r="F996" s="93"/>
    </row>
    <row r="997">
      <c r="C997" s="90"/>
      <c r="D997" s="91"/>
      <c r="E997" s="92"/>
      <c r="F997" s="93"/>
    </row>
    <row r="998">
      <c r="C998" s="90"/>
      <c r="D998" s="91"/>
      <c r="E998" s="92"/>
      <c r="F998" s="93"/>
    </row>
    <row r="999">
      <c r="C999" s="90"/>
      <c r="D999" s="91"/>
      <c r="E999" s="92"/>
      <c r="F999" s="93"/>
    </row>
    <row r="1000">
      <c r="C1000" s="90"/>
      <c r="D1000" s="91"/>
      <c r="E1000" s="92"/>
      <c r="F1000" s="93"/>
    </row>
    <row r="1001">
      <c r="C1001" s="90"/>
      <c r="D1001" s="91"/>
      <c r="E1001" s="92"/>
      <c r="F1001" s="93"/>
    </row>
    <row r="1002">
      <c r="C1002" s="90"/>
      <c r="D1002" s="91"/>
      <c r="E1002" s="92"/>
      <c r="F1002" s="93"/>
    </row>
    <row r="1003">
      <c r="C1003" s="90"/>
      <c r="D1003" s="91"/>
      <c r="E1003" s="92"/>
      <c r="F1003" s="93"/>
    </row>
    <row r="1004">
      <c r="C1004" s="90"/>
      <c r="D1004" s="91"/>
      <c r="E1004" s="92"/>
      <c r="F1004" s="93"/>
    </row>
    <row r="1005">
      <c r="C1005" s="90"/>
      <c r="D1005" s="91"/>
      <c r="E1005" s="92"/>
      <c r="F1005" s="93"/>
    </row>
    <row r="1006">
      <c r="C1006" s="90"/>
      <c r="D1006" s="91"/>
      <c r="E1006" s="92"/>
      <c r="F1006" s="93"/>
    </row>
    <row r="1007">
      <c r="C1007" s="90"/>
      <c r="D1007" s="91"/>
      <c r="E1007" s="92"/>
      <c r="F1007" s="93"/>
    </row>
    <row r="1008">
      <c r="C1008" s="90"/>
      <c r="D1008" s="91"/>
      <c r="E1008" s="92"/>
      <c r="F1008" s="93"/>
    </row>
    <row r="1009">
      <c r="C1009" s="90"/>
      <c r="D1009" s="91"/>
      <c r="E1009" s="92"/>
      <c r="F1009" s="93"/>
    </row>
    <row r="1010">
      <c r="C1010" s="90"/>
      <c r="D1010" s="91"/>
      <c r="E1010" s="92"/>
      <c r="F1010" s="93"/>
    </row>
    <row r="1011">
      <c r="C1011" s="90"/>
      <c r="D1011" s="91"/>
      <c r="E1011" s="92"/>
      <c r="F1011" s="93"/>
    </row>
    <row r="1012">
      <c r="C1012" s="90"/>
      <c r="D1012" s="91"/>
      <c r="E1012" s="92"/>
      <c r="F1012" s="93"/>
    </row>
    <row r="1013">
      <c r="C1013" s="90"/>
      <c r="D1013" s="91"/>
      <c r="E1013" s="92"/>
      <c r="F1013" s="93"/>
    </row>
    <row r="1014">
      <c r="C1014" s="90"/>
      <c r="D1014" s="91"/>
      <c r="E1014" s="92"/>
      <c r="F1014" s="93"/>
    </row>
    <row r="1015">
      <c r="C1015" s="90"/>
      <c r="D1015" s="91"/>
      <c r="E1015" s="92"/>
      <c r="F1015" s="93"/>
    </row>
    <row r="1016">
      <c r="C1016" s="90"/>
      <c r="D1016" s="91"/>
      <c r="E1016" s="92"/>
      <c r="F1016" s="93"/>
    </row>
    <row r="1017">
      <c r="C1017" s="90"/>
      <c r="D1017" s="91"/>
      <c r="E1017" s="92"/>
      <c r="F1017" s="93"/>
    </row>
    <row r="1018">
      <c r="C1018" s="90"/>
      <c r="D1018" s="91"/>
      <c r="E1018" s="92"/>
      <c r="F1018" s="93"/>
    </row>
    <row r="1019">
      <c r="C1019" s="90"/>
      <c r="D1019" s="91"/>
      <c r="E1019" s="92"/>
      <c r="F1019" s="93"/>
    </row>
    <row r="1020">
      <c r="C1020" s="90"/>
      <c r="D1020" s="91"/>
      <c r="E1020" s="92"/>
      <c r="F1020" s="93"/>
    </row>
    <row r="1021">
      <c r="C1021" s="90"/>
      <c r="D1021" s="91"/>
      <c r="E1021" s="92"/>
      <c r="F1021" s="93"/>
    </row>
    <row r="1022">
      <c r="C1022" s="90"/>
      <c r="D1022" s="91"/>
      <c r="E1022" s="92"/>
      <c r="F1022" s="93"/>
    </row>
    <row r="1023">
      <c r="C1023" s="90"/>
      <c r="D1023" s="91"/>
      <c r="E1023" s="92"/>
      <c r="F1023" s="93"/>
    </row>
    <row r="1024">
      <c r="C1024" s="90"/>
      <c r="D1024" s="91"/>
      <c r="E1024" s="92"/>
      <c r="F1024" s="93"/>
    </row>
    <row r="1025">
      <c r="C1025" s="90"/>
      <c r="D1025" s="91"/>
      <c r="E1025" s="92"/>
      <c r="F1025" s="93"/>
    </row>
    <row r="1026">
      <c r="C1026" s="90"/>
      <c r="D1026" s="91"/>
      <c r="E1026" s="92"/>
      <c r="F1026" s="93"/>
    </row>
    <row r="1027">
      <c r="C1027" s="90"/>
      <c r="D1027" s="91"/>
      <c r="E1027" s="92"/>
      <c r="F1027" s="93"/>
    </row>
    <row r="1028">
      <c r="C1028" s="90"/>
      <c r="D1028" s="91"/>
      <c r="E1028" s="92"/>
      <c r="F1028" s="93"/>
    </row>
    <row r="1029">
      <c r="C1029" s="90"/>
      <c r="D1029" s="91"/>
      <c r="E1029" s="92"/>
      <c r="F1029" s="93"/>
    </row>
    <row r="1030">
      <c r="C1030" s="90"/>
      <c r="D1030" s="91"/>
      <c r="E1030" s="92"/>
      <c r="F1030" s="93"/>
    </row>
    <row r="1031">
      <c r="C1031" s="90"/>
      <c r="D1031" s="91"/>
      <c r="E1031" s="92"/>
      <c r="F1031" s="93"/>
    </row>
    <row r="1032">
      <c r="C1032" s="90"/>
      <c r="D1032" s="91"/>
      <c r="E1032" s="92"/>
      <c r="F1032" s="93"/>
    </row>
    <row r="1033">
      <c r="C1033" s="90"/>
      <c r="D1033" s="91"/>
      <c r="E1033" s="92"/>
      <c r="F1033" s="93"/>
    </row>
    <row r="1034">
      <c r="C1034" s="90"/>
      <c r="D1034" s="91"/>
      <c r="E1034" s="92"/>
      <c r="F1034" s="93"/>
    </row>
    <row r="1035">
      <c r="C1035" s="90"/>
      <c r="D1035" s="91"/>
      <c r="E1035" s="92"/>
      <c r="F1035" s="93"/>
    </row>
    <row r="1036">
      <c r="C1036" s="90"/>
      <c r="D1036" s="91"/>
      <c r="E1036" s="92"/>
      <c r="F1036" s="93"/>
    </row>
    <row r="1037">
      <c r="C1037" s="90"/>
      <c r="D1037" s="91"/>
      <c r="E1037" s="92"/>
      <c r="F1037" s="93"/>
    </row>
    <row r="1038">
      <c r="C1038" s="90"/>
      <c r="D1038" s="91"/>
      <c r="E1038" s="92"/>
      <c r="F1038" s="93"/>
    </row>
    <row r="1039">
      <c r="C1039" s="90"/>
      <c r="D1039" s="91"/>
      <c r="E1039" s="92"/>
      <c r="F1039" s="93"/>
    </row>
    <row r="1040">
      <c r="C1040" s="90"/>
      <c r="D1040" s="91"/>
      <c r="E1040" s="92"/>
      <c r="F1040" s="93"/>
    </row>
    <row r="1041">
      <c r="C1041" s="90"/>
      <c r="D1041" s="91"/>
      <c r="E1041" s="92"/>
      <c r="F1041" s="93"/>
    </row>
    <row r="1042">
      <c r="C1042" s="90"/>
      <c r="D1042" s="91"/>
      <c r="E1042" s="92"/>
      <c r="F1042" s="93"/>
    </row>
    <row r="1043">
      <c r="C1043" s="90"/>
      <c r="D1043" s="91"/>
      <c r="E1043" s="92"/>
      <c r="F1043" s="93"/>
    </row>
    <row r="1044">
      <c r="C1044" s="90"/>
      <c r="D1044" s="91"/>
      <c r="E1044" s="92"/>
      <c r="F1044" s="93"/>
    </row>
    <row r="1045">
      <c r="C1045" s="90"/>
      <c r="D1045" s="91"/>
      <c r="E1045" s="92"/>
      <c r="F1045" s="93"/>
    </row>
    <row r="1046">
      <c r="C1046" s="90"/>
      <c r="D1046" s="91"/>
      <c r="E1046" s="92"/>
      <c r="F1046" s="93"/>
    </row>
    <row r="1047">
      <c r="C1047" s="90"/>
      <c r="D1047" s="91"/>
      <c r="E1047" s="92"/>
      <c r="F1047" s="93"/>
    </row>
    <row r="1048">
      <c r="C1048" s="90"/>
      <c r="D1048" s="91"/>
      <c r="E1048" s="92"/>
      <c r="F1048" s="93"/>
    </row>
    <row r="1049">
      <c r="C1049" s="90"/>
      <c r="D1049" s="91"/>
      <c r="E1049" s="92"/>
      <c r="F1049" s="93"/>
    </row>
    <row r="1050">
      <c r="C1050" s="90"/>
      <c r="D1050" s="91"/>
      <c r="E1050" s="92"/>
      <c r="F1050" s="93"/>
    </row>
    <row r="1051">
      <c r="C1051" s="90"/>
      <c r="D1051" s="91"/>
      <c r="E1051" s="92"/>
      <c r="F1051" s="93"/>
    </row>
    <row r="1052">
      <c r="C1052" s="90"/>
      <c r="D1052" s="91"/>
      <c r="E1052" s="92"/>
      <c r="F1052" s="93"/>
    </row>
    <row r="1053">
      <c r="C1053" s="90"/>
      <c r="D1053" s="91"/>
      <c r="E1053" s="92"/>
      <c r="F1053" s="93"/>
    </row>
    <row r="1054">
      <c r="C1054" s="90"/>
      <c r="D1054" s="91"/>
      <c r="E1054" s="92"/>
      <c r="F1054" s="93"/>
    </row>
    <row r="1055">
      <c r="C1055" s="90"/>
      <c r="D1055" s="91"/>
      <c r="E1055" s="92"/>
      <c r="F1055" s="93"/>
    </row>
    <row r="1056">
      <c r="C1056" s="90"/>
      <c r="D1056" s="91"/>
      <c r="E1056" s="92"/>
      <c r="F1056" s="93"/>
    </row>
    <row r="1057">
      <c r="C1057" s="90"/>
      <c r="D1057" s="91"/>
      <c r="E1057" s="92"/>
      <c r="F1057" s="93"/>
    </row>
    <row r="1058">
      <c r="C1058" s="90"/>
      <c r="D1058" s="91"/>
      <c r="E1058" s="92"/>
      <c r="F1058" s="93"/>
    </row>
    <row r="1059">
      <c r="C1059" s="90"/>
      <c r="D1059" s="91"/>
      <c r="E1059" s="92"/>
      <c r="F1059" s="93"/>
    </row>
    <row r="1060">
      <c r="C1060" s="90"/>
      <c r="D1060" s="91"/>
      <c r="E1060" s="92"/>
      <c r="F1060" s="93"/>
    </row>
    <row r="1061">
      <c r="C1061" s="90"/>
      <c r="D1061" s="91"/>
      <c r="E1061" s="92"/>
      <c r="F1061" s="93"/>
    </row>
    <row r="1062">
      <c r="C1062" s="90"/>
      <c r="D1062" s="91"/>
      <c r="E1062" s="92"/>
      <c r="F1062" s="93"/>
    </row>
    <row r="1063">
      <c r="C1063" s="90"/>
      <c r="D1063" s="91"/>
      <c r="E1063" s="92"/>
      <c r="F1063" s="93"/>
    </row>
    <row r="1064">
      <c r="C1064" s="90"/>
      <c r="D1064" s="91"/>
      <c r="E1064" s="92"/>
      <c r="F1064" s="93"/>
    </row>
    <row r="1065">
      <c r="C1065" s="90"/>
      <c r="D1065" s="91"/>
      <c r="E1065" s="92"/>
      <c r="F1065" s="93"/>
    </row>
    <row r="1066">
      <c r="C1066" s="90"/>
      <c r="D1066" s="91"/>
      <c r="E1066" s="92"/>
      <c r="F1066" s="93"/>
    </row>
    <row r="1067">
      <c r="C1067" s="90"/>
      <c r="D1067" s="91"/>
      <c r="E1067" s="92"/>
      <c r="F1067" s="93"/>
    </row>
    <row r="1068">
      <c r="C1068" s="90"/>
      <c r="D1068" s="91"/>
      <c r="E1068" s="92"/>
      <c r="F1068" s="93"/>
    </row>
    <row r="1069">
      <c r="C1069" s="90"/>
      <c r="D1069" s="91"/>
      <c r="E1069" s="92"/>
      <c r="F1069" s="93"/>
    </row>
    <row r="1070">
      <c r="C1070" s="90"/>
      <c r="D1070" s="91"/>
      <c r="E1070" s="92"/>
      <c r="F1070" s="93"/>
    </row>
    <row r="1071">
      <c r="C1071" s="90"/>
      <c r="D1071" s="91"/>
      <c r="E1071" s="92"/>
      <c r="F1071" s="93"/>
    </row>
    <row r="1072">
      <c r="C1072" s="90"/>
      <c r="D1072" s="91"/>
      <c r="E1072" s="92"/>
      <c r="F1072" s="93"/>
    </row>
    <row r="1073">
      <c r="C1073" s="90"/>
      <c r="D1073" s="91"/>
      <c r="E1073" s="92"/>
      <c r="F1073" s="93"/>
    </row>
    <row r="1074">
      <c r="C1074" s="90"/>
      <c r="D1074" s="91"/>
      <c r="E1074" s="92"/>
      <c r="F1074" s="93"/>
    </row>
    <row r="1075">
      <c r="C1075" s="90"/>
      <c r="D1075" s="91"/>
      <c r="E1075" s="92"/>
      <c r="F1075" s="93"/>
    </row>
    <row r="1076">
      <c r="C1076" s="90"/>
      <c r="D1076" s="91"/>
      <c r="E1076" s="92"/>
      <c r="F1076" s="93"/>
    </row>
    <row r="1077">
      <c r="C1077" s="90"/>
      <c r="D1077" s="91"/>
      <c r="E1077" s="92"/>
      <c r="F1077" s="93"/>
    </row>
    <row r="1078">
      <c r="C1078" s="90"/>
      <c r="D1078" s="91"/>
      <c r="E1078" s="92"/>
      <c r="F1078" s="93"/>
    </row>
    <row r="1079">
      <c r="C1079" s="90"/>
      <c r="D1079" s="91"/>
      <c r="E1079" s="92"/>
      <c r="F1079" s="93"/>
    </row>
    <row r="1080">
      <c r="C1080" s="90"/>
      <c r="D1080" s="91"/>
      <c r="E1080" s="92"/>
      <c r="F1080" s="93"/>
    </row>
    <row r="1081">
      <c r="C1081" s="90"/>
      <c r="D1081" s="91"/>
      <c r="E1081" s="92"/>
      <c r="F1081" s="93"/>
    </row>
    <row r="1082">
      <c r="C1082" s="90"/>
      <c r="D1082" s="91"/>
      <c r="E1082" s="92"/>
      <c r="F1082" s="93"/>
    </row>
    <row r="1083">
      <c r="C1083" s="90"/>
      <c r="D1083" s="91"/>
      <c r="E1083" s="92"/>
      <c r="F1083" s="93"/>
    </row>
    <row r="1084">
      <c r="C1084" s="90"/>
      <c r="D1084" s="91"/>
      <c r="E1084" s="92"/>
      <c r="F1084" s="93"/>
    </row>
    <row r="1085">
      <c r="C1085" s="90"/>
      <c r="D1085" s="91"/>
      <c r="E1085" s="92"/>
      <c r="F1085" s="93"/>
    </row>
    <row r="1086">
      <c r="C1086" s="90"/>
      <c r="D1086" s="91"/>
      <c r="E1086" s="92"/>
      <c r="F1086" s="93"/>
    </row>
    <row r="1087">
      <c r="C1087" s="90"/>
      <c r="D1087" s="91"/>
      <c r="E1087" s="92"/>
      <c r="F1087" s="93"/>
    </row>
    <row r="1088">
      <c r="C1088" s="90"/>
      <c r="D1088" s="91"/>
      <c r="E1088" s="92"/>
      <c r="F1088" s="93"/>
    </row>
    <row r="1089">
      <c r="C1089" s="90"/>
      <c r="D1089" s="91"/>
      <c r="E1089" s="92"/>
      <c r="F1089" s="93"/>
    </row>
    <row r="1090">
      <c r="C1090" s="90"/>
      <c r="D1090" s="91"/>
      <c r="E1090" s="92"/>
      <c r="F1090" s="93"/>
    </row>
    <row r="1091">
      <c r="C1091" s="90"/>
      <c r="D1091" s="91"/>
      <c r="E1091" s="92"/>
      <c r="F1091" s="93"/>
    </row>
    <row r="1092">
      <c r="C1092" s="90"/>
      <c r="D1092" s="91"/>
      <c r="E1092" s="92"/>
      <c r="F1092" s="93"/>
    </row>
    <row r="1093">
      <c r="C1093" s="90"/>
      <c r="D1093" s="91"/>
      <c r="E1093" s="92"/>
      <c r="F1093" s="93"/>
    </row>
    <row r="1094">
      <c r="C1094" s="90"/>
      <c r="D1094" s="91"/>
      <c r="E1094" s="92"/>
      <c r="F1094" s="93"/>
    </row>
    <row r="1095">
      <c r="C1095" s="90"/>
      <c r="D1095" s="91"/>
      <c r="E1095" s="92"/>
      <c r="F1095" s="93"/>
    </row>
    <row r="1096">
      <c r="C1096" s="90"/>
      <c r="D1096" s="91"/>
      <c r="E1096" s="92"/>
      <c r="F1096" s="93"/>
    </row>
    <row r="1097">
      <c r="C1097" s="90"/>
      <c r="D1097" s="91"/>
      <c r="E1097" s="92"/>
      <c r="F1097" s="93"/>
    </row>
    <row r="1098">
      <c r="C1098" s="90"/>
      <c r="D1098" s="91"/>
      <c r="E1098" s="92"/>
      <c r="F1098" s="93"/>
    </row>
    <row r="1099">
      <c r="C1099" s="90"/>
      <c r="D1099" s="91"/>
      <c r="E1099" s="92"/>
      <c r="F1099" s="93"/>
    </row>
    <row r="1100">
      <c r="C1100" s="90"/>
      <c r="D1100" s="91"/>
      <c r="E1100" s="92"/>
      <c r="F1100" s="93"/>
    </row>
    <row r="1101">
      <c r="C1101" s="90"/>
      <c r="D1101" s="91"/>
      <c r="E1101" s="92"/>
      <c r="F1101" s="93"/>
    </row>
    <row r="1102">
      <c r="C1102" s="90"/>
      <c r="D1102" s="91"/>
      <c r="E1102" s="92"/>
      <c r="F1102" s="93"/>
    </row>
    <row r="1103">
      <c r="C1103" s="90"/>
      <c r="D1103" s="91"/>
      <c r="E1103" s="92"/>
      <c r="F1103" s="93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9.25"/>
  </cols>
  <sheetData>
    <row r="1">
      <c r="A1" s="84" t="s">
        <v>969</v>
      </c>
      <c r="B1" s="84" t="s">
        <v>970</v>
      </c>
      <c r="C1" s="94" t="s">
        <v>971</v>
      </c>
      <c r="D1" s="94" t="s">
        <v>972</v>
      </c>
      <c r="E1" s="94" t="s">
        <v>973</v>
      </c>
      <c r="F1" s="94" t="s">
        <v>974</v>
      </c>
      <c r="G1" s="94" t="s">
        <v>975</v>
      </c>
    </row>
    <row r="2">
      <c r="A2" s="84" t="s">
        <v>976</v>
      </c>
      <c r="B2" s="95">
        <v>0.11</v>
      </c>
    </row>
    <row r="3">
      <c r="A3" s="84" t="s">
        <v>977</v>
      </c>
      <c r="B3" s="95">
        <v>0.22</v>
      </c>
      <c r="C3" s="95">
        <f t="shared" ref="C3:C4" si="1">B3/2</f>
        <v>0.11</v>
      </c>
      <c r="D3" s="95">
        <f t="shared" ref="D3:D4" si="2">B3/3</f>
        <v>0.07333333333</v>
      </c>
    </row>
    <row r="4">
      <c r="A4" s="84" t="s">
        <v>978</v>
      </c>
      <c r="B4" s="95">
        <v>0.3</v>
      </c>
      <c r="C4" s="95">
        <f t="shared" si="1"/>
        <v>0.15</v>
      </c>
      <c r="D4" s="95">
        <f t="shared" si="2"/>
        <v>0.1</v>
      </c>
      <c r="E4" s="95">
        <f>B4/4</f>
        <v>0.075</v>
      </c>
      <c r="F4" s="95">
        <f>B4/5</f>
        <v>0.06</v>
      </c>
      <c r="G4" s="95">
        <f>B4/6</f>
        <v>0.05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75"/>
  </cols>
  <sheetData>
    <row r="1"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11.0"/>
    <col customWidth="1" min="3" max="4" width="12.25"/>
    <col customWidth="1" min="5" max="5" width="32.88"/>
    <col customWidth="1" min="6" max="7" width="14.0"/>
    <col customWidth="1" min="8" max="8" width="30.13"/>
    <col customWidth="1" min="9" max="9" width="9.38"/>
    <col customWidth="1" min="10" max="10" width="16.25"/>
    <col customWidth="1" min="11" max="11" width="13.75"/>
    <col customWidth="1" min="12" max="12" width="26.0"/>
    <col customWidth="1" min="13" max="14" width="15.38"/>
  </cols>
  <sheetData>
    <row r="1">
      <c r="A1" s="98" t="s">
        <v>985</v>
      </c>
      <c r="B1" s="98" t="s">
        <v>2</v>
      </c>
      <c r="C1" s="98" t="s">
        <v>3</v>
      </c>
      <c r="D1" s="98" t="s">
        <v>986</v>
      </c>
      <c r="E1" s="98" t="s">
        <v>987</v>
      </c>
      <c r="F1" s="99" t="s">
        <v>59</v>
      </c>
      <c r="G1" s="100" t="s">
        <v>988</v>
      </c>
      <c r="H1" s="98" t="s">
        <v>989</v>
      </c>
      <c r="I1" s="99" t="s">
        <v>990</v>
      </c>
      <c r="J1" s="101" t="s">
        <v>787</v>
      </c>
      <c r="K1" s="102" t="s">
        <v>991</v>
      </c>
      <c r="L1" s="103" t="s">
        <v>992</v>
      </c>
      <c r="M1" s="98" t="s">
        <v>944</v>
      </c>
      <c r="N1" s="100" t="s">
        <v>945</v>
      </c>
    </row>
    <row r="2">
      <c r="A2" s="104"/>
      <c r="B2" s="105"/>
      <c r="C2" s="105"/>
      <c r="D2" s="105"/>
      <c r="E2" s="105" t="s">
        <v>15</v>
      </c>
      <c r="F2" s="106"/>
      <c r="G2" s="106">
        <v>3.0</v>
      </c>
      <c r="H2" s="107">
        <v>45858.0</v>
      </c>
      <c r="I2" s="108" t="b">
        <v>0</v>
      </c>
      <c r="J2" s="109"/>
      <c r="K2" s="106"/>
      <c r="L2" s="110" t="str">
        <f t="shared" ref="L2:L4" si="1">IF(ISBLANK(J2),"",J2-H2)</f>
        <v/>
      </c>
      <c r="M2" s="106" t="str">
        <f t="shared" ref="M2:M4" si="2">IF(K2="","",IF(K2-G2&lt;0,"",K2-G2))</f>
        <v/>
      </c>
      <c r="N2" s="111" t="str">
        <f t="shared" ref="N2:N4" si="3">IF(K2="","",IF(K2/G2&lt;0,"",K2/G2))</f>
        <v/>
      </c>
    </row>
    <row r="3">
      <c r="A3" s="104"/>
      <c r="B3" s="105"/>
      <c r="C3" s="105"/>
      <c r="D3" s="105"/>
      <c r="E3" s="105" t="s">
        <v>15</v>
      </c>
      <c r="F3" s="106"/>
      <c r="G3" s="106">
        <v>25.0</v>
      </c>
      <c r="H3" s="107">
        <v>45886.0</v>
      </c>
      <c r="I3" s="107" t="b">
        <v>0</v>
      </c>
      <c r="J3" s="107"/>
      <c r="K3" s="106"/>
      <c r="L3" s="110" t="str">
        <f t="shared" si="1"/>
        <v/>
      </c>
      <c r="M3" s="106" t="str">
        <f t="shared" si="2"/>
        <v/>
      </c>
      <c r="N3" s="111" t="str">
        <f t="shared" si="3"/>
        <v/>
      </c>
    </row>
    <row r="4">
      <c r="A4" s="104"/>
      <c r="B4" s="105"/>
      <c r="C4" s="105"/>
      <c r="D4" s="105"/>
      <c r="E4" s="105" t="s">
        <v>993</v>
      </c>
      <c r="F4" s="106"/>
      <c r="G4" s="106">
        <v>9.39</v>
      </c>
      <c r="H4" s="107">
        <v>45901.0</v>
      </c>
      <c r="I4" s="107" t="b">
        <v>0</v>
      </c>
      <c r="J4" s="107"/>
      <c r="K4" s="106"/>
      <c r="L4" s="110" t="str">
        <f t="shared" si="1"/>
        <v/>
      </c>
      <c r="M4" s="106" t="str">
        <f t="shared" si="2"/>
        <v/>
      </c>
      <c r="N4" s="111" t="str">
        <f t="shared" si="3"/>
        <v/>
      </c>
    </row>
    <row r="5">
      <c r="A5" s="112"/>
      <c r="B5" s="113"/>
      <c r="C5" s="113"/>
      <c r="D5" s="113"/>
      <c r="E5" s="113"/>
      <c r="F5" s="114"/>
      <c r="G5" s="114"/>
      <c r="H5" s="115"/>
      <c r="I5" s="115" t="b">
        <v>0</v>
      </c>
      <c r="J5" s="115"/>
      <c r="K5" s="114"/>
      <c r="L5" s="116"/>
      <c r="M5" s="114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</row>
    <row r="6">
      <c r="A6" s="104"/>
      <c r="B6" s="105"/>
      <c r="C6" s="105"/>
      <c r="D6" s="105"/>
      <c r="E6" s="105" t="s">
        <v>994</v>
      </c>
      <c r="F6" s="119" t="s">
        <v>995</v>
      </c>
      <c r="G6" s="106">
        <v>0.0</v>
      </c>
      <c r="H6" s="107">
        <v>45896.0</v>
      </c>
      <c r="I6" s="107" t="b">
        <v>0</v>
      </c>
      <c r="J6" s="107"/>
      <c r="K6" s="106"/>
      <c r="L6" s="110" t="str">
        <f t="shared" ref="L6:L13" si="4">IF(ISBLANK(J6),"",J6-H6)</f>
        <v/>
      </c>
      <c r="M6" s="106" t="str">
        <f t="shared" ref="M6:M13" si="5">IF(K6="","",IF(K6-G6&lt;0,"",K6-G6))</f>
        <v/>
      </c>
      <c r="N6" s="111" t="str">
        <f t="shared" ref="N6:N13" si="6">IF(K6="","",IF(K6/G6&lt;0,"",K6/G6))</f>
        <v/>
      </c>
    </row>
    <row r="7">
      <c r="A7" s="104"/>
      <c r="B7" s="105"/>
      <c r="C7" s="105"/>
      <c r="D7" s="105"/>
      <c r="E7" s="105" t="s">
        <v>996</v>
      </c>
      <c r="F7" s="119" t="s">
        <v>997</v>
      </c>
      <c r="G7" s="106">
        <v>0.0</v>
      </c>
      <c r="H7" s="107">
        <v>45901.0</v>
      </c>
      <c r="I7" s="107" t="b">
        <v>0</v>
      </c>
      <c r="J7" s="107"/>
      <c r="K7" s="106"/>
      <c r="L7" s="110" t="str">
        <f t="shared" si="4"/>
        <v/>
      </c>
      <c r="M7" s="106" t="str">
        <f t="shared" si="5"/>
        <v/>
      </c>
      <c r="N7" s="111" t="str">
        <f t="shared" si="6"/>
        <v/>
      </c>
    </row>
    <row r="8">
      <c r="A8" s="104"/>
      <c r="B8" s="105"/>
      <c r="C8" s="105"/>
      <c r="D8" s="105"/>
      <c r="E8" s="105" t="s">
        <v>998</v>
      </c>
      <c r="F8" s="119" t="s">
        <v>999</v>
      </c>
      <c r="G8" s="106">
        <v>0.0</v>
      </c>
      <c r="H8" s="107">
        <v>45901.0</v>
      </c>
      <c r="I8" s="107" t="b">
        <v>0</v>
      </c>
      <c r="J8" s="107"/>
      <c r="K8" s="106"/>
      <c r="L8" s="110" t="str">
        <f t="shared" si="4"/>
        <v/>
      </c>
      <c r="M8" s="106" t="str">
        <f t="shared" si="5"/>
        <v/>
      </c>
      <c r="N8" s="111" t="str">
        <f t="shared" si="6"/>
        <v/>
      </c>
    </row>
    <row r="9">
      <c r="A9" s="104"/>
      <c r="B9" s="105"/>
      <c r="C9" s="105"/>
      <c r="D9" s="105"/>
      <c r="E9" s="105" t="s">
        <v>1000</v>
      </c>
      <c r="F9" s="119" t="s">
        <v>1001</v>
      </c>
      <c r="G9" s="106">
        <v>0.0</v>
      </c>
      <c r="H9" s="107">
        <v>45901.0</v>
      </c>
      <c r="I9" s="107" t="b">
        <v>0</v>
      </c>
      <c r="J9" s="107"/>
      <c r="K9" s="106"/>
      <c r="L9" s="110" t="str">
        <f t="shared" si="4"/>
        <v/>
      </c>
      <c r="M9" s="106" t="str">
        <f t="shared" si="5"/>
        <v/>
      </c>
      <c r="N9" s="111" t="str">
        <f t="shared" si="6"/>
        <v/>
      </c>
    </row>
    <row r="10">
      <c r="A10" s="104"/>
      <c r="B10" s="105"/>
      <c r="C10" s="105"/>
      <c r="D10" s="105"/>
      <c r="E10" s="105" t="s">
        <v>1002</v>
      </c>
      <c r="F10" s="119" t="s">
        <v>1003</v>
      </c>
      <c r="G10" s="106">
        <v>0.0</v>
      </c>
      <c r="H10" s="107">
        <v>45901.0</v>
      </c>
      <c r="I10" s="107" t="b">
        <v>0</v>
      </c>
      <c r="J10" s="107"/>
      <c r="K10" s="106"/>
      <c r="L10" s="110" t="str">
        <f t="shared" si="4"/>
        <v/>
      </c>
      <c r="M10" s="106" t="str">
        <f t="shared" si="5"/>
        <v/>
      </c>
      <c r="N10" s="111" t="str">
        <f t="shared" si="6"/>
        <v/>
      </c>
    </row>
    <row r="11">
      <c r="A11" s="104"/>
      <c r="B11" s="105"/>
      <c r="C11" s="105"/>
      <c r="D11" s="105"/>
      <c r="E11" s="105" t="s">
        <v>1004</v>
      </c>
      <c r="F11" s="119" t="s">
        <v>1005</v>
      </c>
      <c r="G11" s="106">
        <v>0.0</v>
      </c>
      <c r="H11" s="107">
        <v>45901.0</v>
      </c>
      <c r="I11" s="107" t="b">
        <v>0</v>
      </c>
      <c r="J11" s="107"/>
      <c r="K11" s="106"/>
      <c r="L11" s="110" t="str">
        <f t="shared" si="4"/>
        <v/>
      </c>
      <c r="M11" s="106" t="str">
        <f t="shared" si="5"/>
        <v/>
      </c>
      <c r="N11" s="111" t="str">
        <f t="shared" si="6"/>
        <v/>
      </c>
    </row>
    <row r="12">
      <c r="A12" s="104"/>
      <c r="B12" s="105"/>
      <c r="C12" s="105"/>
      <c r="D12" s="105"/>
      <c r="E12" s="105" t="s">
        <v>1006</v>
      </c>
      <c r="F12" s="119" t="s">
        <v>1007</v>
      </c>
      <c r="G12" s="106">
        <v>0.0</v>
      </c>
      <c r="H12" s="107">
        <v>45901.0</v>
      </c>
      <c r="I12" s="107" t="b">
        <v>0</v>
      </c>
      <c r="J12" s="107"/>
      <c r="K12" s="106"/>
      <c r="L12" s="110" t="str">
        <f t="shared" si="4"/>
        <v/>
      </c>
      <c r="M12" s="106" t="str">
        <f t="shared" si="5"/>
        <v/>
      </c>
      <c r="N12" s="111" t="str">
        <f t="shared" si="6"/>
        <v/>
      </c>
    </row>
    <row r="13">
      <c r="A13" s="104"/>
      <c r="B13" s="105"/>
      <c r="C13" s="105"/>
      <c r="D13" s="105"/>
      <c r="E13" s="105" t="s">
        <v>1008</v>
      </c>
      <c r="F13" s="119" t="s">
        <v>1009</v>
      </c>
      <c r="G13" s="106">
        <v>0.0</v>
      </c>
      <c r="H13" s="107">
        <v>45901.0</v>
      </c>
      <c r="I13" s="107" t="b">
        <v>0</v>
      </c>
      <c r="J13" s="107"/>
      <c r="K13" s="106"/>
      <c r="L13" s="110" t="str">
        <f t="shared" si="4"/>
        <v/>
      </c>
      <c r="M13" s="106" t="str">
        <f t="shared" si="5"/>
        <v/>
      </c>
      <c r="N13" s="111" t="str">
        <f t="shared" si="6"/>
        <v/>
      </c>
    </row>
    <row r="14">
      <c r="A14" s="112"/>
      <c r="B14" s="113"/>
      <c r="C14" s="113"/>
      <c r="D14" s="113"/>
      <c r="E14" s="113"/>
      <c r="F14" s="114"/>
      <c r="G14" s="114"/>
      <c r="H14" s="115"/>
      <c r="I14" s="115" t="b">
        <v>0</v>
      </c>
      <c r="J14" s="115"/>
      <c r="K14" s="114"/>
      <c r="L14" s="116"/>
      <c r="M14" s="114"/>
      <c r="N14" s="117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</row>
    <row r="15">
      <c r="A15" s="120" t="s">
        <v>34</v>
      </c>
      <c r="B15" s="108"/>
      <c r="C15" s="108"/>
      <c r="D15" s="108"/>
      <c r="E15" s="108" t="s">
        <v>1010</v>
      </c>
      <c r="F15" s="119" t="s">
        <v>1011</v>
      </c>
      <c r="G15" s="106">
        <v>7.18</v>
      </c>
      <c r="H15" s="107">
        <v>45904.0</v>
      </c>
      <c r="I15" s="108" t="b">
        <v>0</v>
      </c>
      <c r="J15" s="109"/>
      <c r="K15" s="106"/>
      <c r="L15" s="110" t="str">
        <f t="shared" ref="L15:L19" si="7">IF(ISBLANK(J15),"",J15-H15)</f>
        <v/>
      </c>
      <c r="M15" s="106" t="str">
        <f t="shared" ref="M15:M29" si="8">IF(K15="","",IF(K15-G15&lt;0,"",K15-G15))</f>
        <v/>
      </c>
      <c r="N15" s="111" t="str">
        <f t="shared" ref="N15:N29" si="9">IF(K15="","",IF(K15/G15&lt;0,"",K15/G15))</f>
        <v/>
      </c>
    </row>
    <row r="16">
      <c r="A16" s="121"/>
      <c r="B16" s="108"/>
      <c r="C16" s="108"/>
      <c r="D16" s="108"/>
      <c r="E16" s="108" t="s">
        <v>1010</v>
      </c>
      <c r="F16" s="119" t="s">
        <v>1012</v>
      </c>
      <c r="G16" s="106">
        <v>7.18</v>
      </c>
      <c r="H16" s="107">
        <v>45904.0</v>
      </c>
      <c r="I16" s="107" t="b">
        <v>0</v>
      </c>
      <c r="J16" s="107"/>
      <c r="K16" s="106"/>
      <c r="L16" s="110" t="str">
        <f t="shared" si="7"/>
        <v/>
      </c>
      <c r="M16" s="106" t="str">
        <f t="shared" si="8"/>
        <v/>
      </c>
      <c r="N16" s="111" t="str">
        <f t="shared" si="9"/>
        <v/>
      </c>
    </row>
    <row r="17">
      <c r="A17" s="121"/>
      <c r="B17" s="108"/>
      <c r="C17" s="108"/>
      <c r="D17" s="108"/>
      <c r="E17" s="108" t="s">
        <v>1010</v>
      </c>
      <c r="F17" s="119" t="s">
        <v>1013</v>
      </c>
      <c r="G17" s="106">
        <v>7.18</v>
      </c>
      <c r="H17" s="107">
        <v>45904.0</v>
      </c>
      <c r="I17" s="107" t="b">
        <v>0</v>
      </c>
      <c r="J17" s="107"/>
      <c r="K17" s="106"/>
      <c r="L17" s="110" t="str">
        <f t="shared" si="7"/>
        <v/>
      </c>
      <c r="M17" s="106" t="str">
        <f t="shared" si="8"/>
        <v/>
      </c>
      <c r="N17" s="111" t="str">
        <f t="shared" si="9"/>
        <v/>
      </c>
    </row>
    <row r="18">
      <c r="A18" s="121"/>
      <c r="B18" s="108"/>
      <c r="C18" s="108"/>
      <c r="D18" s="108"/>
      <c r="E18" s="108" t="s">
        <v>1010</v>
      </c>
      <c r="F18" s="119" t="s">
        <v>1014</v>
      </c>
      <c r="G18" s="106">
        <v>7.18</v>
      </c>
      <c r="H18" s="107">
        <v>45904.0</v>
      </c>
      <c r="I18" s="107" t="b">
        <v>0</v>
      </c>
      <c r="J18" s="107"/>
      <c r="K18" s="106"/>
      <c r="L18" s="110" t="str">
        <f t="shared" si="7"/>
        <v/>
      </c>
      <c r="M18" s="106" t="str">
        <f t="shared" si="8"/>
        <v/>
      </c>
      <c r="N18" s="111" t="str">
        <f t="shared" si="9"/>
        <v/>
      </c>
    </row>
    <row r="19">
      <c r="A19" s="121"/>
      <c r="B19" s="108"/>
      <c r="C19" s="108"/>
      <c r="D19" s="108"/>
      <c r="E19" s="108" t="s">
        <v>1015</v>
      </c>
      <c r="F19" s="119" t="s">
        <v>1016</v>
      </c>
      <c r="G19" s="106">
        <v>7.18</v>
      </c>
      <c r="H19" s="107">
        <v>45904.0</v>
      </c>
      <c r="I19" s="107" t="b">
        <v>0</v>
      </c>
      <c r="J19" s="107"/>
      <c r="K19" s="106"/>
      <c r="L19" s="110" t="str">
        <f t="shared" si="7"/>
        <v/>
      </c>
      <c r="M19" s="106" t="str">
        <f t="shared" si="8"/>
        <v/>
      </c>
      <c r="N19" s="111" t="str">
        <f t="shared" si="9"/>
        <v/>
      </c>
    </row>
    <row r="20">
      <c r="A20" s="121"/>
      <c r="B20" s="108"/>
      <c r="C20" s="108"/>
      <c r="D20" s="108"/>
      <c r="E20" s="108" t="s">
        <v>1010</v>
      </c>
      <c r="F20" s="119" t="s">
        <v>1017</v>
      </c>
      <c r="G20" s="106">
        <v>7.18</v>
      </c>
      <c r="H20" s="107">
        <v>45904.0</v>
      </c>
      <c r="I20" s="107" t="b">
        <v>0</v>
      </c>
      <c r="J20" s="107"/>
      <c r="K20" s="106"/>
      <c r="L20" s="110"/>
      <c r="M20" s="106" t="str">
        <f t="shared" si="8"/>
        <v/>
      </c>
      <c r="N20" s="111" t="str">
        <f t="shared" si="9"/>
        <v/>
      </c>
    </row>
    <row r="21">
      <c r="A21" s="121"/>
      <c r="B21" s="108"/>
      <c r="C21" s="108"/>
      <c r="D21" s="108"/>
      <c r="E21" s="108" t="s">
        <v>1010</v>
      </c>
      <c r="F21" s="119" t="s">
        <v>1018</v>
      </c>
      <c r="G21" s="106">
        <v>7.18</v>
      </c>
      <c r="H21" s="107">
        <v>45904.0</v>
      </c>
      <c r="I21" s="107" t="b">
        <v>0</v>
      </c>
      <c r="J21" s="107"/>
      <c r="K21" s="106"/>
      <c r="L21" s="110" t="str">
        <f t="shared" ref="L21:L29" si="10">IF(ISBLANK(J21),"",J21-H21)</f>
        <v/>
      </c>
      <c r="M21" s="106" t="str">
        <f t="shared" si="8"/>
        <v/>
      </c>
      <c r="N21" s="111" t="str">
        <f t="shared" si="9"/>
        <v/>
      </c>
    </row>
    <row r="22">
      <c r="A22" s="121"/>
      <c r="B22" s="108"/>
      <c r="C22" s="108"/>
      <c r="D22" s="108"/>
      <c r="E22" s="108" t="s">
        <v>1010</v>
      </c>
      <c r="F22" s="119" t="s">
        <v>1019</v>
      </c>
      <c r="G22" s="106">
        <v>7.18</v>
      </c>
      <c r="H22" s="107">
        <v>45904.0</v>
      </c>
      <c r="I22" s="107" t="b">
        <v>0</v>
      </c>
      <c r="J22" s="107"/>
      <c r="K22" s="106"/>
      <c r="L22" s="110" t="str">
        <f t="shared" si="10"/>
        <v/>
      </c>
      <c r="M22" s="106" t="str">
        <f t="shared" si="8"/>
        <v/>
      </c>
      <c r="N22" s="111" t="str">
        <f t="shared" si="9"/>
        <v/>
      </c>
    </row>
    <row r="23">
      <c r="A23" s="121"/>
      <c r="B23" s="108"/>
      <c r="C23" s="108"/>
      <c r="D23" s="108"/>
      <c r="E23" s="108" t="s">
        <v>1010</v>
      </c>
      <c r="F23" s="119" t="s">
        <v>1020</v>
      </c>
      <c r="G23" s="106">
        <v>7.18</v>
      </c>
      <c r="H23" s="107">
        <v>45904.0</v>
      </c>
      <c r="I23" s="107" t="b">
        <v>0</v>
      </c>
      <c r="J23" s="107"/>
      <c r="K23" s="106"/>
      <c r="L23" s="110" t="str">
        <f t="shared" si="10"/>
        <v/>
      </c>
      <c r="M23" s="106" t="str">
        <f t="shared" si="8"/>
        <v/>
      </c>
      <c r="N23" s="111" t="str">
        <f t="shared" si="9"/>
        <v/>
      </c>
    </row>
    <row r="24">
      <c r="A24" s="121"/>
      <c r="B24" s="108"/>
      <c r="C24" s="108"/>
      <c r="D24" s="108"/>
      <c r="E24" s="108" t="s">
        <v>1010</v>
      </c>
      <c r="F24" s="119" t="s">
        <v>1021</v>
      </c>
      <c r="G24" s="106">
        <v>7.18</v>
      </c>
      <c r="H24" s="107">
        <v>45904.0</v>
      </c>
      <c r="I24" s="107" t="b">
        <v>0</v>
      </c>
      <c r="J24" s="107"/>
      <c r="K24" s="106"/>
      <c r="L24" s="110" t="str">
        <f t="shared" si="10"/>
        <v/>
      </c>
      <c r="M24" s="106" t="str">
        <f t="shared" si="8"/>
        <v/>
      </c>
      <c r="N24" s="111" t="str">
        <f t="shared" si="9"/>
        <v/>
      </c>
    </row>
    <row r="25">
      <c r="A25" s="121"/>
      <c r="B25" s="108"/>
      <c r="C25" s="108"/>
      <c r="D25" s="108"/>
      <c r="E25" s="108" t="s">
        <v>1010</v>
      </c>
      <c r="F25" s="119" t="s">
        <v>1022</v>
      </c>
      <c r="G25" s="106">
        <v>7.18</v>
      </c>
      <c r="H25" s="107">
        <v>45904.0</v>
      </c>
      <c r="I25" s="107" t="b">
        <v>0</v>
      </c>
      <c r="J25" s="107"/>
      <c r="K25" s="106"/>
      <c r="L25" s="110" t="str">
        <f t="shared" si="10"/>
        <v/>
      </c>
      <c r="M25" s="106" t="str">
        <f t="shared" si="8"/>
        <v/>
      </c>
      <c r="N25" s="111" t="str">
        <f t="shared" si="9"/>
        <v/>
      </c>
    </row>
    <row r="26">
      <c r="A26" s="121"/>
      <c r="B26" s="108"/>
      <c r="C26" s="108"/>
      <c r="D26" s="108"/>
      <c r="E26" s="108" t="s">
        <v>1010</v>
      </c>
      <c r="F26" s="119" t="s">
        <v>1023</v>
      </c>
      <c r="G26" s="106">
        <v>7.18</v>
      </c>
      <c r="H26" s="107">
        <v>45904.0</v>
      </c>
      <c r="I26" s="107" t="b">
        <v>0</v>
      </c>
      <c r="J26" s="107"/>
      <c r="K26" s="106"/>
      <c r="L26" s="110" t="str">
        <f t="shared" si="10"/>
        <v/>
      </c>
      <c r="M26" s="106" t="str">
        <f t="shared" si="8"/>
        <v/>
      </c>
      <c r="N26" s="111" t="str">
        <f t="shared" si="9"/>
        <v/>
      </c>
    </row>
    <row r="27">
      <c r="A27" s="121"/>
      <c r="B27" s="108"/>
      <c r="C27" s="108"/>
      <c r="D27" s="108"/>
      <c r="E27" s="108" t="s">
        <v>1010</v>
      </c>
      <c r="F27" s="119" t="s">
        <v>1024</v>
      </c>
      <c r="G27" s="106">
        <v>7.18</v>
      </c>
      <c r="H27" s="107">
        <v>45904.0</v>
      </c>
      <c r="I27" s="107" t="b">
        <v>0</v>
      </c>
      <c r="J27" s="107"/>
      <c r="K27" s="106"/>
      <c r="L27" s="110" t="str">
        <f t="shared" si="10"/>
        <v/>
      </c>
      <c r="M27" s="106" t="str">
        <f t="shared" si="8"/>
        <v/>
      </c>
      <c r="N27" s="111" t="str">
        <f t="shared" si="9"/>
        <v/>
      </c>
    </row>
    <row r="28">
      <c r="A28" s="121"/>
      <c r="B28" s="108"/>
      <c r="C28" s="108"/>
      <c r="D28" s="108"/>
      <c r="E28" s="108" t="s">
        <v>1010</v>
      </c>
      <c r="F28" s="119" t="s">
        <v>1025</v>
      </c>
      <c r="G28" s="106">
        <v>7.18</v>
      </c>
      <c r="H28" s="107">
        <v>45904.0</v>
      </c>
      <c r="I28" s="107" t="b">
        <v>0</v>
      </c>
      <c r="J28" s="107"/>
      <c r="K28" s="106"/>
      <c r="L28" s="110" t="str">
        <f t="shared" si="10"/>
        <v/>
      </c>
      <c r="M28" s="106" t="str">
        <f t="shared" si="8"/>
        <v/>
      </c>
      <c r="N28" s="111" t="str">
        <f t="shared" si="9"/>
        <v/>
      </c>
    </row>
    <row r="29">
      <c r="A29" s="121"/>
      <c r="B29" s="108"/>
      <c r="C29" s="108"/>
      <c r="D29" s="108"/>
      <c r="E29" s="108" t="s">
        <v>1010</v>
      </c>
      <c r="F29" s="119" t="s">
        <v>1026</v>
      </c>
      <c r="G29" s="106">
        <v>7.18</v>
      </c>
      <c r="H29" s="107">
        <v>45904.0</v>
      </c>
      <c r="I29" s="107" t="b">
        <v>0</v>
      </c>
      <c r="J29" s="107"/>
      <c r="K29" s="106"/>
      <c r="L29" s="110" t="str">
        <f t="shared" si="10"/>
        <v/>
      </c>
      <c r="M29" s="106" t="str">
        <f t="shared" si="8"/>
        <v/>
      </c>
      <c r="N29" s="111" t="str">
        <f t="shared" si="9"/>
        <v/>
      </c>
    </row>
    <row r="30">
      <c r="A30" s="112"/>
      <c r="B30" s="113"/>
      <c r="C30" s="113"/>
      <c r="D30" s="113"/>
      <c r="E30" s="113"/>
      <c r="F30" s="114"/>
      <c r="G30" s="114"/>
      <c r="H30" s="115"/>
      <c r="I30" s="115" t="b">
        <v>0</v>
      </c>
      <c r="J30" s="115"/>
      <c r="K30" s="114"/>
      <c r="L30" s="116"/>
      <c r="M30" s="114"/>
      <c r="N30" s="117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</row>
    <row r="31">
      <c r="A31" s="121"/>
      <c r="B31" s="108"/>
      <c r="C31" s="108"/>
      <c r="D31" s="108"/>
      <c r="E31" s="108" t="s">
        <v>1027</v>
      </c>
      <c r="F31" s="108" t="s">
        <v>1028</v>
      </c>
      <c r="G31" s="106">
        <v>1.42</v>
      </c>
      <c r="H31" s="107">
        <v>45906.0</v>
      </c>
      <c r="I31" s="107" t="b">
        <v>0</v>
      </c>
      <c r="J31" s="107"/>
      <c r="K31" s="106"/>
      <c r="L31" s="110" t="str">
        <f t="shared" ref="L31:L57" si="11">IF(ISBLANK(J31),"",J31-H31)</f>
        <v/>
      </c>
      <c r="M31" s="106" t="str">
        <f t="shared" ref="M31:M46" si="12">IF(K31="","",IF(K31-G31&lt;0,"",K31-G31))</f>
        <v/>
      </c>
      <c r="N31" s="111" t="str">
        <f t="shared" ref="N31:N57" si="13">IF(K31="","",IF(K31/G31&lt;0,"",K31/G31))</f>
        <v/>
      </c>
    </row>
    <row r="32">
      <c r="A32" s="121"/>
      <c r="B32" s="108"/>
      <c r="C32" s="108"/>
      <c r="D32" s="108"/>
      <c r="E32" s="108" t="s">
        <v>1027</v>
      </c>
      <c r="F32" s="108" t="s">
        <v>1029</v>
      </c>
      <c r="G32" s="106">
        <v>1.42</v>
      </c>
      <c r="H32" s="107">
        <v>45906.0</v>
      </c>
      <c r="I32" s="107" t="b">
        <v>0</v>
      </c>
      <c r="J32" s="107"/>
      <c r="K32" s="106"/>
      <c r="L32" s="110" t="str">
        <f t="shared" si="11"/>
        <v/>
      </c>
      <c r="M32" s="106" t="str">
        <f t="shared" si="12"/>
        <v/>
      </c>
      <c r="N32" s="111" t="str">
        <f t="shared" si="13"/>
        <v/>
      </c>
    </row>
    <row r="33">
      <c r="A33" s="121"/>
      <c r="B33" s="108"/>
      <c r="C33" s="108"/>
      <c r="D33" s="108"/>
      <c r="E33" s="108" t="s">
        <v>1027</v>
      </c>
      <c r="F33" s="108" t="s">
        <v>1030</v>
      </c>
      <c r="G33" s="106">
        <v>1.42</v>
      </c>
      <c r="H33" s="107">
        <v>45906.0</v>
      </c>
      <c r="I33" s="107" t="b">
        <v>0</v>
      </c>
      <c r="J33" s="107"/>
      <c r="K33" s="106"/>
      <c r="L33" s="110" t="str">
        <f t="shared" si="11"/>
        <v/>
      </c>
      <c r="M33" s="106" t="str">
        <f t="shared" si="12"/>
        <v/>
      </c>
      <c r="N33" s="111" t="str">
        <f t="shared" si="13"/>
        <v/>
      </c>
    </row>
    <row r="34">
      <c r="A34" s="121"/>
      <c r="B34" s="108"/>
      <c r="C34" s="108"/>
      <c r="D34" s="108"/>
      <c r="E34" s="108" t="s">
        <v>1027</v>
      </c>
      <c r="F34" s="108" t="s">
        <v>1031</v>
      </c>
      <c r="G34" s="106">
        <v>1.42</v>
      </c>
      <c r="H34" s="107">
        <v>45906.0</v>
      </c>
      <c r="I34" s="107" t="b">
        <v>0</v>
      </c>
      <c r="J34" s="107"/>
      <c r="K34" s="106"/>
      <c r="L34" s="110" t="str">
        <f t="shared" si="11"/>
        <v/>
      </c>
      <c r="M34" s="106" t="str">
        <f t="shared" si="12"/>
        <v/>
      </c>
      <c r="N34" s="111" t="str">
        <f t="shared" si="13"/>
        <v/>
      </c>
    </row>
    <row r="35">
      <c r="A35" s="121"/>
      <c r="B35" s="108"/>
      <c r="C35" s="108"/>
      <c r="D35" s="108"/>
      <c r="E35" s="108" t="s">
        <v>1027</v>
      </c>
      <c r="F35" s="108" t="s">
        <v>1032</v>
      </c>
      <c r="G35" s="106">
        <v>1.42</v>
      </c>
      <c r="H35" s="107">
        <v>45906.0</v>
      </c>
      <c r="I35" s="107" t="b">
        <v>0</v>
      </c>
      <c r="J35" s="107"/>
      <c r="K35" s="106"/>
      <c r="L35" s="110" t="str">
        <f t="shared" si="11"/>
        <v/>
      </c>
      <c r="M35" s="106" t="str">
        <f t="shared" si="12"/>
        <v/>
      </c>
      <c r="N35" s="111" t="str">
        <f t="shared" si="13"/>
        <v/>
      </c>
    </row>
    <row r="36">
      <c r="A36" s="121"/>
      <c r="B36" s="108"/>
      <c r="C36" s="108"/>
      <c r="D36" s="108"/>
      <c r="E36" s="108" t="s">
        <v>1027</v>
      </c>
      <c r="F36" s="108" t="s">
        <v>1033</v>
      </c>
      <c r="G36" s="106">
        <v>1.42</v>
      </c>
      <c r="H36" s="107">
        <v>45906.0</v>
      </c>
      <c r="I36" s="107" t="b">
        <v>0</v>
      </c>
      <c r="J36" s="107"/>
      <c r="K36" s="106"/>
      <c r="L36" s="110" t="str">
        <f t="shared" si="11"/>
        <v/>
      </c>
      <c r="M36" s="106" t="str">
        <f t="shared" si="12"/>
        <v/>
      </c>
      <c r="N36" s="111" t="str">
        <f t="shared" si="13"/>
        <v/>
      </c>
    </row>
    <row r="37">
      <c r="A37" s="121"/>
      <c r="B37" s="108"/>
      <c r="C37" s="108"/>
      <c r="D37" s="108"/>
      <c r="E37" s="108" t="s">
        <v>1027</v>
      </c>
      <c r="F37" s="108" t="s">
        <v>1034</v>
      </c>
      <c r="G37" s="106">
        <v>1.42</v>
      </c>
      <c r="H37" s="107">
        <v>45906.0</v>
      </c>
      <c r="I37" s="107" t="b">
        <v>0</v>
      </c>
      <c r="J37" s="107"/>
      <c r="K37" s="106"/>
      <c r="L37" s="110" t="str">
        <f t="shared" si="11"/>
        <v/>
      </c>
      <c r="M37" s="106" t="str">
        <f t="shared" si="12"/>
        <v/>
      </c>
      <c r="N37" s="111" t="str">
        <f t="shared" si="13"/>
        <v/>
      </c>
    </row>
    <row r="38">
      <c r="A38" s="121"/>
      <c r="B38" s="108"/>
      <c r="C38" s="108"/>
      <c r="D38" s="108"/>
      <c r="E38" s="108" t="s">
        <v>1027</v>
      </c>
      <c r="F38" s="108" t="s">
        <v>1035</v>
      </c>
      <c r="G38" s="106">
        <v>1.42</v>
      </c>
      <c r="H38" s="107">
        <v>45906.0</v>
      </c>
      <c r="I38" s="107" t="b">
        <v>0</v>
      </c>
      <c r="J38" s="107"/>
      <c r="K38" s="106"/>
      <c r="L38" s="110" t="str">
        <f t="shared" si="11"/>
        <v/>
      </c>
      <c r="M38" s="106" t="str">
        <f t="shared" si="12"/>
        <v/>
      </c>
      <c r="N38" s="111" t="str">
        <f t="shared" si="13"/>
        <v/>
      </c>
    </row>
    <row r="39">
      <c r="A39" s="121"/>
      <c r="B39" s="108"/>
      <c r="C39" s="108"/>
      <c r="D39" s="108"/>
      <c r="E39" s="108" t="s">
        <v>1027</v>
      </c>
      <c r="F39" s="108" t="s">
        <v>1036</v>
      </c>
      <c r="G39" s="106">
        <v>1.42</v>
      </c>
      <c r="H39" s="107">
        <v>45906.0</v>
      </c>
      <c r="I39" s="107" t="b">
        <v>0</v>
      </c>
      <c r="J39" s="107"/>
      <c r="K39" s="106"/>
      <c r="L39" s="110" t="str">
        <f t="shared" si="11"/>
        <v/>
      </c>
      <c r="M39" s="106" t="str">
        <f t="shared" si="12"/>
        <v/>
      </c>
      <c r="N39" s="111" t="str">
        <f t="shared" si="13"/>
        <v/>
      </c>
    </row>
    <row r="40">
      <c r="A40" s="121"/>
      <c r="B40" s="108"/>
      <c r="C40" s="108"/>
      <c r="D40" s="108"/>
      <c r="E40" s="108" t="s">
        <v>1027</v>
      </c>
      <c r="F40" s="108" t="s">
        <v>1037</v>
      </c>
      <c r="G40" s="106">
        <v>1.42</v>
      </c>
      <c r="H40" s="107">
        <v>45906.0</v>
      </c>
      <c r="I40" s="107" t="b">
        <v>0</v>
      </c>
      <c r="J40" s="107"/>
      <c r="K40" s="106"/>
      <c r="L40" s="110" t="str">
        <f t="shared" si="11"/>
        <v/>
      </c>
      <c r="M40" s="106" t="str">
        <f t="shared" si="12"/>
        <v/>
      </c>
      <c r="N40" s="111" t="str">
        <f t="shared" si="13"/>
        <v/>
      </c>
    </row>
    <row r="41">
      <c r="A41" s="121"/>
      <c r="B41" s="108"/>
      <c r="C41" s="108"/>
      <c r="D41" s="108"/>
      <c r="E41" s="108" t="s">
        <v>1027</v>
      </c>
      <c r="F41" s="108" t="s">
        <v>1038</v>
      </c>
      <c r="G41" s="106">
        <v>1.42</v>
      </c>
      <c r="H41" s="107">
        <v>45906.0</v>
      </c>
      <c r="I41" s="107" t="b">
        <v>0</v>
      </c>
      <c r="J41" s="107"/>
      <c r="K41" s="106"/>
      <c r="L41" s="110" t="str">
        <f t="shared" si="11"/>
        <v/>
      </c>
      <c r="M41" s="106" t="str">
        <f t="shared" si="12"/>
        <v/>
      </c>
      <c r="N41" s="111" t="str">
        <f t="shared" si="13"/>
        <v/>
      </c>
    </row>
    <row r="42">
      <c r="A42" s="121"/>
      <c r="B42" s="108"/>
      <c r="C42" s="108"/>
      <c r="D42" s="108"/>
      <c r="E42" s="108" t="s">
        <v>1027</v>
      </c>
      <c r="F42" s="108" t="s">
        <v>1039</v>
      </c>
      <c r="G42" s="106">
        <v>1.42</v>
      </c>
      <c r="H42" s="107">
        <v>45906.0</v>
      </c>
      <c r="I42" s="107" t="b">
        <v>0</v>
      </c>
      <c r="J42" s="107"/>
      <c r="K42" s="106"/>
      <c r="L42" s="110" t="str">
        <f t="shared" si="11"/>
        <v/>
      </c>
      <c r="M42" s="106" t="str">
        <f t="shared" si="12"/>
        <v/>
      </c>
      <c r="N42" s="111" t="str">
        <f t="shared" si="13"/>
        <v/>
      </c>
    </row>
    <row r="43">
      <c r="A43" s="121"/>
      <c r="B43" s="108"/>
      <c r="C43" s="108"/>
      <c r="D43" s="108"/>
      <c r="E43" s="108" t="s">
        <v>1027</v>
      </c>
      <c r="F43" s="108" t="s">
        <v>1040</v>
      </c>
      <c r="G43" s="106">
        <v>1.42</v>
      </c>
      <c r="H43" s="107">
        <v>45906.0</v>
      </c>
      <c r="I43" s="107" t="b">
        <v>0</v>
      </c>
      <c r="J43" s="107"/>
      <c r="K43" s="106"/>
      <c r="L43" s="110" t="str">
        <f t="shared" si="11"/>
        <v/>
      </c>
      <c r="M43" s="106" t="str">
        <f t="shared" si="12"/>
        <v/>
      </c>
      <c r="N43" s="111" t="str">
        <f t="shared" si="13"/>
        <v/>
      </c>
    </row>
    <row r="44">
      <c r="A44" s="121"/>
      <c r="B44" s="108"/>
      <c r="C44" s="108"/>
      <c r="D44" s="108"/>
      <c r="E44" s="108" t="s">
        <v>1027</v>
      </c>
      <c r="F44" s="108" t="s">
        <v>1041</v>
      </c>
      <c r="G44" s="106">
        <v>1.42</v>
      </c>
      <c r="H44" s="107">
        <v>45906.0</v>
      </c>
      <c r="I44" s="107" t="b">
        <v>0</v>
      </c>
      <c r="J44" s="107"/>
      <c r="K44" s="106"/>
      <c r="L44" s="110" t="str">
        <f t="shared" si="11"/>
        <v/>
      </c>
      <c r="M44" s="106" t="str">
        <f t="shared" si="12"/>
        <v/>
      </c>
      <c r="N44" s="111" t="str">
        <f t="shared" si="13"/>
        <v/>
      </c>
    </row>
    <row r="45">
      <c r="A45" s="121"/>
      <c r="B45" s="108"/>
      <c r="C45" s="108"/>
      <c r="D45" s="108"/>
      <c r="E45" s="108" t="s">
        <v>1027</v>
      </c>
      <c r="F45" s="108" t="s">
        <v>1042</v>
      </c>
      <c r="G45" s="106">
        <v>1.42</v>
      </c>
      <c r="H45" s="107">
        <v>45906.0</v>
      </c>
      <c r="I45" s="107" t="b">
        <v>0</v>
      </c>
      <c r="J45" s="107"/>
      <c r="K45" s="106"/>
      <c r="L45" s="110" t="str">
        <f t="shared" si="11"/>
        <v/>
      </c>
      <c r="M45" s="106" t="str">
        <f t="shared" si="12"/>
        <v/>
      </c>
      <c r="N45" s="111" t="str">
        <f t="shared" si="13"/>
        <v/>
      </c>
    </row>
    <row r="46">
      <c r="A46" s="121"/>
      <c r="B46" s="108"/>
      <c r="C46" s="108"/>
      <c r="D46" s="108"/>
      <c r="E46" s="108" t="s">
        <v>1027</v>
      </c>
      <c r="F46" s="108" t="s">
        <v>1043</v>
      </c>
      <c r="G46" s="106">
        <v>1.42</v>
      </c>
      <c r="H46" s="107">
        <v>45906.0</v>
      </c>
      <c r="I46" s="107" t="b">
        <v>0</v>
      </c>
      <c r="J46" s="107"/>
      <c r="K46" s="106"/>
      <c r="L46" s="110" t="str">
        <f t="shared" si="11"/>
        <v/>
      </c>
      <c r="M46" s="106" t="str">
        <f t="shared" si="12"/>
        <v/>
      </c>
      <c r="N46" s="111" t="str">
        <f t="shared" si="13"/>
        <v/>
      </c>
    </row>
    <row r="47">
      <c r="A47" s="121"/>
      <c r="B47" s="108"/>
      <c r="C47" s="108"/>
      <c r="D47" s="108"/>
      <c r="E47" s="108" t="s">
        <v>1027</v>
      </c>
      <c r="F47" s="108" t="s">
        <v>1044</v>
      </c>
      <c r="G47" s="106">
        <v>1.42</v>
      </c>
      <c r="H47" s="107">
        <v>45906.0</v>
      </c>
      <c r="I47" s="107" t="b">
        <v>0</v>
      </c>
      <c r="J47" s="107"/>
      <c r="K47" s="106"/>
      <c r="L47" s="110" t="str">
        <f t="shared" si="11"/>
        <v/>
      </c>
      <c r="M47" s="106"/>
      <c r="N47" s="111" t="str">
        <f t="shared" si="13"/>
        <v/>
      </c>
    </row>
    <row r="48">
      <c r="A48" s="121"/>
      <c r="B48" s="108"/>
      <c r="C48" s="108"/>
      <c r="D48" s="108"/>
      <c r="E48" s="108" t="s">
        <v>1027</v>
      </c>
      <c r="F48" s="108" t="s">
        <v>1045</v>
      </c>
      <c r="G48" s="106">
        <v>1.42</v>
      </c>
      <c r="H48" s="107">
        <v>45906.0</v>
      </c>
      <c r="I48" s="107" t="b">
        <v>0</v>
      </c>
      <c r="J48" s="107"/>
      <c r="K48" s="106"/>
      <c r="L48" s="110" t="str">
        <f t="shared" si="11"/>
        <v/>
      </c>
      <c r="M48" s="106" t="str">
        <f t="shared" ref="M48:M57" si="14">IF(K48="","",IF(K48-G48&lt;0,"",K48-G48))</f>
        <v/>
      </c>
      <c r="N48" s="111" t="str">
        <f t="shared" si="13"/>
        <v/>
      </c>
    </row>
    <row r="49">
      <c r="A49" s="121"/>
      <c r="B49" s="108"/>
      <c r="C49" s="108"/>
      <c r="D49" s="108"/>
      <c r="E49" s="108" t="s">
        <v>1027</v>
      </c>
      <c r="F49" s="108" t="s">
        <v>1046</v>
      </c>
      <c r="G49" s="106">
        <v>1.42</v>
      </c>
      <c r="H49" s="107">
        <v>45906.0</v>
      </c>
      <c r="I49" s="107" t="b">
        <v>0</v>
      </c>
      <c r="J49" s="107"/>
      <c r="K49" s="106"/>
      <c r="L49" s="110" t="str">
        <f t="shared" si="11"/>
        <v/>
      </c>
      <c r="M49" s="106" t="str">
        <f t="shared" si="14"/>
        <v/>
      </c>
      <c r="N49" s="111" t="str">
        <f t="shared" si="13"/>
        <v/>
      </c>
    </row>
    <row r="50">
      <c r="A50" s="121"/>
      <c r="B50" s="108"/>
      <c r="C50" s="108"/>
      <c r="D50" s="108"/>
      <c r="E50" s="108" t="s">
        <v>1027</v>
      </c>
      <c r="F50" s="108" t="s">
        <v>1047</v>
      </c>
      <c r="G50" s="106">
        <v>1.42</v>
      </c>
      <c r="H50" s="107">
        <v>45906.0</v>
      </c>
      <c r="I50" s="107" t="b">
        <v>0</v>
      </c>
      <c r="J50" s="107"/>
      <c r="K50" s="106"/>
      <c r="L50" s="110" t="str">
        <f t="shared" si="11"/>
        <v/>
      </c>
      <c r="M50" s="106" t="str">
        <f t="shared" si="14"/>
        <v/>
      </c>
      <c r="N50" s="111" t="str">
        <f t="shared" si="13"/>
        <v/>
      </c>
    </row>
    <row r="51">
      <c r="A51" s="121"/>
      <c r="B51" s="108"/>
      <c r="C51" s="108"/>
      <c r="D51" s="108"/>
      <c r="E51" s="108" t="s">
        <v>1027</v>
      </c>
      <c r="F51" s="108" t="s">
        <v>1048</v>
      </c>
      <c r="G51" s="106">
        <v>1.42</v>
      </c>
      <c r="H51" s="107">
        <v>45906.0</v>
      </c>
      <c r="I51" s="107" t="b">
        <v>0</v>
      </c>
      <c r="J51" s="107"/>
      <c r="K51" s="106"/>
      <c r="L51" s="110" t="str">
        <f t="shared" si="11"/>
        <v/>
      </c>
      <c r="M51" s="106" t="str">
        <f t="shared" si="14"/>
        <v/>
      </c>
      <c r="N51" s="111" t="str">
        <f t="shared" si="13"/>
        <v/>
      </c>
    </row>
    <row r="52">
      <c r="A52" s="121"/>
      <c r="B52" s="108"/>
      <c r="C52" s="108"/>
      <c r="D52" s="108"/>
      <c r="E52" s="108" t="s">
        <v>1027</v>
      </c>
      <c r="F52" s="108" t="s">
        <v>1049</v>
      </c>
      <c r="G52" s="106">
        <v>1.42</v>
      </c>
      <c r="H52" s="107">
        <v>45906.0</v>
      </c>
      <c r="I52" s="107" t="b">
        <v>0</v>
      </c>
      <c r="J52" s="107"/>
      <c r="K52" s="106"/>
      <c r="L52" s="110" t="str">
        <f t="shared" si="11"/>
        <v/>
      </c>
      <c r="M52" s="106" t="str">
        <f t="shared" si="14"/>
        <v/>
      </c>
      <c r="N52" s="111" t="str">
        <f t="shared" si="13"/>
        <v/>
      </c>
    </row>
    <row r="53">
      <c r="A53" s="121"/>
      <c r="B53" s="108"/>
      <c r="C53" s="108"/>
      <c r="D53" s="108"/>
      <c r="E53" s="108" t="s">
        <v>1027</v>
      </c>
      <c r="F53" s="108" t="s">
        <v>1050</v>
      </c>
      <c r="G53" s="106">
        <v>1.42</v>
      </c>
      <c r="H53" s="107">
        <v>45906.0</v>
      </c>
      <c r="I53" s="107" t="b">
        <v>0</v>
      </c>
      <c r="J53" s="107"/>
      <c r="K53" s="106"/>
      <c r="L53" s="110" t="str">
        <f t="shared" si="11"/>
        <v/>
      </c>
      <c r="M53" s="106" t="str">
        <f t="shared" si="14"/>
        <v/>
      </c>
      <c r="N53" s="111" t="str">
        <f t="shared" si="13"/>
        <v/>
      </c>
    </row>
    <row r="54">
      <c r="A54" s="121"/>
      <c r="B54" s="108"/>
      <c r="C54" s="108"/>
      <c r="D54" s="108"/>
      <c r="E54" s="108" t="s">
        <v>1027</v>
      </c>
      <c r="F54" s="108" t="s">
        <v>1051</v>
      </c>
      <c r="G54" s="106">
        <v>1.42</v>
      </c>
      <c r="H54" s="107">
        <v>45906.0</v>
      </c>
      <c r="I54" s="107" t="b">
        <v>0</v>
      </c>
      <c r="J54" s="107"/>
      <c r="K54" s="106"/>
      <c r="L54" s="110" t="str">
        <f t="shared" si="11"/>
        <v/>
      </c>
      <c r="M54" s="106" t="str">
        <f t="shared" si="14"/>
        <v/>
      </c>
      <c r="N54" s="111" t="str">
        <f t="shared" si="13"/>
        <v/>
      </c>
    </row>
    <row r="55">
      <c r="A55" s="121"/>
      <c r="B55" s="108"/>
      <c r="C55" s="108"/>
      <c r="D55" s="108"/>
      <c r="E55" s="108" t="s">
        <v>1027</v>
      </c>
      <c r="F55" s="108" t="s">
        <v>1052</v>
      </c>
      <c r="G55" s="106">
        <v>1.42</v>
      </c>
      <c r="H55" s="107">
        <v>45906.0</v>
      </c>
      <c r="I55" s="107" t="b">
        <v>0</v>
      </c>
      <c r="J55" s="107"/>
      <c r="K55" s="106"/>
      <c r="L55" s="110" t="str">
        <f t="shared" si="11"/>
        <v/>
      </c>
      <c r="M55" s="106" t="str">
        <f t="shared" si="14"/>
        <v/>
      </c>
      <c r="N55" s="111" t="str">
        <f t="shared" si="13"/>
        <v/>
      </c>
    </row>
    <row r="56">
      <c r="A56" s="121"/>
      <c r="B56" s="108"/>
      <c r="C56" s="108"/>
      <c r="D56" s="108"/>
      <c r="E56" s="108" t="s">
        <v>1027</v>
      </c>
      <c r="F56" s="108" t="s">
        <v>1053</v>
      </c>
      <c r="G56" s="106">
        <v>1.42</v>
      </c>
      <c r="H56" s="107">
        <v>45906.0</v>
      </c>
      <c r="I56" s="107" t="b">
        <v>0</v>
      </c>
      <c r="J56" s="107"/>
      <c r="K56" s="106"/>
      <c r="L56" s="110" t="str">
        <f t="shared" si="11"/>
        <v/>
      </c>
      <c r="M56" s="106" t="str">
        <f t="shared" si="14"/>
        <v/>
      </c>
      <c r="N56" s="111" t="str">
        <f t="shared" si="13"/>
        <v/>
      </c>
    </row>
    <row r="57">
      <c r="A57" s="121"/>
      <c r="B57" s="108"/>
      <c r="C57" s="108"/>
      <c r="D57" s="108"/>
      <c r="E57" s="108" t="s">
        <v>1027</v>
      </c>
      <c r="F57" s="108" t="s">
        <v>1054</v>
      </c>
      <c r="G57" s="106">
        <v>1.42</v>
      </c>
      <c r="H57" s="107">
        <v>45906.0</v>
      </c>
      <c r="I57" s="107" t="b">
        <v>0</v>
      </c>
      <c r="J57" s="107"/>
      <c r="K57" s="106"/>
      <c r="L57" s="110" t="str">
        <f t="shared" si="11"/>
        <v/>
      </c>
      <c r="M57" s="106" t="str">
        <f t="shared" si="14"/>
        <v/>
      </c>
      <c r="N57" s="111" t="str">
        <f t="shared" si="13"/>
        <v/>
      </c>
    </row>
    <row r="58">
      <c r="A58" s="112"/>
      <c r="B58" s="113"/>
      <c r="C58" s="113"/>
      <c r="D58" s="113"/>
      <c r="E58" s="113"/>
      <c r="F58" s="114"/>
      <c r="G58" s="114"/>
      <c r="H58" s="115"/>
      <c r="I58" s="115" t="b">
        <v>0</v>
      </c>
      <c r="J58" s="115"/>
      <c r="K58" s="114"/>
      <c r="L58" s="116"/>
      <c r="M58" s="114"/>
      <c r="N58" s="117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</row>
    <row r="59">
      <c r="A59" s="104"/>
      <c r="B59" s="105"/>
      <c r="C59" s="105"/>
      <c r="D59" s="105"/>
      <c r="E59" s="105" t="s">
        <v>1055</v>
      </c>
      <c r="F59" s="119" t="s">
        <v>1056</v>
      </c>
      <c r="G59" s="106">
        <v>11.81</v>
      </c>
      <c r="H59" s="107">
        <v>45896.0</v>
      </c>
      <c r="I59" s="107" t="b">
        <v>0</v>
      </c>
      <c r="J59" s="107"/>
      <c r="K59" s="106"/>
      <c r="L59" s="110" t="str">
        <f t="shared" ref="L59:L79" si="15">IF(ISBLANK(J59),"",J59-H59)</f>
        <v/>
      </c>
      <c r="M59" s="106" t="str">
        <f t="shared" ref="M59:M79" si="16">IF(K59="","",IF(K59-G59&lt;0,"",K59-G59))</f>
        <v/>
      </c>
      <c r="N59" s="111" t="str">
        <f t="shared" ref="N59:N79" si="17">IF(K59="","",IF(K59/G59&lt;0,"",K59/G59))</f>
        <v/>
      </c>
    </row>
    <row r="60">
      <c r="A60" s="121"/>
      <c r="B60" s="108"/>
      <c r="C60" s="108"/>
      <c r="D60" s="108"/>
      <c r="E60" s="108" t="s">
        <v>1057</v>
      </c>
      <c r="F60" s="108" t="s">
        <v>1058</v>
      </c>
      <c r="G60" s="106">
        <v>1.42</v>
      </c>
      <c r="H60" s="107">
        <v>45906.0</v>
      </c>
      <c r="I60" s="107" t="b">
        <v>0</v>
      </c>
      <c r="J60" s="107"/>
      <c r="K60" s="106"/>
      <c r="L60" s="110" t="str">
        <f t="shared" si="15"/>
        <v/>
      </c>
      <c r="M60" s="106" t="str">
        <f t="shared" si="16"/>
        <v/>
      </c>
      <c r="N60" s="111" t="str">
        <f t="shared" si="17"/>
        <v/>
      </c>
    </row>
    <row r="61">
      <c r="A61" s="121"/>
      <c r="B61" s="108"/>
      <c r="C61" s="108"/>
      <c r="D61" s="108"/>
      <c r="E61" s="108" t="s">
        <v>1057</v>
      </c>
      <c r="F61" s="108" t="s">
        <v>1059</v>
      </c>
      <c r="G61" s="106">
        <v>1.42</v>
      </c>
      <c r="H61" s="107">
        <v>45906.0</v>
      </c>
      <c r="I61" s="107" t="b">
        <v>0</v>
      </c>
      <c r="J61" s="107"/>
      <c r="K61" s="106"/>
      <c r="L61" s="110" t="str">
        <f t="shared" si="15"/>
        <v/>
      </c>
      <c r="M61" s="106" t="str">
        <f t="shared" si="16"/>
        <v/>
      </c>
      <c r="N61" s="111" t="str">
        <f t="shared" si="17"/>
        <v/>
      </c>
    </row>
    <row r="62">
      <c r="A62" s="121"/>
      <c r="B62" s="108"/>
      <c r="C62" s="108"/>
      <c r="D62" s="108"/>
      <c r="E62" s="108" t="s">
        <v>1057</v>
      </c>
      <c r="F62" s="108" t="s">
        <v>1060</v>
      </c>
      <c r="G62" s="106">
        <v>1.42</v>
      </c>
      <c r="H62" s="107">
        <v>45906.0</v>
      </c>
      <c r="I62" s="107" t="b">
        <v>0</v>
      </c>
      <c r="J62" s="107"/>
      <c r="K62" s="106"/>
      <c r="L62" s="110" t="str">
        <f t="shared" si="15"/>
        <v/>
      </c>
      <c r="M62" s="106" t="str">
        <f t="shared" si="16"/>
        <v/>
      </c>
      <c r="N62" s="111" t="str">
        <f t="shared" si="17"/>
        <v/>
      </c>
    </row>
    <row r="63">
      <c r="A63" s="121"/>
      <c r="B63" s="108"/>
      <c r="C63" s="108"/>
      <c r="D63" s="108"/>
      <c r="E63" s="108" t="s">
        <v>1057</v>
      </c>
      <c r="F63" s="108" t="s">
        <v>1061</v>
      </c>
      <c r="G63" s="106">
        <v>1.42</v>
      </c>
      <c r="H63" s="107">
        <v>45906.0</v>
      </c>
      <c r="I63" s="107" t="b">
        <v>0</v>
      </c>
      <c r="J63" s="107"/>
      <c r="K63" s="106"/>
      <c r="L63" s="110" t="str">
        <f t="shared" si="15"/>
        <v/>
      </c>
      <c r="M63" s="106" t="str">
        <f t="shared" si="16"/>
        <v/>
      </c>
      <c r="N63" s="111" t="str">
        <f t="shared" si="17"/>
        <v/>
      </c>
    </row>
    <row r="64">
      <c r="A64" s="121"/>
      <c r="B64" s="108"/>
      <c r="C64" s="108"/>
      <c r="D64" s="108"/>
      <c r="E64" s="108" t="s">
        <v>1057</v>
      </c>
      <c r="F64" s="108" t="s">
        <v>1062</v>
      </c>
      <c r="G64" s="106">
        <v>1.42</v>
      </c>
      <c r="H64" s="107">
        <v>45906.0</v>
      </c>
      <c r="I64" s="107" t="b">
        <v>0</v>
      </c>
      <c r="J64" s="107"/>
      <c r="K64" s="106"/>
      <c r="L64" s="110" t="str">
        <f t="shared" si="15"/>
        <v/>
      </c>
      <c r="M64" s="106" t="str">
        <f t="shared" si="16"/>
        <v/>
      </c>
      <c r="N64" s="111" t="str">
        <f t="shared" si="17"/>
        <v/>
      </c>
    </row>
    <row r="65">
      <c r="A65" s="121"/>
      <c r="B65" s="108"/>
      <c r="C65" s="108"/>
      <c r="D65" s="108"/>
      <c r="E65" s="108" t="s">
        <v>1057</v>
      </c>
      <c r="F65" s="108" t="s">
        <v>1063</v>
      </c>
      <c r="G65" s="106">
        <v>1.42</v>
      </c>
      <c r="H65" s="107">
        <v>45906.0</v>
      </c>
      <c r="I65" s="107" t="b">
        <v>0</v>
      </c>
      <c r="J65" s="107"/>
      <c r="K65" s="106"/>
      <c r="L65" s="110" t="str">
        <f t="shared" si="15"/>
        <v/>
      </c>
      <c r="M65" s="106" t="str">
        <f t="shared" si="16"/>
        <v/>
      </c>
      <c r="N65" s="111" t="str">
        <f t="shared" si="17"/>
        <v/>
      </c>
    </row>
    <row r="66">
      <c r="A66" s="121"/>
      <c r="B66" s="108"/>
      <c r="C66" s="108"/>
      <c r="D66" s="108"/>
      <c r="E66" s="108" t="s">
        <v>1057</v>
      </c>
      <c r="F66" s="108" t="s">
        <v>1064</v>
      </c>
      <c r="G66" s="106">
        <v>1.42</v>
      </c>
      <c r="H66" s="107">
        <v>45906.0</v>
      </c>
      <c r="I66" s="107" t="b">
        <v>0</v>
      </c>
      <c r="J66" s="107"/>
      <c r="K66" s="106"/>
      <c r="L66" s="110" t="str">
        <f t="shared" si="15"/>
        <v/>
      </c>
      <c r="M66" s="106" t="str">
        <f t="shared" si="16"/>
        <v/>
      </c>
      <c r="N66" s="111" t="str">
        <f t="shared" si="17"/>
        <v/>
      </c>
    </row>
    <row r="67">
      <c r="A67" s="121"/>
      <c r="B67" s="108"/>
      <c r="C67" s="108"/>
      <c r="D67" s="108"/>
      <c r="E67" s="108" t="s">
        <v>1057</v>
      </c>
      <c r="F67" s="108" t="s">
        <v>1065</v>
      </c>
      <c r="G67" s="106">
        <v>1.42</v>
      </c>
      <c r="H67" s="107">
        <v>45906.0</v>
      </c>
      <c r="I67" s="107" t="b">
        <v>0</v>
      </c>
      <c r="J67" s="107"/>
      <c r="K67" s="106"/>
      <c r="L67" s="110" t="str">
        <f t="shared" si="15"/>
        <v/>
      </c>
      <c r="M67" s="106" t="str">
        <f t="shared" si="16"/>
        <v/>
      </c>
      <c r="N67" s="111" t="str">
        <f t="shared" si="17"/>
        <v/>
      </c>
    </row>
    <row r="68">
      <c r="A68" s="121"/>
      <c r="B68" s="108"/>
      <c r="C68" s="108"/>
      <c r="D68" s="108"/>
      <c r="E68" s="108" t="s">
        <v>1057</v>
      </c>
      <c r="F68" s="108" t="s">
        <v>1066</v>
      </c>
      <c r="G68" s="106">
        <v>1.42</v>
      </c>
      <c r="H68" s="107">
        <v>45906.0</v>
      </c>
      <c r="I68" s="107" t="b">
        <v>0</v>
      </c>
      <c r="J68" s="107"/>
      <c r="K68" s="106"/>
      <c r="L68" s="110" t="str">
        <f t="shared" si="15"/>
        <v/>
      </c>
      <c r="M68" s="106" t="str">
        <f t="shared" si="16"/>
        <v/>
      </c>
      <c r="N68" s="111" t="str">
        <f t="shared" si="17"/>
        <v/>
      </c>
    </row>
    <row r="69">
      <c r="A69" s="121"/>
      <c r="B69" s="108"/>
      <c r="C69" s="108"/>
      <c r="D69" s="108"/>
      <c r="E69" s="108" t="s">
        <v>1057</v>
      </c>
      <c r="F69" s="108" t="s">
        <v>1067</v>
      </c>
      <c r="G69" s="106">
        <v>1.42</v>
      </c>
      <c r="H69" s="107">
        <v>45906.0</v>
      </c>
      <c r="I69" s="107" t="b">
        <v>0</v>
      </c>
      <c r="J69" s="107"/>
      <c r="K69" s="106"/>
      <c r="L69" s="110" t="str">
        <f t="shared" si="15"/>
        <v/>
      </c>
      <c r="M69" s="106" t="str">
        <f t="shared" si="16"/>
        <v/>
      </c>
      <c r="N69" s="111" t="str">
        <f t="shared" si="17"/>
        <v/>
      </c>
    </row>
    <row r="70">
      <c r="A70" s="121"/>
      <c r="B70" s="108"/>
      <c r="C70" s="108"/>
      <c r="D70" s="108"/>
      <c r="E70" s="108" t="s">
        <v>1057</v>
      </c>
      <c r="F70" s="108" t="s">
        <v>1068</v>
      </c>
      <c r="G70" s="106">
        <v>1.42</v>
      </c>
      <c r="H70" s="107">
        <v>45906.0</v>
      </c>
      <c r="I70" s="107" t="b">
        <v>0</v>
      </c>
      <c r="J70" s="107"/>
      <c r="K70" s="106"/>
      <c r="L70" s="110" t="str">
        <f t="shared" si="15"/>
        <v/>
      </c>
      <c r="M70" s="106" t="str">
        <f t="shared" si="16"/>
        <v/>
      </c>
      <c r="N70" s="111" t="str">
        <f t="shared" si="17"/>
        <v/>
      </c>
    </row>
    <row r="71">
      <c r="A71" s="121"/>
      <c r="B71" s="108"/>
      <c r="C71" s="108"/>
      <c r="D71" s="108"/>
      <c r="E71" s="108" t="s">
        <v>1057</v>
      </c>
      <c r="F71" s="108" t="s">
        <v>1069</v>
      </c>
      <c r="G71" s="106">
        <v>1.42</v>
      </c>
      <c r="H71" s="107">
        <v>45906.0</v>
      </c>
      <c r="I71" s="107" t="b">
        <v>0</v>
      </c>
      <c r="J71" s="107"/>
      <c r="K71" s="106"/>
      <c r="L71" s="110" t="str">
        <f t="shared" si="15"/>
        <v/>
      </c>
      <c r="M71" s="106" t="str">
        <f t="shared" si="16"/>
        <v/>
      </c>
      <c r="N71" s="111" t="str">
        <f t="shared" si="17"/>
        <v/>
      </c>
    </row>
    <row r="72">
      <c r="A72" s="121"/>
      <c r="B72" s="108"/>
      <c r="C72" s="108"/>
      <c r="D72" s="108"/>
      <c r="E72" s="108" t="s">
        <v>1057</v>
      </c>
      <c r="F72" s="108" t="s">
        <v>1070</v>
      </c>
      <c r="G72" s="106">
        <v>1.42</v>
      </c>
      <c r="H72" s="107">
        <v>45906.0</v>
      </c>
      <c r="I72" s="107" t="b">
        <v>0</v>
      </c>
      <c r="J72" s="107"/>
      <c r="K72" s="106"/>
      <c r="L72" s="110" t="str">
        <f t="shared" si="15"/>
        <v/>
      </c>
      <c r="M72" s="106" t="str">
        <f t="shared" si="16"/>
        <v/>
      </c>
      <c r="N72" s="111" t="str">
        <f t="shared" si="17"/>
        <v/>
      </c>
    </row>
    <row r="73">
      <c r="A73" s="121"/>
      <c r="B73" s="108"/>
      <c r="C73" s="108"/>
      <c r="D73" s="108"/>
      <c r="E73" s="108" t="s">
        <v>1057</v>
      </c>
      <c r="F73" s="108" t="s">
        <v>1071</v>
      </c>
      <c r="G73" s="106">
        <v>1.42</v>
      </c>
      <c r="H73" s="107">
        <v>45906.0</v>
      </c>
      <c r="I73" s="107" t="b">
        <v>0</v>
      </c>
      <c r="J73" s="107"/>
      <c r="K73" s="106"/>
      <c r="L73" s="110" t="str">
        <f t="shared" si="15"/>
        <v/>
      </c>
      <c r="M73" s="106" t="str">
        <f t="shared" si="16"/>
        <v/>
      </c>
      <c r="N73" s="111" t="str">
        <f t="shared" si="17"/>
        <v/>
      </c>
    </row>
    <row r="74">
      <c r="A74" s="121"/>
      <c r="B74" s="108"/>
      <c r="C74" s="108"/>
      <c r="D74" s="108"/>
      <c r="E74" s="108" t="s">
        <v>1057</v>
      </c>
      <c r="F74" s="108" t="s">
        <v>1072</v>
      </c>
      <c r="G74" s="106">
        <v>1.42</v>
      </c>
      <c r="H74" s="107">
        <v>45906.0</v>
      </c>
      <c r="I74" s="107" t="b">
        <v>0</v>
      </c>
      <c r="J74" s="107"/>
      <c r="K74" s="106"/>
      <c r="L74" s="110" t="str">
        <f t="shared" si="15"/>
        <v/>
      </c>
      <c r="M74" s="106" t="str">
        <f t="shared" si="16"/>
        <v/>
      </c>
      <c r="N74" s="111" t="str">
        <f t="shared" si="17"/>
        <v/>
      </c>
    </row>
    <row r="75">
      <c r="A75" s="121"/>
      <c r="B75" s="108"/>
      <c r="C75" s="108"/>
      <c r="D75" s="108"/>
      <c r="E75" s="108" t="s">
        <v>1057</v>
      </c>
      <c r="F75" s="108" t="s">
        <v>1073</v>
      </c>
      <c r="G75" s="106">
        <v>1.42</v>
      </c>
      <c r="H75" s="107">
        <v>45906.0</v>
      </c>
      <c r="I75" s="107" t="b">
        <v>0</v>
      </c>
      <c r="J75" s="107"/>
      <c r="K75" s="106"/>
      <c r="L75" s="110" t="str">
        <f t="shared" si="15"/>
        <v/>
      </c>
      <c r="M75" s="106" t="str">
        <f t="shared" si="16"/>
        <v/>
      </c>
      <c r="N75" s="111" t="str">
        <f t="shared" si="17"/>
        <v/>
      </c>
    </row>
    <row r="76">
      <c r="A76" s="121"/>
      <c r="B76" s="108"/>
      <c r="C76" s="108"/>
      <c r="D76" s="108"/>
      <c r="E76" s="108" t="s">
        <v>1057</v>
      </c>
      <c r="F76" s="108" t="s">
        <v>1074</v>
      </c>
      <c r="G76" s="106">
        <v>1.42</v>
      </c>
      <c r="H76" s="107">
        <v>45906.0</v>
      </c>
      <c r="I76" s="107" t="b">
        <v>0</v>
      </c>
      <c r="J76" s="107"/>
      <c r="K76" s="106"/>
      <c r="L76" s="110" t="str">
        <f t="shared" si="15"/>
        <v/>
      </c>
      <c r="M76" s="106" t="str">
        <f t="shared" si="16"/>
        <v/>
      </c>
      <c r="N76" s="111" t="str">
        <f t="shared" si="17"/>
        <v/>
      </c>
    </row>
    <row r="77">
      <c r="A77" s="121"/>
      <c r="B77" s="108"/>
      <c r="C77" s="108"/>
      <c r="D77" s="108"/>
      <c r="E77" s="108" t="s">
        <v>1057</v>
      </c>
      <c r="F77" s="108" t="s">
        <v>1075</v>
      </c>
      <c r="G77" s="106">
        <v>1.42</v>
      </c>
      <c r="H77" s="107">
        <v>45906.0</v>
      </c>
      <c r="I77" s="107" t="b">
        <v>0</v>
      </c>
      <c r="J77" s="107"/>
      <c r="K77" s="106"/>
      <c r="L77" s="110" t="str">
        <f t="shared" si="15"/>
        <v/>
      </c>
      <c r="M77" s="106" t="str">
        <f t="shared" si="16"/>
        <v/>
      </c>
      <c r="N77" s="111" t="str">
        <f t="shared" si="17"/>
        <v/>
      </c>
    </row>
    <row r="78">
      <c r="A78" s="121"/>
      <c r="B78" s="108"/>
      <c r="C78" s="108"/>
      <c r="D78" s="108"/>
      <c r="E78" s="108" t="s">
        <v>1057</v>
      </c>
      <c r="F78" s="108" t="s">
        <v>1076</v>
      </c>
      <c r="G78" s="106">
        <v>1.42</v>
      </c>
      <c r="H78" s="107">
        <v>45906.0</v>
      </c>
      <c r="I78" s="107" t="b">
        <v>0</v>
      </c>
      <c r="J78" s="107"/>
      <c r="K78" s="106"/>
      <c r="L78" s="110" t="str">
        <f t="shared" si="15"/>
        <v/>
      </c>
      <c r="M78" s="106" t="str">
        <f t="shared" si="16"/>
        <v/>
      </c>
      <c r="N78" s="111" t="str">
        <f t="shared" si="17"/>
        <v/>
      </c>
    </row>
    <row r="79">
      <c r="A79" s="121"/>
      <c r="B79" s="108"/>
      <c r="C79" s="108"/>
      <c r="D79" s="108"/>
      <c r="E79" s="108" t="s">
        <v>1057</v>
      </c>
      <c r="F79" s="108" t="s">
        <v>1077</v>
      </c>
      <c r="G79" s="106">
        <v>1.42</v>
      </c>
      <c r="H79" s="107">
        <v>45906.0</v>
      </c>
      <c r="I79" s="107" t="b">
        <v>0</v>
      </c>
      <c r="J79" s="107"/>
      <c r="K79" s="106"/>
      <c r="L79" s="110" t="str">
        <f t="shared" si="15"/>
        <v/>
      </c>
      <c r="M79" s="106" t="str">
        <f t="shared" si="16"/>
        <v/>
      </c>
      <c r="N79" s="111" t="str">
        <f t="shared" si="17"/>
        <v/>
      </c>
    </row>
    <row r="80">
      <c r="A80" s="112"/>
      <c r="B80" s="113"/>
      <c r="C80" s="113"/>
      <c r="D80" s="113"/>
      <c r="E80" s="113"/>
      <c r="F80" s="114"/>
      <c r="G80" s="114"/>
      <c r="H80" s="115"/>
      <c r="I80" s="115" t="b">
        <v>0</v>
      </c>
      <c r="J80" s="115"/>
      <c r="K80" s="114"/>
      <c r="L80" s="116"/>
      <c r="M80" s="114"/>
      <c r="N80" s="117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</row>
    <row r="81">
      <c r="A81" s="121"/>
      <c r="B81" s="108"/>
      <c r="C81" s="108"/>
      <c r="D81" s="108"/>
      <c r="E81" s="108" t="s">
        <v>1078</v>
      </c>
      <c r="F81" s="119" t="s">
        <v>1079</v>
      </c>
      <c r="G81" s="106">
        <v>4.75</v>
      </c>
      <c r="H81" s="107">
        <v>45924.0</v>
      </c>
      <c r="I81" s="107" t="b">
        <v>0</v>
      </c>
      <c r="J81" s="107"/>
      <c r="K81" s="106"/>
      <c r="L81" s="110" t="str">
        <f t="shared" ref="L81:L108" si="18">IF(ISBLANK(J81),"",J81-H81)</f>
        <v/>
      </c>
      <c r="M81" s="106" t="str">
        <f t="shared" ref="M81:M108" si="19">IF(K81="","",IF(K81-G81&lt;0,"",K81-G81))</f>
        <v/>
      </c>
      <c r="N81" s="111" t="str">
        <f t="shared" ref="N81:N108" si="20">IF(K81="","",IF(K81/G81&lt;0,"",K81/G81))</f>
        <v/>
      </c>
    </row>
    <row r="82">
      <c r="A82" s="121"/>
      <c r="B82" s="108"/>
      <c r="C82" s="108"/>
      <c r="D82" s="108"/>
      <c r="E82" s="108" t="s">
        <v>1078</v>
      </c>
      <c r="F82" s="119" t="s">
        <v>1080</v>
      </c>
      <c r="G82" s="106">
        <v>4.75</v>
      </c>
      <c r="H82" s="107">
        <v>45924.0</v>
      </c>
      <c r="I82" s="107" t="b">
        <v>0</v>
      </c>
      <c r="J82" s="107"/>
      <c r="K82" s="106"/>
      <c r="L82" s="110" t="str">
        <f t="shared" si="18"/>
        <v/>
      </c>
      <c r="M82" s="106" t="str">
        <f t="shared" si="19"/>
        <v/>
      </c>
      <c r="N82" s="111" t="str">
        <f t="shared" si="20"/>
        <v/>
      </c>
    </row>
    <row r="83">
      <c r="A83" s="121"/>
      <c r="B83" s="108"/>
      <c r="C83" s="108"/>
      <c r="D83" s="108"/>
      <c r="E83" s="108" t="s">
        <v>1078</v>
      </c>
      <c r="F83" s="119" t="s">
        <v>1081</v>
      </c>
      <c r="G83" s="106">
        <v>4.75</v>
      </c>
      <c r="H83" s="107">
        <v>45924.0</v>
      </c>
      <c r="I83" s="107" t="b">
        <v>0</v>
      </c>
      <c r="J83" s="107"/>
      <c r="K83" s="106"/>
      <c r="L83" s="110" t="str">
        <f t="shared" si="18"/>
        <v/>
      </c>
      <c r="M83" s="106" t="str">
        <f t="shared" si="19"/>
        <v/>
      </c>
      <c r="N83" s="111" t="str">
        <f t="shared" si="20"/>
        <v/>
      </c>
    </row>
    <row r="84">
      <c r="A84" s="121"/>
      <c r="B84" s="108"/>
      <c r="C84" s="108"/>
      <c r="D84" s="108"/>
      <c r="E84" s="108" t="s">
        <v>1078</v>
      </c>
      <c r="F84" s="119" t="s">
        <v>1082</v>
      </c>
      <c r="G84" s="106">
        <v>4.75</v>
      </c>
      <c r="H84" s="107">
        <v>45924.0</v>
      </c>
      <c r="I84" s="107" t="b">
        <v>0</v>
      </c>
      <c r="J84" s="107"/>
      <c r="K84" s="106"/>
      <c r="L84" s="110" t="str">
        <f t="shared" si="18"/>
        <v/>
      </c>
      <c r="M84" s="106" t="str">
        <f t="shared" si="19"/>
        <v/>
      </c>
      <c r="N84" s="111" t="str">
        <f t="shared" si="20"/>
        <v/>
      </c>
    </row>
    <row r="85">
      <c r="A85" s="121"/>
      <c r="B85" s="108"/>
      <c r="C85" s="108"/>
      <c r="D85" s="108"/>
      <c r="E85" s="108" t="s">
        <v>1078</v>
      </c>
      <c r="F85" s="119" t="s">
        <v>1083</v>
      </c>
      <c r="G85" s="106">
        <v>4.75</v>
      </c>
      <c r="H85" s="107">
        <v>45924.0</v>
      </c>
      <c r="I85" s="107" t="b">
        <v>0</v>
      </c>
      <c r="J85" s="107"/>
      <c r="K85" s="106"/>
      <c r="L85" s="110" t="str">
        <f t="shared" si="18"/>
        <v/>
      </c>
      <c r="M85" s="106" t="str">
        <f t="shared" si="19"/>
        <v/>
      </c>
      <c r="N85" s="111" t="str">
        <f t="shared" si="20"/>
        <v/>
      </c>
    </row>
    <row r="86">
      <c r="A86" s="121"/>
      <c r="B86" s="108"/>
      <c r="C86" s="108"/>
      <c r="D86" s="108"/>
      <c r="E86" s="108" t="s">
        <v>1078</v>
      </c>
      <c r="F86" s="119" t="s">
        <v>1084</v>
      </c>
      <c r="G86" s="106">
        <v>4.75</v>
      </c>
      <c r="H86" s="107">
        <v>45924.0</v>
      </c>
      <c r="I86" s="107" t="b">
        <v>0</v>
      </c>
      <c r="J86" s="107"/>
      <c r="K86" s="106"/>
      <c r="L86" s="110" t="str">
        <f t="shared" si="18"/>
        <v/>
      </c>
      <c r="M86" s="106" t="str">
        <f t="shared" si="19"/>
        <v/>
      </c>
      <c r="N86" s="111" t="str">
        <f t="shared" si="20"/>
        <v/>
      </c>
    </row>
    <row r="87">
      <c r="A87" s="121"/>
      <c r="B87" s="108"/>
      <c r="C87" s="108"/>
      <c r="D87" s="108"/>
      <c r="E87" s="108" t="s">
        <v>1078</v>
      </c>
      <c r="F87" s="119" t="s">
        <v>1085</v>
      </c>
      <c r="G87" s="106">
        <v>4.75</v>
      </c>
      <c r="H87" s="107">
        <v>45924.0</v>
      </c>
      <c r="I87" s="107" t="b">
        <v>0</v>
      </c>
      <c r="J87" s="107"/>
      <c r="K87" s="106"/>
      <c r="L87" s="110" t="str">
        <f t="shared" si="18"/>
        <v/>
      </c>
      <c r="M87" s="106" t="str">
        <f t="shared" si="19"/>
        <v/>
      </c>
      <c r="N87" s="111" t="str">
        <f t="shared" si="20"/>
        <v/>
      </c>
    </row>
    <row r="88">
      <c r="A88" s="121"/>
      <c r="B88" s="108"/>
      <c r="C88" s="108"/>
      <c r="D88" s="108"/>
      <c r="E88" s="108" t="s">
        <v>1078</v>
      </c>
      <c r="F88" s="119" t="s">
        <v>1086</v>
      </c>
      <c r="G88" s="106">
        <v>4.75</v>
      </c>
      <c r="H88" s="107">
        <v>45924.0</v>
      </c>
      <c r="I88" s="107" t="b">
        <v>0</v>
      </c>
      <c r="J88" s="107"/>
      <c r="K88" s="106"/>
      <c r="L88" s="110" t="str">
        <f t="shared" si="18"/>
        <v/>
      </c>
      <c r="M88" s="106" t="str">
        <f t="shared" si="19"/>
        <v/>
      </c>
      <c r="N88" s="111" t="str">
        <f t="shared" si="20"/>
        <v/>
      </c>
    </row>
    <row r="89">
      <c r="A89" s="121"/>
      <c r="B89" s="108"/>
      <c r="C89" s="108"/>
      <c r="D89" s="108"/>
      <c r="E89" s="108" t="s">
        <v>1078</v>
      </c>
      <c r="F89" s="119" t="s">
        <v>1087</v>
      </c>
      <c r="G89" s="106">
        <v>4.75</v>
      </c>
      <c r="H89" s="107">
        <v>45924.0</v>
      </c>
      <c r="I89" s="107" t="b">
        <v>0</v>
      </c>
      <c r="J89" s="107"/>
      <c r="K89" s="106"/>
      <c r="L89" s="110" t="str">
        <f t="shared" si="18"/>
        <v/>
      </c>
      <c r="M89" s="106" t="str">
        <f t="shared" si="19"/>
        <v/>
      </c>
      <c r="N89" s="111" t="str">
        <f t="shared" si="20"/>
        <v/>
      </c>
    </row>
    <row r="90">
      <c r="A90" s="104"/>
      <c r="B90" s="105"/>
      <c r="C90" s="105"/>
      <c r="D90" s="105"/>
      <c r="E90" s="105" t="s">
        <v>1088</v>
      </c>
      <c r="F90" s="119" t="s">
        <v>1089</v>
      </c>
      <c r="G90" s="106">
        <v>4.75</v>
      </c>
      <c r="H90" s="107">
        <v>45924.0</v>
      </c>
      <c r="I90" s="107" t="b">
        <v>0</v>
      </c>
      <c r="J90" s="107"/>
      <c r="K90" s="106"/>
      <c r="L90" s="110" t="str">
        <f t="shared" si="18"/>
        <v/>
      </c>
      <c r="M90" s="106" t="str">
        <f t="shared" si="19"/>
        <v/>
      </c>
      <c r="N90" s="111" t="str">
        <f t="shared" si="20"/>
        <v/>
      </c>
    </row>
    <row r="91">
      <c r="A91" s="104"/>
      <c r="B91" s="105"/>
      <c r="C91" s="105"/>
      <c r="D91" s="105"/>
      <c r="E91" s="105" t="s">
        <v>1090</v>
      </c>
      <c r="F91" s="119" t="s">
        <v>1091</v>
      </c>
      <c r="G91" s="106">
        <v>4.75</v>
      </c>
      <c r="H91" s="107">
        <v>45924.0</v>
      </c>
      <c r="I91" s="107" t="b">
        <v>0</v>
      </c>
      <c r="J91" s="107"/>
      <c r="K91" s="106"/>
      <c r="L91" s="110" t="str">
        <f t="shared" si="18"/>
        <v/>
      </c>
      <c r="M91" s="106" t="str">
        <f t="shared" si="19"/>
        <v/>
      </c>
      <c r="N91" s="111" t="str">
        <f t="shared" si="20"/>
        <v/>
      </c>
    </row>
    <row r="92">
      <c r="A92" s="104"/>
      <c r="B92" s="105"/>
      <c r="C92" s="105"/>
      <c r="D92" s="105"/>
      <c r="E92" s="105" t="s">
        <v>1092</v>
      </c>
      <c r="F92" s="119" t="s">
        <v>1093</v>
      </c>
      <c r="G92" s="106">
        <v>4.75</v>
      </c>
      <c r="H92" s="107">
        <v>45924.0</v>
      </c>
      <c r="I92" s="107" t="b">
        <v>0</v>
      </c>
      <c r="J92" s="107"/>
      <c r="K92" s="106"/>
      <c r="L92" s="110" t="str">
        <f t="shared" si="18"/>
        <v/>
      </c>
      <c r="M92" s="106" t="str">
        <f t="shared" si="19"/>
        <v/>
      </c>
      <c r="N92" s="111" t="str">
        <f t="shared" si="20"/>
        <v/>
      </c>
    </row>
    <row r="93">
      <c r="A93" s="104"/>
      <c r="B93" s="105"/>
      <c r="C93" s="105"/>
      <c r="D93" s="105"/>
      <c r="E93" s="105" t="s">
        <v>1094</v>
      </c>
      <c r="F93" s="119" t="s">
        <v>1095</v>
      </c>
      <c r="G93" s="106">
        <v>4.75</v>
      </c>
      <c r="H93" s="107">
        <v>45924.0</v>
      </c>
      <c r="I93" s="107" t="b">
        <v>0</v>
      </c>
      <c r="J93" s="107"/>
      <c r="K93" s="106"/>
      <c r="L93" s="110" t="str">
        <f t="shared" si="18"/>
        <v/>
      </c>
      <c r="M93" s="106" t="str">
        <f t="shared" si="19"/>
        <v/>
      </c>
      <c r="N93" s="111" t="str">
        <f t="shared" si="20"/>
        <v/>
      </c>
    </row>
    <row r="94">
      <c r="A94" s="104"/>
      <c r="B94" s="105"/>
      <c r="C94" s="105"/>
      <c r="D94" s="105"/>
      <c r="E94" s="105" t="s">
        <v>1096</v>
      </c>
      <c r="F94" s="119" t="s">
        <v>1097</v>
      </c>
      <c r="G94" s="106">
        <v>4.75</v>
      </c>
      <c r="H94" s="107">
        <v>45924.0</v>
      </c>
      <c r="I94" s="107" t="b">
        <v>0</v>
      </c>
      <c r="J94" s="107"/>
      <c r="K94" s="106"/>
      <c r="L94" s="110" t="str">
        <f t="shared" si="18"/>
        <v/>
      </c>
      <c r="M94" s="106" t="str">
        <f t="shared" si="19"/>
        <v/>
      </c>
      <c r="N94" s="111" t="str">
        <f t="shared" si="20"/>
        <v/>
      </c>
    </row>
    <row r="95">
      <c r="A95" s="104"/>
      <c r="B95" s="105"/>
      <c r="C95" s="105"/>
      <c r="D95" s="105"/>
      <c r="E95" s="105" t="s">
        <v>1098</v>
      </c>
      <c r="F95" s="119" t="s">
        <v>1099</v>
      </c>
      <c r="G95" s="106">
        <v>4.75</v>
      </c>
      <c r="H95" s="107">
        <v>45924.0</v>
      </c>
      <c r="I95" s="107" t="b">
        <v>0</v>
      </c>
      <c r="J95" s="107"/>
      <c r="K95" s="106"/>
      <c r="L95" s="110" t="str">
        <f t="shared" si="18"/>
        <v/>
      </c>
      <c r="M95" s="106" t="str">
        <f t="shared" si="19"/>
        <v/>
      </c>
      <c r="N95" s="111" t="str">
        <f t="shared" si="20"/>
        <v/>
      </c>
    </row>
    <row r="96">
      <c r="A96" s="104"/>
      <c r="B96" s="105"/>
      <c r="C96" s="105"/>
      <c r="D96" s="105"/>
      <c r="E96" s="105" t="s">
        <v>1100</v>
      </c>
      <c r="F96" s="119" t="s">
        <v>1101</v>
      </c>
      <c r="G96" s="106">
        <v>4.75</v>
      </c>
      <c r="H96" s="107">
        <v>45924.0</v>
      </c>
      <c r="I96" s="107" t="b">
        <v>0</v>
      </c>
      <c r="J96" s="107"/>
      <c r="K96" s="106"/>
      <c r="L96" s="110" t="str">
        <f t="shared" si="18"/>
        <v/>
      </c>
      <c r="M96" s="106" t="str">
        <f t="shared" si="19"/>
        <v/>
      </c>
      <c r="N96" s="111" t="str">
        <f t="shared" si="20"/>
        <v/>
      </c>
    </row>
    <row r="97">
      <c r="A97" s="104"/>
      <c r="B97" s="105"/>
      <c r="C97" s="105"/>
      <c r="D97" s="105"/>
      <c r="E97" s="105" t="s">
        <v>1102</v>
      </c>
      <c r="F97" s="119" t="s">
        <v>1103</v>
      </c>
      <c r="G97" s="106">
        <v>4.75</v>
      </c>
      <c r="H97" s="107">
        <v>45924.0</v>
      </c>
      <c r="I97" s="107" t="b">
        <v>0</v>
      </c>
      <c r="J97" s="107"/>
      <c r="K97" s="106"/>
      <c r="L97" s="110" t="str">
        <f t="shared" si="18"/>
        <v/>
      </c>
      <c r="M97" s="106" t="str">
        <f t="shared" si="19"/>
        <v/>
      </c>
      <c r="N97" s="111" t="str">
        <f t="shared" si="20"/>
        <v/>
      </c>
    </row>
    <row r="98">
      <c r="A98" s="104"/>
      <c r="B98" s="105"/>
      <c r="C98" s="105"/>
      <c r="D98" s="105"/>
      <c r="E98" s="105" t="s">
        <v>1104</v>
      </c>
      <c r="F98" s="119" t="s">
        <v>1105</v>
      </c>
      <c r="G98" s="106">
        <v>4.75</v>
      </c>
      <c r="H98" s="107">
        <v>45924.0</v>
      </c>
      <c r="I98" s="107" t="b">
        <v>0</v>
      </c>
      <c r="J98" s="107"/>
      <c r="K98" s="106"/>
      <c r="L98" s="110" t="str">
        <f t="shared" si="18"/>
        <v/>
      </c>
      <c r="M98" s="106" t="str">
        <f t="shared" si="19"/>
        <v/>
      </c>
      <c r="N98" s="111" t="str">
        <f t="shared" si="20"/>
        <v/>
      </c>
    </row>
    <row r="99">
      <c r="A99" s="104"/>
      <c r="B99" s="105"/>
      <c r="C99" s="105"/>
      <c r="D99" s="105"/>
      <c r="E99" s="105" t="s">
        <v>1106</v>
      </c>
      <c r="F99" s="119" t="s">
        <v>1107</v>
      </c>
      <c r="G99" s="106">
        <v>4.75</v>
      </c>
      <c r="H99" s="107">
        <v>45924.0</v>
      </c>
      <c r="I99" s="107" t="b">
        <v>0</v>
      </c>
      <c r="J99" s="107"/>
      <c r="K99" s="106"/>
      <c r="L99" s="110" t="str">
        <f t="shared" si="18"/>
        <v/>
      </c>
      <c r="M99" s="106" t="str">
        <f t="shared" si="19"/>
        <v/>
      </c>
      <c r="N99" s="111" t="str">
        <f t="shared" si="20"/>
        <v/>
      </c>
    </row>
    <row r="100">
      <c r="A100" s="104"/>
      <c r="B100" s="105"/>
      <c r="C100" s="105"/>
      <c r="D100" s="105"/>
      <c r="E100" s="105" t="s">
        <v>1108</v>
      </c>
      <c r="F100" s="119" t="s">
        <v>1109</v>
      </c>
      <c r="G100" s="106">
        <v>4.75</v>
      </c>
      <c r="H100" s="107">
        <v>45924.0</v>
      </c>
      <c r="I100" s="107" t="b">
        <v>0</v>
      </c>
      <c r="J100" s="107"/>
      <c r="K100" s="106"/>
      <c r="L100" s="110" t="str">
        <f t="shared" si="18"/>
        <v/>
      </c>
      <c r="M100" s="106" t="str">
        <f t="shared" si="19"/>
        <v/>
      </c>
      <c r="N100" s="111" t="str">
        <f t="shared" si="20"/>
        <v/>
      </c>
    </row>
    <row r="101">
      <c r="A101" s="104"/>
      <c r="B101" s="105"/>
      <c r="C101" s="105"/>
      <c r="D101" s="105"/>
      <c r="E101" s="105" t="s">
        <v>1110</v>
      </c>
      <c r="F101" s="119" t="s">
        <v>1111</v>
      </c>
      <c r="G101" s="106">
        <v>4.75</v>
      </c>
      <c r="H101" s="107">
        <v>45924.0</v>
      </c>
      <c r="I101" s="107" t="b">
        <v>0</v>
      </c>
      <c r="J101" s="107"/>
      <c r="K101" s="106"/>
      <c r="L101" s="110" t="str">
        <f t="shared" si="18"/>
        <v/>
      </c>
      <c r="M101" s="106" t="str">
        <f t="shared" si="19"/>
        <v/>
      </c>
      <c r="N101" s="111" t="str">
        <f t="shared" si="20"/>
        <v/>
      </c>
    </row>
    <row r="102">
      <c r="A102" s="104"/>
      <c r="B102" s="105"/>
      <c r="C102" s="105"/>
      <c r="D102" s="105"/>
      <c r="E102" s="105" t="s">
        <v>1112</v>
      </c>
      <c r="F102" s="119" t="s">
        <v>1113</v>
      </c>
      <c r="G102" s="106">
        <v>4.75</v>
      </c>
      <c r="H102" s="107">
        <v>45924.0</v>
      </c>
      <c r="I102" s="107" t="b">
        <v>0</v>
      </c>
      <c r="J102" s="107"/>
      <c r="K102" s="106"/>
      <c r="L102" s="110" t="str">
        <f t="shared" si="18"/>
        <v/>
      </c>
      <c r="M102" s="106" t="str">
        <f t="shared" si="19"/>
        <v/>
      </c>
      <c r="N102" s="111" t="str">
        <f t="shared" si="20"/>
        <v/>
      </c>
    </row>
    <row r="103">
      <c r="A103" s="104"/>
      <c r="B103" s="105"/>
      <c r="C103" s="105"/>
      <c r="D103" s="105"/>
      <c r="E103" s="105" t="s">
        <v>1114</v>
      </c>
      <c r="F103" s="119" t="s">
        <v>1115</v>
      </c>
      <c r="G103" s="106">
        <v>4.75</v>
      </c>
      <c r="H103" s="107">
        <v>45924.0</v>
      </c>
      <c r="I103" s="107" t="b">
        <v>0</v>
      </c>
      <c r="J103" s="107"/>
      <c r="K103" s="106"/>
      <c r="L103" s="110" t="str">
        <f t="shared" si="18"/>
        <v/>
      </c>
      <c r="M103" s="106" t="str">
        <f t="shared" si="19"/>
        <v/>
      </c>
      <c r="N103" s="111" t="str">
        <f t="shared" si="20"/>
        <v/>
      </c>
    </row>
    <row r="104">
      <c r="A104" s="104"/>
      <c r="B104" s="105"/>
      <c r="C104" s="105"/>
      <c r="D104" s="105"/>
      <c r="E104" s="105" t="s">
        <v>1116</v>
      </c>
      <c r="F104" s="119" t="s">
        <v>1117</v>
      </c>
      <c r="G104" s="106">
        <v>4.75</v>
      </c>
      <c r="H104" s="107">
        <v>45924.0</v>
      </c>
      <c r="I104" s="107" t="b">
        <v>0</v>
      </c>
      <c r="J104" s="107"/>
      <c r="K104" s="106"/>
      <c r="L104" s="110" t="str">
        <f t="shared" si="18"/>
        <v/>
      </c>
      <c r="M104" s="106" t="str">
        <f t="shared" si="19"/>
        <v/>
      </c>
      <c r="N104" s="111" t="str">
        <f t="shared" si="20"/>
        <v/>
      </c>
    </row>
    <row r="105">
      <c r="A105" s="104"/>
      <c r="B105" s="105"/>
      <c r="C105" s="105"/>
      <c r="D105" s="105"/>
      <c r="E105" s="105" t="s">
        <v>1118</v>
      </c>
      <c r="F105" s="119" t="s">
        <v>1119</v>
      </c>
      <c r="G105" s="106">
        <v>4.75</v>
      </c>
      <c r="H105" s="107">
        <v>45924.0</v>
      </c>
      <c r="I105" s="107" t="b">
        <v>0</v>
      </c>
      <c r="J105" s="107"/>
      <c r="K105" s="106"/>
      <c r="L105" s="110" t="str">
        <f t="shared" si="18"/>
        <v/>
      </c>
      <c r="M105" s="106" t="str">
        <f t="shared" si="19"/>
        <v/>
      </c>
      <c r="N105" s="111" t="str">
        <f t="shared" si="20"/>
        <v/>
      </c>
    </row>
    <row r="106">
      <c r="A106" s="104"/>
      <c r="B106" s="105"/>
      <c r="C106" s="105"/>
      <c r="D106" s="105"/>
      <c r="E106" s="105" t="s">
        <v>1120</v>
      </c>
      <c r="F106" s="119" t="s">
        <v>1121</v>
      </c>
      <c r="G106" s="106">
        <v>4.75</v>
      </c>
      <c r="H106" s="107">
        <v>45924.0</v>
      </c>
      <c r="I106" s="107" t="b">
        <v>0</v>
      </c>
      <c r="J106" s="107"/>
      <c r="K106" s="106"/>
      <c r="L106" s="110" t="str">
        <f t="shared" si="18"/>
        <v/>
      </c>
      <c r="M106" s="106" t="str">
        <f t="shared" si="19"/>
        <v/>
      </c>
      <c r="N106" s="111" t="str">
        <f t="shared" si="20"/>
        <v/>
      </c>
    </row>
    <row r="107">
      <c r="A107" s="104"/>
      <c r="B107" s="105"/>
      <c r="C107" s="105"/>
      <c r="D107" s="105"/>
      <c r="E107" s="105" t="s">
        <v>1122</v>
      </c>
      <c r="F107" s="119" t="s">
        <v>1123</v>
      </c>
      <c r="G107" s="106">
        <v>4.75</v>
      </c>
      <c r="H107" s="107">
        <v>45924.0</v>
      </c>
      <c r="I107" s="107" t="b">
        <v>0</v>
      </c>
      <c r="J107" s="107"/>
      <c r="K107" s="106"/>
      <c r="L107" s="110" t="str">
        <f t="shared" si="18"/>
        <v/>
      </c>
      <c r="M107" s="106" t="str">
        <f t="shared" si="19"/>
        <v/>
      </c>
      <c r="N107" s="111" t="str">
        <f t="shared" si="20"/>
        <v/>
      </c>
    </row>
    <row r="108">
      <c r="A108" s="104"/>
      <c r="B108" s="105"/>
      <c r="C108" s="105"/>
      <c r="D108" s="105"/>
      <c r="E108" s="105" t="s">
        <v>1124</v>
      </c>
      <c r="F108" s="119" t="s">
        <v>1125</v>
      </c>
      <c r="G108" s="106">
        <v>4.75</v>
      </c>
      <c r="H108" s="107">
        <v>45924.0</v>
      </c>
      <c r="I108" s="107" t="b">
        <v>0</v>
      </c>
      <c r="J108" s="107"/>
      <c r="K108" s="106"/>
      <c r="L108" s="110" t="str">
        <f t="shared" si="18"/>
        <v/>
      </c>
      <c r="M108" s="106" t="str">
        <f t="shared" si="19"/>
        <v/>
      </c>
      <c r="N108" s="111" t="str">
        <f t="shared" si="20"/>
        <v/>
      </c>
    </row>
    <row r="109">
      <c r="A109" s="112"/>
      <c r="B109" s="113"/>
      <c r="C109" s="113"/>
      <c r="D109" s="113"/>
      <c r="E109" s="113"/>
      <c r="F109" s="114"/>
      <c r="G109" s="114"/>
      <c r="H109" s="115"/>
      <c r="I109" s="115" t="b">
        <v>0</v>
      </c>
      <c r="J109" s="115"/>
      <c r="K109" s="114"/>
      <c r="L109" s="116"/>
      <c r="M109" s="114"/>
      <c r="N109" s="117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</row>
    <row r="110">
      <c r="A110" s="104"/>
      <c r="B110" s="105"/>
      <c r="C110" s="105"/>
      <c r="D110" s="105"/>
      <c r="E110" s="105" t="s">
        <v>1126</v>
      </c>
      <c r="F110" s="119" t="s">
        <v>1127</v>
      </c>
      <c r="G110" s="106">
        <v>7.13</v>
      </c>
      <c r="H110" s="107">
        <v>45941.0</v>
      </c>
      <c r="I110" s="107" t="b">
        <v>0</v>
      </c>
      <c r="J110" s="107"/>
      <c r="K110" s="106"/>
      <c r="L110" s="110" t="str">
        <f t="shared" ref="L110:L159" si="21">IF(ISBLANK(J110),"",J110-H110)</f>
        <v/>
      </c>
      <c r="M110" s="106" t="str">
        <f t="shared" ref="M110:M159" si="22">IF(K110="","",IF(K110-G110&lt;0,"",K110-G110))</f>
        <v/>
      </c>
      <c r="N110" s="111" t="str">
        <f t="shared" ref="N110:N159" si="23">IF(K110="","",IF(K110/G110&lt;0,"",K110/G110))</f>
        <v/>
      </c>
    </row>
    <row r="111">
      <c r="A111" s="104"/>
      <c r="B111" s="105"/>
      <c r="C111" s="105"/>
      <c r="D111" s="105"/>
      <c r="E111" s="105" t="s">
        <v>1128</v>
      </c>
      <c r="F111" s="119" t="s">
        <v>1129</v>
      </c>
      <c r="G111" s="106">
        <v>7.13</v>
      </c>
      <c r="H111" s="107">
        <v>45941.0</v>
      </c>
      <c r="I111" s="107" t="b">
        <v>0</v>
      </c>
      <c r="J111" s="107"/>
      <c r="K111" s="106"/>
      <c r="L111" s="110" t="str">
        <f t="shared" si="21"/>
        <v/>
      </c>
      <c r="M111" s="106" t="str">
        <f t="shared" si="22"/>
        <v/>
      </c>
      <c r="N111" s="111" t="str">
        <f t="shared" si="23"/>
        <v/>
      </c>
    </row>
    <row r="112">
      <c r="A112" s="104"/>
      <c r="B112" s="105"/>
      <c r="C112" s="105"/>
      <c r="D112" s="105"/>
      <c r="E112" s="105" t="s">
        <v>1130</v>
      </c>
      <c r="F112" s="119" t="s">
        <v>1131</v>
      </c>
      <c r="G112" s="106">
        <v>7.13</v>
      </c>
      <c r="H112" s="107">
        <v>45942.0</v>
      </c>
      <c r="I112" s="107" t="b">
        <v>0</v>
      </c>
      <c r="J112" s="107"/>
      <c r="K112" s="106"/>
      <c r="L112" s="110" t="str">
        <f t="shared" si="21"/>
        <v/>
      </c>
      <c r="M112" s="106" t="str">
        <f t="shared" si="22"/>
        <v/>
      </c>
      <c r="N112" s="111" t="str">
        <f t="shared" si="23"/>
        <v/>
      </c>
    </row>
    <row r="113">
      <c r="A113" s="104"/>
      <c r="B113" s="105"/>
      <c r="C113" s="105"/>
      <c r="D113" s="105"/>
      <c r="E113" s="105" t="s">
        <v>1132</v>
      </c>
      <c r="F113" s="119" t="s">
        <v>1133</v>
      </c>
      <c r="G113" s="106">
        <v>7.13</v>
      </c>
      <c r="H113" s="107">
        <v>45942.0</v>
      </c>
      <c r="I113" s="107" t="b">
        <v>0</v>
      </c>
      <c r="J113" s="107"/>
      <c r="K113" s="106"/>
      <c r="L113" s="110" t="str">
        <f t="shared" si="21"/>
        <v/>
      </c>
      <c r="M113" s="106" t="str">
        <f t="shared" si="22"/>
        <v/>
      </c>
      <c r="N113" s="111" t="str">
        <f t="shared" si="23"/>
        <v/>
      </c>
    </row>
    <row r="114">
      <c r="A114" s="104"/>
      <c r="B114" s="105"/>
      <c r="C114" s="105"/>
      <c r="D114" s="105"/>
      <c r="E114" s="105" t="s">
        <v>1134</v>
      </c>
      <c r="F114" s="119" t="s">
        <v>1135</v>
      </c>
      <c r="G114" s="106">
        <v>7.13</v>
      </c>
      <c r="H114" s="107">
        <v>45943.0</v>
      </c>
      <c r="I114" s="107" t="b">
        <v>0</v>
      </c>
      <c r="J114" s="107"/>
      <c r="K114" s="106"/>
      <c r="L114" s="110" t="str">
        <f t="shared" si="21"/>
        <v/>
      </c>
      <c r="M114" s="106" t="str">
        <f t="shared" si="22"/>
        <v/>
      </c>
      <c r="N114" s="111" t="str">
        <f t="shared" si="23"/>
        <v/>
      </c>
    </row>
    <row r="115">
      <c r="A115" s="104"/>
      <c r="B115" s="105"/>
      <c r="C115" s="105"/>
      <c r="D115" s="105"/>
      <c r="E115" s="105" t="s">
        <v>1136</v>
      </c>
      <c r="F115" s="119" t="s">
        <v>1137</v>
      </c>
      <c r="G115" s="106">
        <v>7.13</v>
      </c>
      <c r="H115" s="107">
        <v>45943.0</v>
      </c>
      <c r="I115" s="107" t="b">
        <v>0</v>
      </c>
      <c r="J115" s="107"/>
      <c r="K115" s="106"/>
      <c r="L115" s="110" t="str">
        <f t="shared" si="21"/>
        <v/>
      </c>
      <c r="M115" s="106" t="str">
        <f t="shared" si="22"/>
        <v/>
      </c>
      <c r="N115" s="111" t="str">
        <f t="shared" si="23"/>
        <v/>
      </c>
    </row>
    <row r="116">
      <c r="A116" s="104"/>
      <c r="B116" s="105"/>
      <c r="C116" s="105"/>
      <c r="D116" s="105"/>
      <c r="E116" s="105" t="s">
        <v>1138</v>
      </c>
      <c r="F116" s="119" t="s">
        <v>1139</v>
      </c>
      <c r="G116" s="106">
        <v>7.13</v>
      </c>
      <c r="H116" s="107">
        <v>45943.0</v>
      </c>
      <c r="I116" s="107" t="b">
        <v>0</v>
      </c>
      <c r="J116" s="107"/>
      <c r="K116" s="106"/>
      <c r="L116" s="110" t="str">
        <f t="shared" si="21"/>
        <v/>
      </c>
      <c r="M116" s="106" t="str">
        <f t="shared" si="22"/>
        <v/>
      </c>
      <c r="N116" s="111" t="str">
        <f t="shared" si="23"/>
        <v/>
      </c>
    </row>
    <row r="117">
      <c r="A117" s="104"/>
      <c r="B117" s="105"/>
      <c r="C117" s="105"/>
      <c r="D117" s="105"/>
      <c r="E117" s="105" t="s">
        <v>1140</v>
      </c>
      <c r="F117" s="119" t="s">
        <v>1141</v>
      </c>
      <c r="G117" s="106">
        <v>7.13</v>
      </c>
      <c r="H117" s="107">
        <v>45944.0</v>
      </c>
      <c r="I117" s="107" t="b">
        <v>0</v>
      </c>
      <c r="J117" s="107"/>
      <c r="K117" s="106"/>
      <c r="L117" s="110" t="str">
        <f t="shared" si="21"/>
        <v/>
      </c>
      <c r="M117" s="106" t="str">
        <f t="shared" si="22"/>
        <v/>
      </c>
      <c r="N117" s="111" t="str">
        <f t="shared" si="23"/>
        <v/>
      </c>
    </row>
    <row r="118">
      <c r="A118" s="104"/>
      <c r="B118" s="105"/>
      <c r="C118" s="105"/>
      <c r="D118" s="105"/>
      <c r="E118" s="105" t="s">
        <v>1142</v>
      </c>
      <c r="F118" s="119" t="s">
        <v>1143</v>
      </c>
      <c r="G118" s="106">
        <v>7.13</v>
      </c>
      <c r="H118" s="107">
        <v>45944.0</v>
      </c>
      <c r="I118" s="107" t="b">
        <v>0</v>
      </c>
      <c r="J118" s="107"/>
      <c r="K118" s="106"/>
      <c r="L118" s="110" t="str">
        <f t="shared" si="21"/>
        <v/>
      </c>
      <c r="M118" s="106" t="str">
        <f t="shared" si="22"/>
        <v/>
      </c>
      <c r="N118" s="111" t="str">
        <f t="shared" si="23"/>
        <v/>
      </c>
    </row>
    <row r="119">
      <c r="A119" s="104"/>
      <c r="B119" s="105"/>
      <c r="C119" s="105"/>
      <c r="D119" s="105"/>
      <c r="E119" s="105" t="s">
        <v>1144</v>
      </c>
      <c r="F119" s="119" t="s">
        <v>1145</v>
      </c>
      <c r="G119" s="106">
        <v>7.13</v>
      </c>
      <c r="H119" s="107">
        <v>45944.0</v>
      </c>
      <c r="I119" s="107" t="b">
        <v>0</v>
      </c>
      <c r="J119" s="107"/>
      <c r="K119" s="106"/>
      <c r="L119" s="110" t="str">
        <f t="shared" si="21"/>
        <v/>
      </c>
      <c r="M119" s="106" t="str">
        <f t="shared" si="22"/>
        <v/>
      </c>
      <c r="N119" s="111" t="str">
        <f t="shared" si="23"/>
        <v/>
      </c>
    </row>
    <row r="120">
      <c r="A120" s="104"/>
      <c r="B120" s="105"/>
      <c r="C120" s="105"/>
      <c r="D120" s="105"/>
      <c r="E120" s="105" t="s">
        <v>1146</v>
      </c>
      <c r="F120" s="119" t="s">
        <v>1147</v>
      </c>
      <c r="G120" s="106">
        <v>7.13</v>
      </c>
      <c r="H120" s="107">
        <v>45945.0</v>
      </c>
      <c r="I120" s="107" t="b">
        <v>0</v>
      </c>
      <c r="J120" s="107"/>
      <c r="K120" s="106"/>
      <c r="L120" s="110" t="str">
        <f t="shared" si="21"/>
        <v/>
      </c>
      <c r="M120" s="106" t="str">
        <f t="shared" si="22"/>
        <v/>
      </c>
      <c r="N120" s="111" t="str">
        <f t="shared" si="23"/>
        <v/>
      </c>
    </row>
    <row r="121">
      <c r="A121" s="104"/>
      <c r="B121" s="105"/>
      <c r="C121" s="105"/>
      <c r="D121" s="105"/>
      <c r="E121" s="105" t="s">
        <v>1148</v>
      </c>
      <c r="F121" s="119" t="s">
        <v>1149</v>
      </c>
      <c r="G121" s="106">
        <v>7.13</v>
      </c>
      <c r="H121" s="107">
        <v>45945.0</v>
      </c>
      <c r="I121" s="107" t="b">
        <v>0</v>
      </c>
      <c r="J121" s="107"/>
      <c r="K121" s="106"/>
      <c r="L121" s="110" t="str">
        <f t="shared" si="21"/>
        <v/>
      </c>
      <c r="M121" s="106" t="str">
        <f t="shared" si="22"/>
        <v/>
      </c>
      <c r="N121" s="111" t="str">
        <f t="shared" si="23"/>
        <v/>
      </c>
    </row>
    <row r="122">
      <c r="A122" s="104"/>
      <c r="B122" s="105"/>
      <c r="C122" s="105"/>
      <c r="D122" s="105"/>
      <c r="E122" s="105" t="s">
        <v>1150</v>
      </c>
      <c r="F122" s="119" t="s">
        <v>1151</v>
      </c>
      <c r="G122" s="106">
        <v>7.13</v>
      </c>
      <c r="H122" s="107">
        <v>45945.0</v>
      </c>
      <c r="I122" s="107" t="b">
        <v>0</v>
      </c>
      <c r="J122" s="107"/>
      <c r="K122" s="106"/>
      <c r="L122" s="110" t="str">
        <f t="shared" si="21"/>
        <v/>
      </c>
      <c r="M122" s="106" t="str">
        <f t="shared" si="22"/>
        <v/>
      </c>
      <c r="N122" s="111" t="str">
        <f t="shared" si="23"/>
        <v/>
      </c>
    </row>
    <row r="123">
      <c r="A123" s="104"/>
      <c r="B123" s="105"/>
      <c r="C123" s="105"/>
      <c r="D123" s="105"/>
      <c r="E123" s="105" t="s">
        <v>1152</v>
      </c>
      <c r="F123" s="119" t="s">
        <v>1153</v>
      </c>
      <c r="G123" s="106">
        <v>7.13</v>
      </c>
      <c r="H123" s="107">
        <v>45946.0</v>
      </c>
      <c r="I123" s="107" t="b">
        <v>0</v>
      </c>
      <c r="J123" s="107"/>
      <c r="K123" s="106"/>
      <c r="L123" s="110" t="str">
        <f t="shared" si="21"/>
        <v/>
      </c>
      <c r="M123" s="106" t="str">
        <f t="shared" si="22"/>
        <v/>
      </c>
      <c r="N123" s="111" t="str">
        <f t="shared" si="23"/>
        <v/>
      </c>
    </row>
    <row r="124">
      <c r="A124" s="104"/>
      <c r="B124" s="105"/>
      <c r="C124" s="105"/>
      <c r="D124" s="105"/>
      <c r="E124" s="105" t="s">
        <v>1154</v>
      </c>
      <c r="F124" s="119" t="s">
        <v>1155</v>
      </c>
      <c r="G124" s="106">
        <v>7.13</v>
      </c>
      <c r="H124" s="107">
        <v>45946.0</v>
      </c>
      <c r="I124" s="107" t="b">
        <v>0</v>
      </c>
      <c r="J124" s="107"/>
      <c r="K124" s="106"/>
      <c r="L124" s="110" t="str">
        <f t="shared" si="21"/>
        <v/>
      </c>
      <c r="M124" s="106" t="str">
        <f t="shared" si="22"/>
        <v/>
      </c>
      <c r="N124" s="111" t="str">
        <f t="shared" si="23"/>
        <v/>
      </c>
    </row>
    <row r="125">
      <c r="A125" s="104"/>
      <c r="B125" s="105"/>
      <c r="C125" s="105"/>
      <c r="D125" s="105"/>
      <c r="E125" s="105" t="s">
        <v>1156</v>
      </c>
      <c r="F125" s="119" t="s">
        <v>1157</v>
      </c>
      <c r="G125" s="106">
        <v>7.13</v>
      </c>
      <c r="H125" s="107">
        <v>45946.0</v>
      </c>
      <c r="I125" s="107" t="b">
        <v>0</v>
      </c>
      <c r="J125" s="107"/>
      <c r="K125" s="106"/>
      <c r="L125" s="110" t="str">
        <f t="shared" si="21"/>
        <v/>
      </c>
      <c r="M125" s="106" t="str">
        <f t="shared" si="22"/>
        <v/>
      </c>
      <c r="N125" s="111" t="str">
        <f t="shared" si="23"/>
        <v/>
      </c>
    </row>
    <row r="126">
      <c r="A126" s="104"/>
      <c r="B126" s="105"/>
      <c r="C126" s="105"/>
      <c r="D126" s="105"/>
      <c r="E126" s="105" t="s">
        <v>1158</v>
      </c>
      <c r="F126" s="119" t="s">
        <v>1159</v>
      </c>
      <c r="G126" s="106">
        <v>7.13</v>
      </c>
      <c r="H126" s="107">
        <v>45946.0</v>
      </c>
      <c r="I126" s="107" t="b">
        <v>0</v>
      </c>
      <c r="J126" s="107"/>
      <c r="K126" s="106"/>
      <c r="L126" s="110" t="str">
        <f t="shared" si="21"/>
        <v/>
      </c>
      <c r="M126" s="106" t="str">
        <f t="shared" si="22"/>
        <v/>
      </c>
      <c r="N126" s="111" t="str">
        <f t="shared" si="23"/>
        <v/>
      </c>
    </row>
    <row r="127">
      <c r="A127" s="104"/>
      <c r="B127" s="105"/>
      <c r="C127" s="105"/>
      <c r="D127" s="105"/>
      <c r="E127" s="105" t="s">
        <v>1160</v>
      </c>
      <c r="F127" s="119" t="s">
        <v>1161</v>
      </c>
      <c r="G127" s="106">
        <v>7.13</v>
      </c>
      <c r="H127" s="107">
        <v>45947.0</v>
      </c>
      <c r="I127" s="107" t="b">
        <v>0</v>
      </c>
      <c r="J127" s="107"/>
      <c r="K127" s="106"/>
      <c r="L127" s="110" t="str">
        <f t="shared" si="21"/>
        <v/>
      </c>
      <c r="M127" s="106" t="str">
        <f t="shared" si="22"/>
        <v/>
      </c>
      <c r="N127" s="111" t="str">
        <f t="shared" si="23"/>
        <v/>
      </c>
    </row>
    <row r="128">
      <c r="A128" s="104"/>
      <c r="B128" s="105"/>
      <c r="C128" s="105"/>
      <c r="D128" s="105"/>
      <c r="E128" s="105" t="s">
        <v>1162</v>
      </c>
      <c r="F128" s="119" t="s">
        <v>1163</v>
      </c>
      <c r="G128" s="106">
        <v>7.13</v>
      </c>
      <c r="H128" s="107">
        <v>45947.0</v>
      </c>
      <c r="I128" s="107" t="b">
        <v>0</v>
      </c>
      <c r="J128" s="107"/>
      <c r="K128" s="106"/>
      <c r="L128" s="110" t="str">
        <f t="shared" si="21"/>
        <v/>
      </c>
      <c r="M128" s="106" t="str">
        <f t="shared" si="22"/>
        <v/>
      </c>
      <c r="N128" s="111" t="str">
        <f t="shared" si="23"/>
        <v/>
      </c>
    </row>
    <row r="129">
      <c r="A129" s="104"/>
      <c r="B129" s="105"/>
      <c r="C129" s="105"/>
      <c r="D129" s="105"/>
      <c r="E129" s="105" t="s">
        <v>1164</v>
      </c>
      <c r="F129" s="119" t="s">
        <v>1165</v>
      </c>
      <c r="G129" s="106">
        <v>7.13</v>
      </c>
      <c r="H129" s="107">
        <v>45947.0</v>
      </c>
      <c r="I129" s="107" t="b">
        <v>0</v>
      </c>
      <c r="J129" s="107"/>
      <c r="K129" s="106"/>
      <c r="L129" s="110" t="str">
        <f t="shared" si="21"/>
        <v/>
      </c>
      <c r="M129" s="106" t="str">
        <f t="shared" si="22"/>
        <v/>
      </c>
      <c r="N129" s="111" t="str">
        <f t="shared" si="23"/>
        <v/>
      </c>
    </row>
    <row r="130">
      <c r="A130" s="104"/>
      <c r="B130" s="105"/>
      <c r="C130" s="105"/>
      <c r="D130" s="105"/>
      <c r="E130" s="105" t="s">
        <v>1166</v>
      </c>
      <c r="F130" s="119" t="s">
        <v>1167</v>
      </c>
      <c r="G130" s="106">
        <v>7.13</v>
      </c>
      <c r="H130" s="107">
        <v>45948.0</v>
      </c>
      <c r="I130" s="107" t="b">
        <v>0</v>
      </c>
      <c r="J130" s="107"/>
      <c r="K130" s="106"/>
      <c r="L130" s="110" t="str">
        <f t="shared" si="21"/>
        <v/>
      </c>
      <c r="M130" s="106" t="str">
        <f t="shared" si="22"/>
        <v/>
      </c>
      <c r="N130" s="111" t="str">
        <f t="shared" si="23"/>
        <v/>
      </c>
    </row>
    <row r="131">
      <c r="A131" s="104"/>
      <c r="B131" s="105"/>
      <c r="C131" s="105"/>
      <c r="D131" s="105"/>
      <c r="E131" s="105" t="s">
        <v>1168</v>
      </c>
      <c r="F131" s="119" t="s">
        <v>1169</v>
      </c>
      <c r="G131" s="106">
        <v>7.13</v>
      </c>
      <c r="H131" s="107">
        <v>45948.0</v>
      </c>
      <c r="I131" s="107" t="b">
        <v>0</v>
      </c>
      <c r="J131" s="107"/>
      <c r="K131" s="106"/>
      <c r="L131" s="110" t="str">
        <f t="shared" si="21"/>
        <v/>
      </c>
      <c r="M131" s="106" t="str">
        <f t="shared" si="22"/>
        <v/>
      </c>
      <c r="N131" s="111" t="str">
        <f t="shared" si="23"/>
        <v/>
      </c>
    </row>
    <row r="132">
      <c r="A132" s="104"/>
      <c r="B132" s="105"/>
      <c r="C132" s="105"/>
      <c r="D132" s="105"/>
      <c r="E132" s="105" t="s">
        <v>1170</v>
      </c>
      <c r="F132" s="119" t="s">
        <v>1171</v>
      </c>
      <c r="G132" s="106">
        <v>7.13</v>
      </c>
      <c r="H132" s="107">
        <v>45948.0</v>
      </c>
      <c r="I132" s="107" t="b">
        <v>0</v>
      </c>
      <c r="J132" s="107"/>
      <c r="K132" s="106"/>
      <c r="L132" s="110" t="str">
        <f t="shared" si="21"/>
        <v/>
      </c>
      <c r="M132" s="106" t="str">
        <f t="shared" si="22"/>
        <v/>
      </c>
      <c r="N132" s="111" t="str">
        <f t="shared" si="23"/>
        <v/>
      </c>
    </row>
    <row r="133">
      <c r="A133" s="104"/>
      <c r="B133" s="105"/>
      <c r="C133" s="105"/>
      <c r="D133" s="105"/>
      <c r="E133" s="105" t="s">
        <v>1172</v>
      </c>
      <c r="F133" s="119" t="s">
        <v>1173</v>
      </c>
      <c r="G133" s="106">
        <v>7.13</v>
      </c>
      <c r="H133" s="107">
        <v>45949.0</v>
      </c>
      <c r="I133" s="107" t="b">
        <v>0</v>
      </c>
      <c r="J133" s="107"/>
      <c r="K133" s="106"/>
      <c r="L133" s="110" t="str">
        <f t="shared" si="21"/>
        <v/>
      </c>
      <c r="M133" s="106" t="str">
        <f t="shared" si="22"/>
        <v/>
      </c>
      <c r="N133" s="111" t="str">
        <f t="shared" si="23"/>
        <v/>
      </c>
    </row>
    <row r="134">
      <c r="A134" s="104"/>
      <c r="B134" s="105"/>
      <c r="C134" s="105"/>
      <c r="D134" s="105"/>
      <c r="E134" s="105" t="s">
        <v>1174</v>
      </c>
      <c r="F134" s="119" t="s">
        <v>1175</v>
      </c>
      <c r="G134" s="106">
        <v>7.13</v>
      </c>
      <c r="H134" s="107">
        <v>45949.0</v>
      </c>
      <c r="I134" s="107" t="b">
        <v>0</v>
      </c>
      <c r="J134" s="107"/>
      <c r="K134" s="106"/>
      <c r="L134" s="110" t="str">
        <f t="shared" si="21"/>
        <v/>
      </c>
      <c r="M134" s="106" t="str">
        <f t="shared" si="22"/>
        <v/>
      </c>
      <c r="N134" s="111" t="str">
        <f t="shared" si="23"/>
        <v/>
      </c>
    </row>
    <row r="135">
      <c r="A135" s="104"/>
      <c r="B135" s="105"/>
      <c r="C135" s="105"/>
      <c r="D135" s="105"/>
      <c r="E135" s="105" t="s">
        <v>1176</v>
      </c>
      <c r="F135" s="119" t="s">
        <v>1177</v>
      </c>
      <c r="G135" s="106">
        <v>7.13</v>
      </c>
      <c r="H135" s="107">
        <v>45949.0</v>
      </c>
      <c r="I135" s="107" t="b">
        <v>0</v>
      </c>
      <c r="J135" s="107"/>
      <c r="K135" s="106"/>
      <c r="L135" s="110" t="str">
        <f t="shared" si="21"/>
        <v/>
      </c>
      <c r="M135" s="106" t="str">
        <f t="shared" si="22"/>
        <v/>
      </c>
      <c r="N135" s="111" t="str">
        <f t="shared" si="23"/>
        <v/>
      </c>
    </row>
    <row r="136">
      <c r="A136" s="104"/>
      <c r="B136" s="105"/>
      <c r="C136" s="105"/>
      <c r="D136" s="105"/>
      <c r="E136" s="105" t="s">
        <v>1178</v>
      </c>
      <c r="F136" s="119" t="s">
        <v>1179</v>
      </c>
      <c r="G136" s="106">
        <v>7.13</v>
      </c>
      <c r="H136" s="107">
        <v>45949.0</v>
      </c>
      <c r="I136" s="107" t="b">
        <v>0</v>
      </c>
      <c r="J136" s="107"/>
      <c r="K136" s="106"/>
      <c r="L136" s="110" t="str">
        <f t="shared" si="21"/>
        <v/>
      </c>
      <c r="M136" s="106" t="str">
        <f t="shared" si="22"/>
        <v/>
      </c>
      <c r="N136" s="111" t="str">
        <f t="shared" si="23"/>
        <v/>
      </c>
    </row>
    <row r="137">
      <c r="A137" s="104"/>
      <c r="B137" s="105"/>
      <c r="C137" s="105"/>
      <c r="D137" s="105"/>
      <c r="E137" s="105" t="s">
        <v>1180</v>
      </c>
      <c r="F137" s="119" t="s">
        <v>1181</v>
      </c>
      <c r="G137" s="106">
        <v>7.13</v>
      </c>
      <c r="H137" s="107">
        <v>45949.0</v>
      </c>
      <c r="I137" s="107" t="b">
        <v>0</v>
      </c>
      <c r="J137" s="107"/>
      <c r="K137" s="106"/>
      <c r="L137" s="110" t="str">
        <f t="shared" si="21"/>
        <v/>
      </c>
      <c r="M137" s="106" t="str">
        <f t="shared" si="22"/>
        <v/>
      </c>
      <c r="N137" s="111" t="str">
        <f t="shared" si="23"/>
        <v/>
      </c>
    </row>
    <row r="138">
      <c r="A138" s="104"/>
      <c r="B138" s="105"/>
      <c r="C138" s="105"/>
      <c r="D138" s="105"/>
      <c r="E138" s="105" t="s">
        <v>1182</v>
      </c>
      <c r="F138" s="119" t="s">
        <v>1183</v>
      </c>
      <c r="G138" s="106">
        <v>7.13</v>
      </c>
      <c r="H138" s="107">
        <v>45950.0</v>
      </c>
      <c r="I138" s="107" t="b">
        <v>0</v>
      </c>
      <c r="J138" s="107"/>
      <c r="K138" s="106"/>
      <c r="L138" s="110" t="str">
        <f t="shared" si="21"/>
        <v/>
      </c>
      <c r="M138" s="106" t="str">
        <f t="shared" si="22"/>
        <v/>
      </c>
      <c r="N138" s="111" t="str">
        <f t="shared" si="23"/>
        <v/>
      </c>
    </row>
    <row r="139">
      <c r="A139" s="104"/>
      <c r="B139" s="105"/>
      <c r="C139" s="105"/>
      <c r="D139" s="105"/>
      <c r="E139" s="105" t="s">
        <v>1184</v>
      </c>
      <c r="F139" s="119" t="s">
        <v>1185</v>
      </c>
      <c r="G139" s="106">
        <v>7.13</v>
      </c>
      <c r="H139" s="107">
        <v>45950.0</v>
      </c>
      <c r="I139" s="107" t="b">
        <v>0</v>
      </c>
      <c r="J139" s="107"/>
      <c r="K139" s="106"/>
      <c r="L139" s="110" t="str">
        <f t="shared" si="21"/>
        <v/>
      </c>
      <c r="M139" s="106" t="str">
        <f t="shared" si="22"/>
        <v/>
      </c>
      <c r="N139" s="111" t="str">
        <f t="shared" si="23"/>
        <v/>
      </c>
    </row>
    <row r="140">
      <c r="A140" s="104"/>
      <c r="B140" s="105"/>
      <c r="C140" s="105"/>
      <c r="D140" s="105"/>
      <c r="E140" s="105" t="s">
        <v>1186</v>
      </c>
      <c r="F140" s="119" t="s">
        <v>1187</v>
      </c>
      <c r="G140" s="106">
        <v>7.13</v>
      </c>
      <c r="H140" s="107">
        <v>45950.0</v>
      </c>
      <c r="I140" s="107" t="b">
        <v>0</v>
      </c>
      <c r="J140" s="107"/>
      <c r="K140" s="106"/>
      <c r="L140" s="110" t="str">
        <f t="shared" si="21"/>
        <v/>
      </c>
      <c r="M140" s="106" t="str">
        <f t="shared" si="22"/>
        <v/>
      </c>
      <c r="N140" s="111" t="str">
        <f t="shared" si="23"/>
        <v/>
      </c>
    </row>
    <row r="141">
      <c r="A141" s="104"/>
      <c r="B141" s="105"/>
      <c r="C141" s="105"/>
      <c r="D141" s="105"/>
      <c r="E141" s="105" t="s">
        <v>1188</v>
      </c>
      <c r="F141" s="119" t="s">
        <v>1189</v>
      </c>
      <c r="G141" s="106">
        <v>7.13</v>
      </c>
      <c r="H141" s="107">
        <v>45951.0</v>
      </c>
      <c r="I141" s="107" t="b">
        <v>0</v>
      </c>
      <c r="J141" s="107"/>
      <c r="K141" s="106"/>
      <c r="L141" s="110" t="str">
        <f t="shared" si="21"/>
        <v/>
      </c>
      <c r="M141" s="106" t="str">
        <f t="shared" si="22"/>
        <v/>
      </c>
      <c r="N141" s="111" t="str">
        <f t="shared" si="23"/>
        <v/>
      </c>
    </row>
    <row r="142">
      <c r="A142" s="104"/>
      <c r="B142" s="105"/>
      <c r="C142" s="105"/>
      <c r="D142" s="105"/>
      <c r="E142" s="105" t="s">
        <v>1190</v>
      </c>
      <c r="F142" s="119" t="s">
        <v>1191</v>
      </c>
      <c r="G142" s="106">
        <v>7.13</v>
      </c>
      <c r="H142" s="107">
        <v>45951.0</v>
      </c>
      <c r="I142" s="107" t="b">
        <v>0</v>
      </c>
      <c r="J142" s="107"/>
      <c r="K142" s="106"/>
      <c r="L142" s="110" t="str">
        <f t="shared" si="21"/>
        <v/>
      </c>
      <c r="M142" s="106" t="str">
        <f t="shared" si="22"/>
        <v/>
      </c>
      <c r="N142" s="111" t="str">
        <f t="shared" si="23"/>
        <v/>
      </c>
    </row>
    <row r="143">
      <c r="A143" s="104"/>
      <c r="B143" s="105"/>
      <c r="C143" s="105"/>
      <c r="D143" s="105"/>
      <c r="E143" s="105" t="s">
        <v>1192</v>
      </c>
      <c r="F143" s="119" t="s">
        <v>1193</v>
      </c>
      <c r="G143" s="106">
        <v>7.13</v>
      </c>
      <c r="H143" s="107">
        <v>45951.0</v>
      </c>
      <c r="I143" s="107" t="b">
        <v>0</v>
      </c>
      <c r="J143" s="107"/>
      <c r="K143" s="106"/>
      <c r="L143" s="110" t="str">
        <f t="shared" si="21"/>
        <v/>
      </c>
      <c r="M143" s="106" t="str">
        <f t="shared" si="22"/>
        <v/>
      </c>
      <c r="N143" s="111" t="str">
        <f t="shared" si="23"/>
        <v/>
      </c>
    </row>
    <row r="144">
      <c r="A144" s="104"/>
      <c r="B144" s="105"/>
      <c r="C144" s="105"/>
      <c r="D144" s="105"/>
      <c r="E144" s="105" t="s">
        <v>1194</v>
      </c>
      <c r="F144" s="119" t="s">
        <v>1195</v>
      </c>
      <c r="G144" s="106">
        <v>7.13</v>
      </c>
      <c r="H144" s="107">
        <v>45951.0</v>
      </c>
      <c r="I144" s="107" t="b">
        <v>0</v>
      </c>
      <c r="J144" s="107"/>
      <c r="K144" s="106"/>
      <c r="L144" s="110" t="str">
        <f t="shared" si="21"/>
        <v/>
      </c>
      <c r="M144" s="106" t="str">
        <f t="shared" si="22"/>
        <v/>
      </c>
      <c r="N144" s="111" t="str">
        <f t="shared" si="23"/>
        <v/>
      </c>
    </row>
    <row r="145">
      <c r="A145" s="104"/>
      <c r="B145" s="105"/>
      <c r="C145" s="105"/>
      <c r="D145" s="105"/>
      <c r="E145" s="105" t="s">
        <v>1196</v>
      </c>
      <c r="F145" s="119" t="s">
        <v>1197</v>
      </c>
      <c r="G145" s="106">
        <v>7.13</v>
      </c>
      <c r="H145" s="107">
        <v>45951.0</v>
      </c>
      <c r="I145" s="107" t="b">
        <v>0</v>
      </c>
      <c r="J145" s="107"/>
      <c r="K145" s="106"/>
      <c r="L145" s="110" t="str">
        <f t="shared" si="21"/>
        <v/>
      </c>
      <c r="M145" s="106" t="str">
        <f t="shared" si="22"/>
        <v/>
      </c>
      <c r="N145" s="111" t="str">
        <f t="shared" si="23"/>
        <v/>
      </c>
    </row>
    <row r="146">
      <c r="A146" s="104"/>
      <c r="B146" s="105"/>
      <c r="C146" s="105"/>
      <c r="D146" s="105"/>
      <c r="E146" s="105" t="s">
        <v>1198</v>
      </c>
      <c r="F146" s="119" t="s">
        <v>1199</v>
      </c>
      <c r="G146" s="106">
        <v>7.13</v>
      </c>
      <c r="H146" s="107">
        <v>45952.0</v>
      </c>
      <c r="I146" s="107" t="b">
        <v>0</v>
      </c>
      <c r="J146" s="107"/>
      <c r="K146" s="106"/>
      <c r="L146" s="110" t="str">
        <f t="shared" si="21"/>
        <v/>
      </c>
      <c r="M146" s="106" t="str">
        <f t="shared" si="22"/>
        <v/>
      </c>
      <c r="N146" s="111" t="str">
        <f t="shared" si="23"/>
        <v/>
      </c>
    </row>
    <row r="147">
      <c r="A147" s="104"/>
      <c r="B147" s="105"/>
      <c r="C147" s="105"/>
      <c r="D147" s="105"/>
      <c r="E147" s="105" t="s">
        <v>1200</v>
      </c>
      <c r="F147" s="119" t="s">
        <v>1201</v>
      </c>
      <c r="G147" s="106">
        <v>7.13</v>
      </c>
      <c r="H147" s="107">
        <v>45952.0</v>
      </c>
      <c r="I147" s="107" t="b">
        <v>0</v>
      </c>
      <c r="J147" s="107"/>
      <c r="K147" s="106"/>
      <c r="L147" s="110" t="str">
        <f t="shared" si="21"/>
        <v/>
      </c>
      <c r="M147" s="106" t="str">
        <f t="shared" si="22"/>
        <v/>
      </c>
      <c r="N147" s="111" t="str">
        <f t="shared" si="23"/>
        <v/>
      </c>
    </row>
    <row r="148">
      <c r="A148" s="104"/>
      <c r="B148" s="105"/>
      <c r="C148" s="105"/>
      <c r="D148" s="105"/>
      <c r="E148" s="105" t="s">
        <v>1202</v>
      </c>
      <c r="F148" s="119" t="s">
        <v>1203</v>
      </c>
      <c r="G148" s="106">
        <v>7.13</v>
      </c>
      <c r="H148" s="107">
        <v>45952.0</v>
      </c>
      <c r="I148" s="107" t="b">
        <v>0</v>
      </c>
      <c r="J148" s="107"/>
      <c r="K148" s="106"/>
      <c r="L148" s="110" t="str">
        <f t="shared" si="21"/>
        <v/>
      </c>
      <c r="M148" s="106" t="str">
        <f t="shared" si="22"/>
        <v/>
      </c>
      <c r="N148" s="111" t="str">
        <f t="shared" si="23"/>
        <v/>
      </c>
    </row>
    <row r="149">
      <c r="A149" s="104"/>
      <c r="B149" s="105"/>
      <c r="C149" s="105"/>
      <c r="D149" s="105"/>
      <c r="E149" s="105" t="s">
        <v>1204</v>
      </c>
      <c r="F149" s="119" t="s">
        <v>1205</v>
      </c>
      <c r="G149" s="106">
        <v>7.13</v>
      </c>
      <c r="H149" s="107">
        <v>45952.0</v>
      </c>
      <c r="I149" s="107" t="b">
        <v>0</v>
      </c>
      <c r="J149" s="107"/>
      <c r="K149" s="106"/>
      <c r="L149" s="110" t="str">
        <f t="shared" si="21"/>
        <v/>
      </c>
      <c r="M149" s="106" t="str">
        <f t="shared" si="22"/>
        <v/>
      </c>
      <c r="N149" s="111" t="str">
        <f t="shared" si="23"/>
        <v/>
      </c>
    </row>
    <row r="150">
      <c r="A150" s="104"/>
      <c r="B150" s="105"/>
      <c r="C150" s="105"/>
      <c r="D150" s="105"/>
      <c r="E150" s="105" t="s">
        <v>1206</v>
      </c>
      <c r="F150" s="119" t="s">
        <v>1207</v>
      </c>
      <c r="G150" s="106">
        <v>7.13</v>
      </c>
      <c r="H150" s="107">
        <v>45952.0</v>
      </c>
      <c r="I150" s="107" t="b">
        <v>0</v>
      </c>
      <c r="J150" s="107"/>
      <c r="K150" s="106"/>
      <c r="L150" s="110" t="str">
        <f t="shared" si="21"/>
        <v/>
      </c>
      <c r="M150" s="106" t="str">
        <f t="shared" si="22"/>
        <v/>
      </c>
      <c r="N150" s="111" t="str">
        <f t="shared" si="23"/>
        <v/>
      </c>
    </row>
    <row r="151">
      <c r="A151" s="104"/>
      <c r="B151" s="105"/>
      <c r="C151" s="105"/>
      <c r="D151" s="105"/>
      <c r="E151" s="105" t="s">
        <v>1208</v>
      </c>
      <c r="F151" s="119" t="s">
        <v>1209</v>
      </c>
      <c r="G151" s="106">
        <v>7.13</v>
      </c>
      <c r="H151" s="107">
        <v>45952.0</v>
      </c>
      <c r="I151" s="107" t="b">
        <v>0</v>
      </c>
      <c r="J151" s="107"/>
      <c r="K151" s="106"/>
      <c r="L151" s="110" t="str">
        <f t="shared" si="21"/>
        <v/>
      </c>
      <c r="M151" s="106" t="str">
        <f t="shared" si="22"/>
        <v/>
      </c>
      <c r="N151" s="111" t="str">
        <f t="shared" si="23"/>
        <v/>
      </c>
    </row>
    <row r="152">
      <c r="A152" s="104"/>
      <c r="B152" s="105"/>
      <c r="C152" s="105"/>
      <c r="D152" s="105"/>
      <c r="E152" s="105" t="s">
        <v>1210</v>
      </c>
      <c r="F152" s="119" t="s">
        <v>1211</v>
      </c>
      <c r="G152" s="106">
        <v>7.13</v>
      </c>
      <c r="H152" s="107">
        <v>45953.0</v>
      </c>
      <c r="I152" s="107" t="b">
        <v>0</v>
      </c>
      <c r="J152" s="107"/>
      <c r="K152" s="106"/>
      <c r="L152" s="110" t="str">
        <f t="shared" si="21"/>
        <v/>
      </c>
      <c r="M152" s="106" t="str">
        <f t="shared" si="22"/>
        <v/>
      </c>
      <c r="N152" s="111" t="str">
        <f t="shared" si="23"/>
        <v/>
      </c>
    </row>
    <row r="153">
      <c r="A153" s="104"/>
      <c r="B153" s="105"/>
      <c r="C153" s="105"/>
      <c r="D153" s="105"/>
      <c r="E153" s="105" t="s">
        <v>1212</v>
      </c>
      <c r="F153" s="119" t="s">
        <v>1213</v>
      </c>
      <c r="G153" s="106">
        <v>7.13</v>
      </c>
      <c r="H153" s="107">
        <v>45953.0</v>
      </c>
      <c r="I153" s="107" t="b">
        <v>0</v>
      </c>
      <c r="J153" s="107"/>
      <c r="K153" s="106"/>
      <c r="L153" s="110" t="str">
        <f t="shared" si="21"/>
        <v/>
      </c>
      <c r="M153" s="106" t="str">
        <f t="shared" si="22"/>
        <v/>
      </c>
      <c r="N153" s="111" t="str">
        <f t="shared" si="23"/>
        <v/>
      </c>
    </row>
    <row r="154">
      <c r="A154" s="104"/>
      <c r="B154" s="105"/>
      <c r="C154" s="105"/>
      <c r="D154" s="105"/>
      <c r="E154" s="105" t="s">
        <v>1214</v>
      </c>
      <c r="F154" s="119" t="s">
        <v>1215</v>
      </c>
      <c r="G154" s="106">
        <v>7.13</v>
      </c>
      <c r="H154" s="107">
        <v>45953.0</v>
      </c>
      <c r="I154" s="107" t="b">
        <v>0</v>
      </c>
      <c r="J154" s="107"/>
      <c r="K154" s="106"/>
      <c r="L154" s="110" t="str">
        <f t="shared" si="21"/>
        <v/>
      </c>
      <c r="M154" s="106" t="str">
        <f t="shared" si="22"/>
        <v/>
      </c>
      <c r="N154" s="111" t="str">
        <f t="shared" si="23"/>
        <v/>
      </c>
    </row>
    <row r="155">
      <c r="A155" s="104"/>
      <c r="B155" s="105"/>
      <c r="C155" s="105"/>
      <c r="D155" s="105"/>
      <c r="E155" s="105" t="s">
        <v>1216</v>
      </c>
      <c r="F155" s="119" t="s">
        <v>1217</v>
      </c>
      <c r="G155" s="106">
        <v>7.13</v>
      </c>
      <c r="H155" s="107">
        <v>45954.0</v>
      </c>
      <c r="I155" s="107" t="b">
        <v>0</v>
      </c>
      <c r="J155" s="107"/>
      <c r="K155" s="106"/>
      <c r="L155" s="110" t="str">
        <f t="shared" si="21"/>
        <v/>
      </c>
      <c r="M155" s="106" t="str">
        <f t="shared" si="22"/>
        <v/>
      </c>
      <c r="N155" s="111" t="str">
        <f t="shared" si="23"/>
        <v/>
      </c>
    </row>
    <row r="156">
      <c r="A156" s="104"/>
      <c r="B156" s="105"/>
      <c r="C156" s="105"/>
      <c r="D156" s="105"/>
      <c r="E156" s="105" t="s">
        <v>1218</v>
      </c>
      <c r="F156" s="119" t="s">
        <v>1219</v>
      </c>
      <c r="G156" s="106">
        <v>7.13</v>
      </c>
      <c r="H156" s="107">
        <v>45954.0</v>
      </c>
      <c r="I156" s="107" t="b">
        <v>0</v>
      </c>
      <c r="J156" s="107"/>
      <c r="K156" s="106"/>
      <c r="L156" s="110" t="str">
        <f t="shared" si="21"/>
        <v/>
      </c>
      <c r="M156" s="106" t="str">
        <f t="shared" si="22"/>
        <v/>
      </c>
      <c r="N156" s="111" t="str">
        <f t="shared" si="23"/>
        <v/>
      </c>
    </row>
    <row r="157">
      <c r="A157" s="104"/>
      <c r="B157" s="105"/>
      <c r="C157" s="105"/>
      <c r="D157" s="105"/>
      <c r="E157" s="105" t="s">
        <v>1220</v>
      </c>
      <c r="F157" s="119" t="s">
        <v>1221</v>
      </c>
      <c r="G157" s="106">
        <v>7.13</v>
      </c>
      <c r="H157" s="107">
        <v>45954.0</v>
      </c>
      <c r="I157" s="107" t="b">
        <v>0</v>
      </c>
      <c r="J157" s="107"/>
      <c r="K157" s="106"/>
      <c r="L157" s="110" t="str">
        <f t="shared" si="21"/>
        <v/>
      </c>
      <c r="M157" s="106" t="str">
        <f t="shared" si="22"/>
        <v/>
      </c>
      <c r="N157" s="111" t="str">
        <f t="shared" si="23"/>
        <v/>
      </c>
    </row>
    <row r="158">
      <c r="A158" s="104"/>
      <c r="B158" s="105"/>
      <c r="C158" s="105"/>
      <c r="D158" s="105"/>
      <c r="E158" s="105" t="s">
        <v>1222</v>
      </c>
      <c r="F158" s="119" t="s">
        <v>1223</v>
      </c>
      <c r="G158" s="106">
        <v>7.13</v>
      </c>
      <c r="H158" s="107">
        <v>45954.0</v>
      </c>
      <c r="I158" s="107" t="b">
        <v>0</v>
      </c>
      <c r="J158" s="107"/>
      <c r="K158" s="106"/>
      <c r="L158" s="110" t="str">
        <f t="shared" si="21"/>
        <v/>
      </c>
      <c r="M158" s="106" t="str">
        <f t="shared" si="22"/>
        <v/>
      </c>
      <c r="N158" s="111" t="str">
        <f t="shared" si="23"/>
        <v/>
      </c>
    </row>
    <row r="159">
      <c r="A159" s="104"/>
      <c r="B159" s="105"/>
      <c r="C159" s="105"/>
      <c r="D159" s="105"/>
      <c r="E159" s="105" t="s">
        <v>1224</v>
      </c>
      <c r="F159" s="119" t="s">
        <v>1225</v>
      </c>
      <c r="G159" s="106">
        <v>7.13</v>
      </c>
      <c r="H159" s="107">
        <v>45954.0</v>
      </c>
      <c r="I159" s="107" t="b">
        <v>0</v>
      </c>
      <c r="J159" s="107"/>
      <c r="K159" s="106"/>
      <c r="L159" s="110" t="str">
        <f t="shared" si="21"/>
        <v/>
      </c>
      <c r="M159" s="106" t="str">
        <f t="shared" si="22"/>
        <v/>
      </c>
      <c r="N159" s="111" t="str">
        <f t="shared" si="23"/>
        <v/>
      </c>
    </row>
    <row r="160">
      <c r="A160" s="112"/>
      <c r="B160" s="113"/>
      <c r="C160" s="113"/>
      <c r="D160" s="113"/>
      <c r="E160" s="113"/>
      <c r="F160" s="106"/>
      <c r="G160" s="106"/>
      <c r="H160" s="107"/>
      <c r="I160" s="107" t="b">
        <v>0</v>
      </c>
      <c r="J160" s="107"/>
      <c r="K160" s="106"/>
      <c r="L160" s="110"/>
      <c r="M160" s="106"/>
      <c r="N160" s="111"/>
    </row>
    <row r="161">
      <c r="A161" s="104"/>
      <c r="B161" s="105"/>
      <c r="C161" s="105"/>
      <c r="D161" s="105"/>
      <c r="E161" s="105" t="s">
        <v>1226</v>
      </c>
      <c r="F161" s="119" t="s">
        <v>1227</v>
      </c>
      <c r="G161" s="106">
        <v>4.04</v>
      </c>
      <c r="H161" s="107">
        <v>45954.0</v>
      </c>
      <c r="I161" s="107" t="b">
        <v>0</v>
      </c>
      <c r="J161" s="107"/>
      <c r="K161" s="106"/>
      <c r="L161" s="110" t="str">
        <f t="shared" ref="L161:L194" si="24">IF(ISBLANK(J161),"",J161-H161)</f>
        <v/>
      </c>
      <c r="M161" s="106" t="str">
        <f t="shared" ref="M161:M194" si="25">IF(K161="","",IF(K161-G161&lt;0,"",K161-G161))</f>
        <v/>
      </c>
      <c r="N161" s="111" t="str">
        <f t="shared" ref="N161:N194" si="26">IF(K161="","",IF(K161/G161&lt;0,"",K161/G161))</f>
        <v/>
      </c>
    </row>
    <row r="162">
      <c r="A162" s="104"/>
      <c r="B162" s="105"/>
      <c r="C162" s="105"/>
      <c r="D162" s="105"/>
      <c r="E162" s="105" t="s">
        <v>1228</v>
      </c>
      <c r="F162" s="119" t="s">
        <v>1229</v>
      </c>
      <c r="G162" s="106">
        <v>4.04</v>
      </c>
      <c r="H162" s="107">
        <v>45954.0</v>
      </c>
      <c r="I162" s="107" t="b">
        <v>0</v>
      </c>
      <c r="J162" s="107"/>
      <c r="K162" s="106"/>
      <c r="L162" s="110" t="str">
        <f t="shared" si="24"/>
        <v/>
      </c>
      <c r="M162" s="106" t="str">
        <f t="shared" si="25"/>
        <v/>
      </c>
      <c r="N162" s="111" t="str">
        <f t="shared" si="26"/>
        <v/>
      </c>
    </row>
    <row r="163">
      <c r="A163" s="104"/>
      <c r="B163" s="105"/>
      <c r="C163" s="105"/>
      <c r="D163" s="105"/>
      <c r="E163" s="105" t="s">
        <v>1230</v>
      </c>
      <c r="F163" s="119" t="s">
        <v>1231</v>
      </c>
      <c r="G163" s="106">
        <v>4.04</v>
      </c>
      <c r="H163" s="107">
        <v>45954.0</v>
      </c>
      <c r="I163" s="107" t="b">
        <v>0</v>
      </c>
      <c r="J163" s="107"/>
      <c r="K163" s="106"/>
      <c r="L163" s="110" t="str">
        <f t="shared" si="24"/>
        <v/>
      </c>
      <c r="M163" s="106" t="str">
        <f t="shared" si="25"/>
        <v/>
      </c>
      <c r="N163" s="111" t="str">
        <f t="shared" si="26"/>
        <v/>
      </c>
    </row>
    <row r="164">
      <c r="A164" s="104"/>
      <c r="B164" s="105"/>
      <c r="C164" s="105"/>
      <c r="D164" s="105"/>
      <c r="E164" s="105" t="s">
        <v>1232</v>
      </c>
      <c r="F164" s="119" t="s">
        <v>1233</v>
      </c>
      <c r="G164" s="106">
        <v>4.04</v>
      </c>
      <c r="H164" s="107">
        <v>45955.0</v>
      </c>
      <c r="I164" s="107" t="b">
        <v>0</v>
      </c>
      <c r="J164" s="107"/>
      <c r="K164" s="106"/>
      <c r="L164" s="110" t="str">
        <f t="shared" si="24"/>
        <v/>
      </c>
      <c r="M164" s="106" t="str">
        <f t="shared" si="25"/>
        <v/>
      </c>
      <c r="N164" s="111" t="str">
        <f t="shared" si="26"/>
        <v/>
      </c>
    </row>
    <row r="165">
      <c r="A165" s="104"/>
      <c r="B165" s="105"/>
      <c r="C165" s="105"/>
      <c r="D165" s="105"/>
      <c r="E165" s="105" t="s">
        <v>1234</v>
      </c>
      <c r="F165" s="119" t="s">
        <v>1235</v>
      </c>
      <c r="G165" s="106">
        <v>4.04</v>
      </c>
      <c r="H165" s="107">
        <v>45955.0</v>
      </c>
      <c r="I165" s="107" t="b">
        <v>0</v>
      </c>
      <c r="J165" s="107"/>
      <c r="K165" s="106"/>
      <c r="L165" s="110" t="str">
        <f t="shared" si="24"/>
        <v/>
      </c>
      <c r="M165" s="106" t="str">
        <f t="shared" si="25"/>
        <v/>
      </c>
      <c r="N165" s="111" t="str">
        <f t="shared" si="26"/>
        <v/>
      </c>
    </row>
    <row r="166">
      <c r="A166" s="104"/>
      <c r="B166" s="105"/>
      <c r="C166" s="105"/>
      <c r="D166" s="105"/>
      <c r="E166" s="105" t="s">
        <v>1236</v>
      </c>
      <c r="F166" s="119" t="s">
        <v>1237</v>
      </c>
      <c r="G166" s="106">
        <v>4.04</v>
      </c>
      <c r="H166" s="107">
        <v>45955.0</v>
      </c>
      <c r="I166" s="107" t="b">
        <v>0</v>
      </c>
      <c r="J166" s="107"/>
      <c r="K166" s="106"/>
      <c r="L166" s="110" t="str">
        <f t="shared" si="24"/>
        <v/>
      </c>
      <c r="M166" s="106" t="str">
        <f t="shared" si="25"/>
        <v/>
      </c>
      <c r="N166" s="111" t="str">
        <f t="shared" si="26"/>
        <v/>
      </c>
    </row>
    <row r="167">
      <c r="A167" s="104"/>
      <c r="B167" s="105"/>
      <c r="C167" s="105"/>
      <c r="D167" s="105"/>
      <c r="E167" s="105" t="s">
        <v>1238</v>
      </c>
      <c r="F167" s="119" t="s">
        <v>1239</v>
      </c>
      <c r="G167" s="106">
        <v>4.04</v>
      </c>
      <c r="H167" s="107">
        <v>45955.0</v>
      </c>
      <c r="I167" s="107" t="b">
        <v>0</v>
      </c>
      <c r="J167" s="107"/>
      <c r="K167" s="106"/>
      <c r="L167" s="110" t="str">
        <f t="shared" si="24"/>
        <v/>
      </c>
      <c r="M167" s="106" t="str">
        <f t="shared" si="25"/>
        <v/>
      </c>
      <c r="N167" s="111" t="str">
        <f t="shared" si="26"/>
        <v/>
      </c>
    </row>
    <row r="168">
      <c r="A168" s="104"/>
      <c r="B168" s="105"/>
      <c r="C168" s="105"/>
      <c r="D168" s="105"/>
      <c r="E168" s="105" t="s">
        <v>1240</v>
      </c>
      <c r="F168" s="119" t="s">
        <v>1241</v>
      </c>
      <c r="G168" s="106">
        <v>4.04</v>
      </c>
      <c r="H168" s="107">
        <v>45955.0</v>
      </c>
      <c r="I168" s="107" t="b">
        <v>0</v>
      </c>
      <c r="J168" s="107"/>
      <c r="K168" s="106"/>
      <c r="L168" s="110" t="str">
        <f t="shared" si="24"/>
        <v/>
      </c>
      <c r="M168" s="106" t="str">
        <f t="shared" si="25"/>
        <v/>
      </c>
      <c r="N168" s="111" t="str">
        <f t="shared" si="26"/>
        <v/>
      </c>
    </row>
    <row r="169">
      <c r="A169" s="104"/>
      <c r="B169" s="105"/>
      <c r="C169" s="105"/>
      <c r="D169" s="105"/>
      <c r="E169" s="105" t="s">
        <v>1242</v>
      </c>
      <c r="F169" s="119" t="s">
        <v>1243</v>
      </c>
      <c r="G169" s="106">
        <v>4.04</v>
      </c>
      <c r="H169" s="107">
        <v>45955.0</v>
      </c>
      <c r="I169" s="107" t="b">
        <v>0</v>
      </c>
      <c r="J169" s="107"/>
      <c r="K169" s="106"/>
      <c r="L169" s="110" t="str">
        <f t="shared" si="24"/>
        <v/>
      </c>
      <c r="M169" s="106" t="str">
        <f t="shared" si="25"/>
        <v/>
      </c>
      <c r="N169" s="111" t="str">
        <f t="shared" si="26"/>
        <v/>
      </c>
    </row>
    <row r="170">
      <c r="A170" s="104"/>
      <c r="B170" s="105"/>
      <c r="C170" s="105"/>
      <c r="D170" s="105"/>
      <c r="E170" s="105" t="s">
        <v>1244</v>
      </c>
      <c r="F170" s="119" t="s">
        <v>1245</v>
      </c>
      <c r="G170" s="106">
        <v>4.04</v>
      </c>
      <c r="H170" s="107">
        <v>45955.0</v>
      </c>
      <c r="I170" s="107" t="b">
        <v>0</v>
      </c>
      <c r="J170" s="107"/>
      <c r="K170" s="106"/>
      <c r="L170" s="110" t="str">
        <f t="shared" si="24"/>
        <v/>
      </c>
      <c r="M170" s="106" t="str">
        <f t="shared" si="25"/>
        <v/>
      </c>
      <c r="N170" s="111" t="str">
        <f t="shared" si="26"/>
        <v/>
      </c>
    </row>
    <row r="171">
      <c r="A171" s="104"/>
      <c r="B171" s="105"/>
      <c r="C171" s="105"/>
      <c r="D171" s="105"/>
      <c r="E171" s="105" t="s">
        <v>1246</v>
      </c>
      <c r="F171" s="119" t="s">
        <v>1247</v>
      </c>
      <c r="G171" s="106">
        <v>4.04</v>
      </c>
      <c r="H171" s="107">
        <v>45956.0</v>
      </c>
      <c r="I171" s="107" t="b">
        <v>0</v>
      </c>
      <c r="J171" s="107"/>
      <c r="K171" s="106"/>
      <c r="L171" s="110" t="str">
        <f t="shared" si="24"/>
        <v/>
      </c>
      <c r="M171" s="106" t="str">
        <f t="shared" si="25"/>
        <v/>
      </c>
      <c r="N171" s="111" t="str">
        <f t="shared" si="26"/>
        <v/>
      </c>
    </row>
    <row r="172">
      <c r="A172" s="104"/>
      <c r="B172" s="105"/>
      <c r="C172" s="105"/>
      <c r="D172" s="105"/>
      <c r="E172" s="105" t="s">
        <v>1248</v>
      </c>
      <c r="F172" s="119" t="s">
        <v>1249</v>
      </c>
      <c r="G172" s="106">
        <v>4.04</v>
      </c>
      <c r="H172" s="107">
        <v>45956.0</v>
      </c>
      <c r="I172" s="107" t="b">
        <v>0</v>
      </c>
      <c r="J172" s="107"/>
      <c r="K172" s="106"/>
      <c r="L172" s="110" t="str">
        <f t="shared" si="24"/>
        <v/>
      </c>
      <c r="M172" s="106" t="str">
        <f t="shared" si="25"/>
        <v/>
      </c>
      <c r="N172" s="111" t="str">
        <f t="shared" si="26"/>
        <v/>
      </c>
    </row>
    <row r="173">
      <c r="A173" s="104"/>
      <c r="B173" s="105"/>
      <c r="C173" s="105"/>
      <c r="D173" s="105"/>
      <c r="E173" s="105" t="s">
        <v>1250</v>
      </c>
      <c r="F173" s="119" t="s">
        <v>1251</v>
      </c>
      <c r="G173" s="106">
        <v>4.04</v>
      </c>
      <c r="H173" s="107">
        <v>45956.0</v>
      </c>
      <c r="I173" s="107" t="b">
        <v>0</v>
      </c>
      <c r="J173" s="107"/>
      <c r="K173" s="106"/>
      <c r="L173" s="110" t="str">
        <f t="shared" si="24"/>
        <v/>
      </c>
      <c r="M173" s="106" t="str">
        <f t="shared" si="25"/>
        <v/>
      </c>
      <c r="N173" s="111" t="str">
        <f t="shared" si="26"/>
        <v/>
      </c>
    </row>
    <row r="174">
      <c r="A174" s="104"/>
      <c r="B174" s="105"/>
      <c r="C174" s="105"/>
      <c r="D174" s="105"/>
      <c r="E174" s="105" t="s">
        <v>1252</v>
      </c>
      <c r="F174" s="119" t="s">
        <v>1253</v>
      </c>
      <c r="G174" s="106">
        <v>4.04</v>
      </c>
      <c r="H174" s="107">
        <v>45956.0</v>
      </c>
      <c r="I174" s="107" t="b">
        <v>0</v>
      </c>
      <c r="J174" s="107"/>
      <c r="K174" s="106"/>
      <c r="L174" s="110" t="str">
        <f t="shared" si="24"/>
        <v/>
      </c>
      <c r="M174" s="106" t="str">
        <f t="shared" si="25"/>
        <v/>
      </c>
      <c r="N174" s="111" t="str">
        <f t="shared" si="26"/>
        <v/>
      </c>
    </row>
    <row r="175">
      <c r="A175" s="104"/>
      <c r="B175" s="105"/>
      <c r="C175" s="105"/>
      <c r="D175" s="105"/>
      <c r="E175" s="105" t="s">
        <v>1254</v>
      </c>
      <c r="F175" s="119" t="s">
        <v>1255</v>
      </c>
      <c r="G175" s="106">
        <v>4.04</v>
      </c>
      <c r="H175" s="107">
        <v>45956.0</v>
      </c>
      <c r="I175" s="107" t="b">
        <v>0</v>
      </c>
      <c r="J175" s="107"/>
      <c r="K175" s="106"/>
      <c r="L175" s="110" t="str">
        <f t="shared" si="24"/>
        <v/>
      </c>
      <c r="M175" s="106" t="str">
        <f t="shared" si="25"/>
        <v/>
      </c>
      <c r="N175" s="111" t="str">
        <f t="shared" si="26"/>
        <v/>
      </c>
    </row>
    <row r="176">
      <c r="A176" s="104"/>
      <c r="B176" s="105"/>
      <c r="C176" s="105"/>
      <c r="D176" s="105"/>
      <c r="E176" s="105" t="s">
        <v>1256</v>
      </c>
      <c r="F176" s="119" t="s">
        <v>1257</v>
      </c>
      <c r="G176" s="106">
        <v>4.04</v>
      </c>
      <c r="H176" s="107">
        <v>45956.0</v>
      </c>
      <c r="I176" s="107" t="b">
        <v>0</v>
      </c>
      <c r="J176" s="107"/>
      <c r="K176" s="106"/>
      <c r="L176" s="110" t="str">
        <f t="shared" si="24"/>
        <v/>
      </c>
      <c r="M176" s="106" t="str">
        <f t="shared" si="25"/>
        <v/>
      </c>
      <c r="N176" s="111" t="str">
        <f t="shared" si="26"/>
        <v/>
      </c>
    </row>
    <row r="177">
      <c r="A177" s="104"/>
      <c r="B177" s="105"/>
      <c r="C177" s="105"/>
      <c r="D177" s="105"/>
      <c r="E177" s="105" t="s">
        <v>1258</v>
      </c>
      <c r="F177" s="119" t="s">
        <v>1259</v>
      </c>
      <c r="G177" s="106">
        <v>4.04</v>
      </c>
      <c r="H177" s="107">
        <v>45957.0</v>
      </c>
      <c r="I177" s="107" t="b">
        <v>0</v>
      </c>
      <c r="J177" s="107"/>
      <c r="K177" s="106"/>
      <c r="L177" s="110" t="str">
        <f t="shared" si="24"/>
        <v/>
      </c>
      <c r="M177" s="106" t="str">
        <f t="shared" si="25"/>
        <v/>
      </c>
      <c r="N177" s="111" t="str">
        <f t="shared" si="26"/>
        <v/>
      </c>
    </row>
    <row r="178">
      <c r="A178" s="104"/>
      <c r="B178" s="105"/>
      <c r="C178" s="105"/>
      <c r="D178" s="105"/>
      <c r="E178" s="105" t="s">
        <v>1260</v>
      </c>
      <c r="F178" s="119" t="s">
        <v>1261</v>
      </c>
      <c r="G178" s="106">
        <v>4.04</v>
      </c>
      <c r="H178" s="107">
        <v>45957.0</v>
      </c>
      <c r="I178" s="107" t="b">
        <v>0</v>
      </c>
      <c r="J178" s="107"/>
      <c r="K178" s="106"/>
      <c r="L178" s="110" t="str">
        <f t="shared" si="24"/>
        <v/>
      </c>
      <c r="M178" s="106" t="str">
        <f t="shared" si="25"/>
        <v/>
      </c>
      <c r="N178" s="111" t="str">
        <f t="shared" si="26"/>
        <v/>
      </c>
    </row>
    <row r="179">
      <c r="A179" s="104"/>
      <c r="B179" s="105"/>
      <c r="C179" s="105"/>
      <c r="D179" s="105"/>
      <c r="E179" s="105" t="s">
        <v>1262</v>
      </c>
      <c r="F179" s="119" t="s">
        <v>1263</v>
      </c>
      <c r="G179" s="106">
        <v>4.04</v>
      </c>
      <c r="H179" s="107">
        <v>45957.0</v>
      </c>
      <c r="I179" s="107" t="b">
        <v>0</v>
      </c>
      <c r="J179" s="107"/>
      <c r="K179" s="106"/>
      <c r="L179" s="110" t="str">
        <f t="shared" si="24"/>
        <v/>
      </c>
      <c r="M179" s="106" t="str">
        <f t="shared" si="25"/>
        <v/>
      </c>
      <c r="N179" s="111" t="str">
        <f t="shared" si="26"/>
        <v/>
      </c>
    </row>
    <row r="180">
      <c r="A180" s="104"/>
      <c r="B180" s="105"/>
      <c r="C180" s="105"/>
      <c r="D180" s="105"/>
      <c r="E180" s="105" t="s">
        <v>1264</v>
      </c>
      <c r="F180" s="119" t="s">
        <v>1265</v>
      </c>
      <c r="G180" s="106">
        <v>4.04</v>
      </c>
      <c r="H180" s="107">
        <v>45957.0</v>
      </c>
      <c r="I180" s="107" t="b">
        <v>0</v>
      </c>
      <c r="J180" s="107"/>
      <c r="K180" s="106"/>
      <c r="L180" s="110" t="str">
        <f t="shared" si="24"/>
        <v/>
      </c>
      <c r="M180" s="106" t="str">
        <f t="shared" si="25"/>
        <v/>
      </c>
      <c r="N180" s="111" t="str">
        <f t="shared" si="26"/>
        <v/>
      </c>
    </row>
    <row r="181">
      <c r="A181" s="104"/>
      <c r="B181" s="105"/>
      <c r="C181" s="105"/>
      <c r="D181" s="105"/>
      <c r="E181" s="105" t="s">
        <v>1266</v>
      </c>
      <c r="F181" s="119" t="s">
        <v>1267</v>
      </c>
      <c r="G181" s="106">
        <v>4.04</v>
      </c>
      <c r="H181" s="107">
        <v>45957.0</v>
      </c>
      <c r="I181" s="107" t="b">
        <v>0</v>
      </c>
      <c r="J181" s="107"/>
      <c r="K181" s="106"/>
      <c r="L181" s="110" t="str">
        <f t="shared" si="24"/>
        <v/>
      </c>
      <c r="M181" s="106" t="str">
        <f t="shared" si="25"/>
        <v/>
      </c>
      <c r="N181" s="111" t="str">
        <f t="shared" si="26"/>
        <v/>
      </c>
    </row>
    <row r="182">
      <c r="A182" s="104"/>
      <c r="B182" s="105"/>
      <c r="C182" s="105"/>
      <c r="D182" s="105"/>
      <c r="E182" s="105" t="s">
        <v>1268</v>
      </c>
      <c r="F182" s="119" t="s">
        <v>1269</v>
      </c>
      <c r="G182" s="106">
        <v>4.04</v>
      </c>
      <c r="H182" s="107">
        <v>45958.0</v>
      </c>
      <c r="I182" s="107" t="b">
        <v>0</v>
      </c>
      <c r="J182" s="107"/>
      <c r="K182" s="106"/>
      <c r="L182" s="110" t="str">
        <f t="shared" si="24"/>
        <v/>
      </c>
      <c r="M182" s="106" t="str">
        <f t="shared" si="25"/>
        <v/>
      </c>
      <c r="N182" s="111" t="str">
        <f t="shared" si="26"/>
        <v/>
      </c>
    </row>
    <row r="183">
      <c r="A183" s="104"/>
      <c r="B183" s="105"/>
      <c r="C183" s="105"/>
      <c r="D183" s="105"/>
      <c r="E183" s="105" t="s">
        <v>1270</v>
      </c>
      <c r="F183" s="119" t="s">
        <v>1271</v>
      </c>
      <c r="G183" s="106">
        <v>4.04</v>
      </c>
      <c r="H183" s="107">
        <v>45958.0</v>
      </c>
      <c r="I183" s="107" t="b">
        <v>0</v>
      </c>
      <c r="J183" s="107"/>
      <c r="K183" s="106"/>
      <c r="L183" s="110" t="str">
        <f t="shared" si="24"/>
        <v/>
      </c>
      <c r="M183" s="106" t="str">
        <f t="shared" si="25"/>
        <v/>
      </c>
      <c r="N183" s="111" t="str">
        <f t="shared" si="26"/>
        <v/>
      </c>
    </row>
    <row r="184">
      <c r="A184" s="104"/>
      <c r="B184" s="105"/>
      <c r="C184" s="105"/>
      <c r="D184" s="105"/>
      <c r="E184" s="105" t="s">
        <v>1272</v>
      </c>
      <c r="F184" s="119" t="s">
        <v>1273</v>
      </c>
      <c r="G184" s="106">
        <v>4.04</v>
      </c>
      <c r="H184" s="107">
        <v>45958.0</v>
      </c>
      <c r="I184" s="107" t="b">
        <v>0</v>
      </c>
      <c r="J184" s="107"/>
      <c r="K184" s="106"/>
      <c r="L184" s="110" t="str">
        <f t="shared" si="24"/>
        <v/>
      </c>
      <c r="M184" s="106" t="str">
        <f t="shared" si="25"/>
        <v/>
      </c>
      <c r="N184" s="111" t="str">
        <f t="shared" si="26"/>
        <v/>
      </c>
    </row>
    <row r="185">
      <c r="A185" s="104"/>
      <c r="B185" s="105"/>
      <c r="C185" s="105"/>
      <c r="D185" s="105"/>
      <c r="E185" s="105" t="s">
        <v>1274</v>
      </c>
      <c r="F185" s="119" t="s">
        <v>1275</v>
      </c>
      <c r="G185" s="106">
        <v>4.04</v>
      </c>
      <c r="H185" s="107">
        <v>45958.0</v>
      </c>
      <c r="I185" s="107" t="b">
        <v>0</v>
      </c>
      <c r="J185" s="107"/>
      <c r="K185" s="106"/>
      <c r="L185" s="110" t="str">
        <f t="shared" si="24"/>
        <v/>
      </c>
      <c r="M185" s="106" t="str">
        <f t="shared" si="25"/>
        <v/>
      </c>
      <c r="N185" s="111" t="str">
        <f t="shared" si="26"/>
        <v/>
      </c>
    </row>
    <row r="186">
      <c r="A186" s="104"/>
      <c r="B186" s="105"/>
      <c r="C186" s="105"/>
      <c r="D186" s="105"/>
      <c r="E186" s="105" t="s">
        <v>1276</v>
      </c>
      <c r="F186" s="119" t="s">
        <v>1277</v>
      </c>
      <c r="G186" s="106">
        <v>4.04</v>
      </c>
      <c r="H186" s="107">
        <v>45959.0</v>
      </c>
      <c r="I186" s="107" t="b">
        <v>0</v>
      </c>
      <c r="J186" s="107"/>
      <c r="K186" s="106"/>
      <c r="L186" s="110" t="str">
        <f t="shared" si="24"/>
        <v/>
      </c>
      <c r="M186" s="106" t="str">
        <f t="shared" si="25"/>
        <v/>
      </c>
      <c r="N186" s="111" t="str">
        <f t="shared" si="26"/>
        <v/>
      </c>
    </row>
    <row r="187">
      <c r="A187" s="104"/>
      <c r="B187" s="105"/>
      <c r="C187" s="105"/>
      <c r="D187" s="105"/>
      <c r="E187" s="105" t="s">
        <v>1278</v>
      </c>
      <c r="F187" s="119" t="s">
        <v>1279</v>
      </c>
      <c r="G187" s="106">
        <v>4.04</v>
      </c>
      <c r="H187" s="107">
        <v>45959.0</v>
      </c>
      <c r="I187" s="107" t="b">
        <v>0</v>
      </c>
      <c r="J187" s="107"/>
      <c r="K187" s="106"/>
      <c r="L187" s="110" t="str">
        <f t="shared" si="24"/>
        <v/>
      </c>
      <c r="M187" s="106" t="str">
        <f t="shared" si="25"/>
        <v/>
      </c>
      <c r="N187" s="111" t="str">
        <f t="shared" si="26"/>
        <v/>
      </c>
    </row>
    <row r="188">
      <c r="A188" s="104"/>
      <c r="B188" s="105"/>
      <c r="C188" s="105"/>
      <c r="D188" s="105"/>
      <c r="E188" s="105" t="s">
        <v>1280</v>
      </c>
      <c r="F188" s="119" t="s">
        <v>1281</v>
      </c>
      <c r="G188" s="106">
        <v>4.04</v>
      </c>
      <c r="H188" s="107">
        <v>45959.0</v>
      </c>
      <c r="I188" s="107" t="b">
        <v>0</v>
      </c>
      <c r="J188" s="107"/>
      <c r="K188" s="106"/>
      <c r="L188" s="110" t="str">
        <f t="shared" si="24"/>
        <v/>
      </c>
      <c r="M188" s="106" t="str">
        <f t="shared" si="25"/>
        <v/>
      </c>
      <c r="N188" s="111" t="str">
        <f t="shared" si="26"/>
        <v/>
      </c>
    </row>
    <row r="189">
      <c r="A189" s="104"/>
      <c r="B189" s="105"/>
      <c r="C189" s="105"/>
      <c r="D189" s="105"/>
      <c r="E189" s="105" t="s">
        <v>1282</v>
      </c>
      <c r="F189" s="119" t="s">
        <v>1283</v>
      </c>
      <c r="G189" s="106">
        <v>4.04</v>
      </c>
      <c r="H189" s="107">
        <v>45959.0</v>
      </c>
      <c r="I189" s="107" t="b">
        <v>0</v>
      </c>
      <c r="J189" s="107"/>
      <c r="K189" s="106"/>
      <c r="L189" s="110" t="str">
        <f t="shared" si="24"/>
        <v/>
      </c>
      <c r="M189" s="106" t="str">
        <f t="shared" si="25"/>
        <v/>
      </c>
      <c r="N189" s="111" t="str">
        <f t="shared" si="26"/>
        <v/>
      </c>
    </row>
    <row r="190">
      <c r="A190" s="104"/>
      <c r="B190" s="105"/>
      <c r="C190" s="105"/>
      <c r="D190" s="105"/>
      <c r="E190" s="105" t="s">
        <v>1284</v>
      </c>
      <c r="F190" s="119" t="s">
        <v>1285</v>
      </c>
      <c r="G190" s="106">
        <v>4.04</v>
      </c>
      <c r="H190" s="107">
        <v>45959.0</v>
      </c>
      <c r="I190" s="107" t="b">
        <v>0</v>
      </c>
      <c r="J190" s="107"/>
      <c r="K190" s="106"/>
      <c r="L190" s="110" t="str">
        <f t="shared" si="24"/>
        <v/>
      </c>
      <c r="M190" s="106" t="str">
        <f t="shared" si="25"/>
        <v/>
      </c>
      <c r="N190" s="111" t="str">
        <f t="shared" si="26"/>
        <v/>
      </c>
    </row>
    <row r="191">
      <c r="A191" s="104"/>
      <c r="B191" s="105"/>
      <c r="C191" s="105"/>
      <c r="D191" s="105"/>
      <c r="E191" s="105" t="s">
        <v>1286</v>
      </c>
      <c r="F191" s="119" t="s">
        <v>1287</v>
      </c>
      <c r="G191" s="106">
        <v>4.04</v>
      </c>
      <c r="H191" s="107">
        <v>45959.0</v>
      </c>
      <c r="I191" s="107" t="b">
        <v>0</v>
      </c>
      <c r="J191" s="107"/>
      <c r="K191" s="106"/>
      <c r="L191" s="110" t="str">
        <f t="shared" si="24"/>
        <v/>
      </c>
      <c r="M191" s="106" t="str">
        <f t="shared" si="25"/>
        <v/>
      </c>
      <c r="N191" s="111" t="str">
        <f t="shared" si="26"/>
        <v/>
      </c>
    </row>
    <row r="192">
      <c r="A192" s="104"/>
      <c r="B192" s="105"/>
      <c r="C192" s="105"/>
      <c r="D192" s="105"/>
      <c r="E192" s="105" t="s">
        <v>1288</v>
      </c>
      <c r="F192" s="119" t="s">
        <v>1289</v>
      </c>
      <c r="G192" s="106">
        <v>4.04</v>
      </c>
      <c r="H192" s="107">
        <v>45960.0</v>
      </c>
      <c r="I192" s="107" t="b">
        <v>0</v>
      </c>
      <c r="J192" s="107"/>
      <c r="K192" s="106"/>
      <c r="L192" s="110" t="str">
        <f t="shared" si="24"/>
        <v/>
      </c>
      <c r="M192" s="106" t="str">
        <f t="shared" si="25"/>
        <v/>
      </c>
      <c r="N192" s="111" t="str">
        <f t="shared" si="26"/>
        <v/>
      </c>
    </row>
    <row r="193">
      <c r="A193" s="104"/>
      <c r="B193" s="105"/>
      <c r="C193" s="105"/>
      <c r="D193" s="105"/>
      <c r="E193" s="105" t="s">
        <v>1290</v>
      </c>
      <c r="F193" s="119" t="s">
        <v>1291</v>
      </c>
      <c r="G193" s="106">
        <v>4.04</v>
      </c>
      <c r="H193" s="107">
        <v>45960.0</v>
      </c>
      <c r="I193" s="107" t="b">
        <v>0</v>
      </c>
      <c r="J193" s="107"/>
      <c r="K193" s="106"/>
      <c r="L193" s="110" t="str">
        <f t="shared" si="24"/>
        <v/>
      </c>
      <c r="M193" s="106" t="str">
        <f t="shared" si="25"/>
        <v/>
      </c>
      <c r="N193" s="111" t="str">
        <f t="shared" si="26"/>
        <v/>
      </c>
    </row>
    <row r="194">
      <c r="A194" s="104"/>
      <c r="B194" s="105"/>
      <c r="C194" s="105"/>
      <c r="D194" s="105"/>
      <c r="E194" s="105" t="s">
        <v>1292</v>
      </c>
      <c r="F194" s="119" t="s">
        <v>1293</v>
      </c>
      <c r="G194" s="106">
        <v>4.04</v>
      </c>
      <c r="H194" s="107">
        <v>45960.0</v>
      </c>
      <c r="I194" s="107" t="b">
        <v>0</v>
      </c>
      <c r="J194" s="107"/>
      <c r="K194" s="106"/>
      <c r="L194" s="110" t="str">
        <f t="shared" si="24"/>
        <v/>
      </c>
      <c r="M194" s="106" t="str">
        <f t="shared" si="25"/>
        <v/>
      </c>
      <c r="N194" s="111" t="str">
        <f t="shared" si="26"/>
        <v/>
      </c>
    </row>
    <row r="195">
      <c r="A195" s="112"/>
      <c r="B195" s="113"/>
      <c r="C195" s="113"/>
      <c r="D195" s="113"/>
      <c r="E195" s="113"/>
      <c r="F195" s="114"/>
      <c r="G195" s="114"/>
      <c r="H195" s="115"/>
      <c r="I195" s="115" t="b">
        <v>0</v>
      </c>
      <c r="J195" s="115"/>
      <c r="K195" s="114"/>
      <c r="L195" s="116"/>
      <c r="M195" s="114"/>
      <c r="N195" s="117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</row>
    <row r="196">
      <c r="A196" s="104"/>
      <c r="B196" s="105"/>
      <c r="C196" s="105"/>
      <c r="D196" s="105"/>
      <c r="E196" s="105" t="s">
        <v>1294</v>
      </c>
      <c r="F196" s="119" t="s">
        <v>1295</v>
      </c>
      <c r="G196" s="106">
        <v>7.09</v>
      </c>
      <c r="H196" s="107">
        <v>45960.0</v>
      </c>
      <c r="I196" s="107" t="b">
        <v>0</v>
      </c>
      <c r="J196" s="107"/>
      <c r="K196" s="106"/>
      <c r="L196" s="110" t="str">
        <f t="shared" ref="L196:L294" si="27">IF(ISBLANK(J196),"",J196-H196)</f>
        <v/>
      </c>
      <c r="M196" s="106" t="str">
        <f t="shared" ref="M196:M294" si="28">IF(K196="","",IF(K196-G196&lt;0,"",K196-G196))</f>
        <v/>
      </c>
      <c r="N196" s="111" t="str">
        <f t="shared" ref="N196:N294" si="29">IF(K196="","",IF(K196/G196&lt;0,"",K196/G196))</f>
        <v/>
      </c>
    </row>
    <row r="197">
      <c r="A197" s="104"/>
      <c r="B197" s="105"/>
      <c r="C197" s="105"/>
      <c r="D197" s="105"/>
      <c r="E197" s="105" t="s">
        <v>1296</v>
      </c>
      <c r="F197" s="119" t="s">
        <v>1297</v>
      </c>
      <c r="G197" s="106">
        <v>7.09</v>
      </c>
      <c r="H197" s="107">
        <v>45960.0</v>
      </c>
      <c r="I197" s="107" t="b">
        <v>0</v>
      </c>
      <c r="J197" s="107"/>
      <c r="K197" s="106"/>
      <c r="L197" s="110" t="str">
        <f t="shared" si="27"/>
        <v/>
      </c>
      <c r="M197" s="106" t="str">
        <f t="shared" si="28"/>
        <v/>
      </c>
      <c r="N197" s="111" t="str">
        <f t="shared" si="29"/>
        <v/>
      </c>
    </row>
    <row r="198">
      <c r="A198" s="104"/>
      <c r="B198" s="105"/>
      <c r="C198" s="105"/>
      <c r="D198" s="105"/>
      <c r="E198" s="105" t="s">
        <v>1298</v>
      </c>
      <c r="F198" s="119" t="s">
        <v>1299</v>
      </c>
      <c r="G198" s="106">
        <v>7.09</v>
      </c>
      <c r="H198" s="107">
        <v>45960.0</v>
      </c>
      <c r="I198" s="107" t="b">
        <v>0</v>
      </c>
      <c r="J198" s="107"/>
      <c r="K198" s="106"/>
      <c r="L198" s="110" t="str">
        <f t="shared" si="27"/>
        <v/>
      </c>
      <c r="M198" s="106" t="str">
        <f t="shared" si="28"/>
        <v/>
      </c>
      <c r="N198" s="111" t="str">
        <f t="shared" si="29"/>
        <v/>
      </c>
    </row>
    <row r="199">
      <c r="A199" s="104"/>
      <c r="B199" s="105"/>
      <c r="C199" s="105"/>
      <c r="D199" s="105"/>
      <c r="E199" s="105" t="s">
        <v>1300</v>
      </c>
      <c r="F199" s="119" t="s">
        <v>1301</v>
      </c>
      <c r="G199" s="106">
        <v>7.09</v>
      </c>
      <c r="H199" s="107">
        <v>45960.0</v>
      </c>
      <c r="I199" s="107" t="b">
        <v>0</v>
      </c>
      <c r="J199" s="107"/>
      <c r="K199" s="106"/>
      <c r="L199" s="110" t="str">
        <f t="shared" si="27"/>
        <v/>
      </c>
      <c r="M199" s="106" t="str">
        <f t="shared" si="28"/>
        <v/>
      </c>
      <c r="N199" s="111" t="str">
        <f t="shared" si="29"/>
        <v/>
      </c>
    </row>
    <row r="200">
      <c r="A200" s="104"/>
      <c r="B200" s="105"/>
      <c r="C200" s="105"/>
      <c r="D200" s="105"/>
      <c r="E200" s="105" t="s">
        <v>1302</v>
      </c>
      <c r="F200" s="119" t="s">
        <v>1303</v>
      </c>
      <c r="G200" s="106">
        <v>7.09</v>
      </c>
      <c r="H200" s="107">
        <v>45960.0</v>
      </c>
      <c r="I200" s="107" t="b">
        <v>0</v>
      </c>
      <c r="J200" s="107"/>
      <c r="K200" s="106"/>
      <c r="L200" s="110" t="str">
        <f t="shared" si="27"/>
        <v/>
      </c>
      <c r="M200" s="106" t="str">
        <f t="shared" si="28"/>
        <v/>
      </c>
      <c r="N200" s="111" t="str">
        <f t="shared" si="29"/>
        <v/>
      </c>
    </row>
    <row r="201">
      <c r="A201" s="104"/>
      <c r="B201" s="105"/>
      <c r="C201" s="105"/>
      <c r="D201" s="105"/>
      <c r="E201" s="105" t="s">
        <v>1304</v>
      </c>
      <c r="F201" s="119" t="s">
        <v>1305</v>
      </c>
      <c r="G201" s="106">
        <v>7.09</v>
      </c>
      <c r="H201" s="107">
        <v>45960.0</v>
      </c>
      <c r="I201" s="107" t="b">
        <v>0</v>
      </c>
      <c r="J201" s="107"/>
      <c r="K201" s="106"/>
      <c r="L201" s="110" t="str">
        <f t="shared" si="27"/>
        <v/>
      </c>
      <c r="M201" s="106" t="str">
        <f t="shared" si="28"/>
        <v/>
      </c>
      <c r="N201" s="111" t="str">
        <f t="shared" si="29"/>
        <v/>
      </c>
    </row>
    <row r="202">
      <c r="A202" s="104"/>
      <c r="B202" s="105"/>
      <c r="C202" s="105"/>
      <c r="D202" s="105"/>
      <c r="E202" s="105" t="s">
        <v>1306</v>
      </c>
      <c r="F202" s="119" t="s">
        <v>1307</v>
      </c>
      <c r="G202" s="106">
        <v>7.09</v>
      </c>
      <c r="H202" s="107">
        <v>45960.0</v>
      </c>
      <c r="I202" s="107" t="b">
        <v>0</v>
      </c>
      <c r="J202" s="107"/>
      <c r="K202" s="106"/>
      <c r="L202" s="110" t="str">
        <f t="shared" si="27"/>
        <v/>
      </c>
      <c r="M202" s="106" t="str">
        <f t="shared" si="28"/>
        <v/>
      </c>
      <c r="N202" s="111" t="str">
        <f t="shared" si="29"/>
        <v/>
      </c>
    </row>
    <row r="203">
      <c r="A203" s="104"/>
      <c r="B203" s="105"/>
      <c r="C203" s="105"/>
      <c r="D203" s="105"/>
      <c r="E203" s="105" t="s">
        <v>1308</v>
      </c>
      <c r="F203" s="119" t="s">
        <v>1309</v>
      </c>
      <c r="G203" s="106">
        <v>7.09</v>
      </c>
      <c r="H203" s="107">
        <v>45961.0</v>
      </c>
      <c r="I203" s="107" t="b">
        <v>0</v>
      </c>
      <c r="J203" s="107"/>
      <c r="K203" s="106"/>
      <c r="L203" s="110" t="str">
        <f t="shared" si="27"/>
        <v/>
      </c>
      <c r="M203" s="106" t="str">
        <f t="shared" si="28"/>
        <v/>
      </c>
      <c r="N203" s="111" t="str">
        <f t="shared" si="29"/>
        <v/>
      </c>
    </row>
    <row r="204">
      <c r="A204" s="104"/>
      <c r="B204" s="105"/>
      <c r="C204" s="105"/>
      <c r="D204" s="105"/>
      <c r="E204" s="105" t="s">
        <v>1310</v>
      </c>
      <c r="F204" s="119" t="s">
        <v>1311</v>
      </c>
      <c r="G204" s="106">
        <v>7.09</v>
      </c>
      <c r="H204" s="107">
        <v>45961.0</v>
      </c>
      <c r="I204" s="107" t="b">
        <v>0</v>
      </c>
      <c r="J204" s="107"/>
      <c r="K204" s="106"/>
      <c r="L204" s="110" t="str">
        <f t="shared" si="27"/>
        <v/>
      </c>
      <c r="M204" s="106" t="str">
        <f t="shared" si="28"/>
        <v/>
      </c>
      <c r="N204" s="111" t="str">
        <f t="shared" si="29"/>
        <v/>
      </c>
    </row>
    <row r="205">
      <c r="A205" s="104"/>
      <c r="B205" s="105"/>
      <c r="C205" s="105"/>
      <c r="D205" s="105"/>
      <c r="E205" s="105" t="s">
        <v>1312</v>
      </c>
      <c r="F205" s="119" t="s">
        <v>1313</v>
      </c>
      <c r="G205" s="106">
        <v>7.09</v>
      </c>
      <c r="H205" s="107">
        <v>45961.0</v>
      </c>
      <c r="I205" s="107" t="b">
        <v>0</v>
      </c>
      <c r="J205" s="107"/>
      <c r="K205" s="106"/>
      <c r="L205" s="110" t="str">
        <f t="shared" si="27"/>
        <v/>
      </c>
      <c r="M205" s="106" t="str">
        <f t="shared" si="28"/>
        <v/>
      </c>
      <c r="N205" s="111" t="str">
        <f t="shared" si="29"/>
        <v/>
      </c>
    </row>
    <row r="206">
      <c r="A206" s="104"/>
      <c r="B206" s="105"/>
      <c r="C206" s="105"/>
      <c r="D206" s="105"/>
      <c r="E206" s="105" t="s">
        <v>1314</v>
      </c>
      <c r="F206" s="119" t="s">
        <v>1315</v>
      </c>
      <c r="G206" s="106">
        <v>7.09</v>
      </c>
      <c r="H206" s="107">
        <v>45961.0</v>
      </c>
      <c r="I206" s="107" t="b">
        <v>0</v>
      </c>
      <c r="J206" s="107"/>
      <c r="K206" s="106"/>
      <c r="L206" s="110" t="str">
        <f t="shared" si="27"/>
        <v/>
      </c>
      <c r="M206" s="106" t="str">
        <f t="shared" si="28"/>
        <v/>
      </c>
      <c r="N206" s="111" t="str">
        <f t="shared" si="29"/>
        <v/>
      </c>
    </row>
    <row r="207">
      <c r="A207" s="104"/>
      <c r="B207" s="105"/>
      <c r="C207" s="105"/>
      <c r="D207" s="105"/>
      <c r="E207" s="105" t="s">
        <v>1316</v>
      </c>
      <c r="F207" s="119" t="s">
        <v>1317</v>
      </c>
      <c r="G207" s="106">
        <v>7.09</v>
      </c>
      <c r="H207" s="107">
        <v>45961.0</v>
      </c>
      <c r="I207" s="107" t="b">
        <v>0</v>
      </c>
      <c r="J207" s="107"/>
      <c r="K207" s="106"/>
      <c r="L207" s="110" t="str">
        <f t="shared" si="27"/>
        <v/>
      </c>
      <c r="M207" s="106" t="str">
        <f t="shared" si="28"/>
        <v/>
      </c>
      <c r="N207" s="111" t="str">
        <f t="shared" si="29"/>
        <v/>
      </c>
    </row>
    <row r="208">
      <c r="A208" s="104"/>
      <c r="B208" s="105"/>
      <c r="C208" s="105"/>
      <c r="D208" s="105"/>
      <c r="E208" s="105" t="s">
        <v>1318</v>
      </c>
      <c r="F208" s="119" t="s">
        <v>1319</v>
      </c>
      <c r="G208" s="106">
        <v>7.09</v>
      </c>
      <c r="H208" s="107">
        <v>45961.0</v>
      </c>
      <c r="I208" s="107" t="b">
        <v>0</v>
      </c>
      <c r="J208" s="107"/>
      <c r="K208" s="106"/>
      <c r="L208" s="110" t="str">
        <f t="shared" si="27"/>
        <v/>
      </c>
      <c r="M208" s="106" t="str">
        <f t="shared" si="28"/>
        <v/>
      </c>
      <c r="N208" s="111" t="str">
        <f t="shared" si="29"/>
        <v/>
      </c>
    </row>
    <row r="209">
      <c r="A209" s="104"/>
      <c r="B209" s="105"/>
      <c r="C209" s="105"/>
      <c r="D209" s="105"/>
      <c r="E209" s="105" t="s">
        <v>1320</v>
      </c>
      <c r="F209" s="119" t="s">
        <v>1321</v>
      </c>
      <c r="G209" s="106">
        <v>7.09</v>
      </c>
      <c r="H209" s="107">
        <v>45961.0</v>
      </c>
      <c r="I209" s="107" t="b">
        <v>0</v>
      </c>
      <c r="J209" s="107"/>
      <c r="K209" s="106"/>
      <c r="L209" s="110" t="str">
        <f t="shared" si="27"/>
        <v/>
      </c>
      <c r="M209" s="106" t="str">
        <f t="shared" si="28"/>
        <v/>
      </c>
      <c r="N209" s="111" t="str">
        <f t="shared" si="29"/>
        <v/>
      </c>
    </row>
    <row r="210">
      <c r="A210" s="104"/>
      <c r="B210" s="105"/>
      <c r="C210" s="105"/>
      <c r="D210" s="105"/>
      <c r="E210" s="105" t="s">
        <v>1322</v>
      </c>
      <c r="F210" s="119" t="s">
        <v>1323</v>
      </c>
      <c r="G210" s="106">
        <v>7.09</v>
      </c>
      <c r="H210" s="107">
        <v>45961.0</v>
      </c>
      <c r="I210" s="107" t="b">
        <v>0</v>
      </c>
      <c r="J210" s="107"/>
      <c r="K210" s="106"/>
      <c r="L210" s="110" t="str">
        <f t="shared" si="27"/>
        <v/>
      </c>
      <c r="M210" s="106" t="str">
        <f t="shared" si="28"/>
        <v/>
      </c>
      <c r="N210" s="111" t="str">
        <f t="shared" si="29"/>
        <v/>
      </c>
    </row>
    <row r="211">
      <c r="A211" s="104"/>
      <c r="B211" s="105"/>
      <c r="C211" s="105"/>
      <c r="D211" s="105"/>
      <c r="E211" s="105" t="s">
        <v>1324</v>
      </c>
      <c r="F211" s="119" t="s">
        <v>1325</v>
      </c>
      <c r="G211" s="106">
        <v>7.09</v>
      </c>
      <c r="H211" s="107">
        <v>45961.0</v>
      </c>
      <c r="I211" s="107" t="b">
        <v>0</v>
      </c>
      <c r="J211" s="107"/>
      <c r="K211" s="106"/>
      <c r="L211" s="110" t="str">
        <f t="shared" si="27"/>
        <v/>
      </c>
      <c r="M211" s="106" t="str">
        <f t="shared" si="28"/>
        <v/>
      </c>
      <c r="N211" s="111" t="str">
        <f t="shared" si="29"/>
        <v/>
      </c>
    </row>
    <row r="212">
      <c r="A212" s="104"/>
      <c r="B212" s="105"/>
      <c r="C212" s="105"/>
      <c r="D212" s="105"/>
      <c r="E212" s="105" t="s">
        <v>1326</v>
      </c>
      <c r="F212" s="119" t="s">
        <v>1327</v>
      </c>
      <c r="G212" s="106">
        <v>7.09</v>
      </c>
      <c r="H212" s="107">
        <v>45961.0</v>
      </c>
      <c r="I212" s="107" t="b">
        <v>0</v>
      </c>
      <c r="J212" s="107"/>
      <c r="K212" s="106"/>
      <c r="L212" s="110" t="str">
        <f t="shared" si="27"/>
        <v/>
      </c>
      <c r="M212" s="106" t="str">
        <f t="shared" si="28"/>
        <v/>
      </c>
      <c r="N212" s="111" t="str">
        <f t="shared" si="29"/>
        <v/>
      </c>
    </row>
    <row r="213">
      <c r="A213" s="104"/>
      <c r="B213" s="105"/>
      <c r="C213" s="105"/>
      <c r="D213" s="105"/>
      <c r="E213" s="105" t="s">
        <v>1328</v>
      </c>
      <c r="F213" s="119" t="s">
        <v>1329</v>
      </c>
      <c r="G213" s="106">
        <v>7.09</v>
      </c>
      <c r="H213" s="107">
        <v>45962.0</v>
      </c>
      <c r="I213" s="107" t="b">
        <v>0</v>
      </c>
      <c r="J213" s="107"/>
      <c r="K213" s="106"/>
      <c r="L213" s="110" t="str">
        <f t="shared" si="27"/>
        <v/>
      </c>
      <c r="M213" s="106" t="str">
        <f t="shared" si="28"/>
        <v/>
      </c>
      <c r="N213" s="111" t="str">
        <f t="shared" si="29"/>
        <v/>
      </c>
    </row>
    <row r="214">
      <c r="A214" s="104"/>
      <c r="B214" s="105"/>
      <c r="C214" s="105"/>
      <c r="D214" s="105"/>
      <c r="E214" s="105" t="s">
        <v>1330</v>
      </c>
      <c r="F214" s="119" t="s">
        <v>1331</v>
      </c>
      <c r="G214" s="106">
        <v>7.09</v>
      </c>
      <c r="H214" s="107">
        <v>45962.0</v>
      </c>
      <c r="I214" s="107" t="b">
        <v>0</v>
      </c>
      <c r="J214" s="107"/>
      <c r="K214" s="106"/>
      <c r="L214" s="110" t="str">
        <f t="shared" si="27"/>
        <v/>
      </c>
      <c r="M214" s="106" t="str">
        <f t="shared" si="28"/>
        <v/>
      </c>
      <c r="N214" s="111" t="str">
        <f t="shared" si="29"/>
        <v/>
      </c>
    </row>
    <row r="215">
      <c r="A215" s="104"/>
      <c r="B215" s="105"/>
      <c r="C215" s="105"/>
      <c r="D215" s="105"/>
      <c r="E215" s="105" t="s">
        <v>1332</v>
      </c>
      <c r="F215" s="119" t="s">
        <v>1333</v>
      </c>
      <c r="G215" s="106">
        <v>7.09</v>
      </c>
      <c r="H215" s="107">
        <v>45962.0</v>
      </c>
      <c r="I215" s="107" t="b">
        <v>0</v>
      </c>
      <c r="J215" s="107"/>
      <c r="K215" s="106"/>
      <c r="L215" s="110" t="str">
        <f t="shared" si="27"/>
        <v/>
      </c>
      <c r="M215" s="106" t="str">
        <f t="shared" si="28"/>
        <v/>
      </c>
      <c r="N215" s="111" t="str">
        <f t="shared" si="29"/>
        <v/>
      </c>
    </row>
    <row r="216">
      <c r="A216" s="104"/>
      <c r="B216" s="105"/>
      <c r="C216" s="105"/>
      <c r="D216" s="105"/>
      <c r="E216" s="105" t="s">
        <v>1334</v>
      </c>
      <c r="F216" s="119" t="s">
        <v>1335</v>
      </c>
      <c r="G216" s="106">
        <v>7.09</v>
      </c>
      <c r="H216" s="107">
        <v>45962.0</v>
      </c>
      <c r="I216" s="107" t="b">
        <v>0</v>
      </c>
      <c r="J216" s="107"/>
      <c r="K216" s="106"/>
      <c r="L216" s="110" t="str">
        <f t="shared" si="27"/>
        <v/>
      </c>
      <c r="M216" s="106" t="str">
        <f t="shared" si="28"/>
        <v/>
      </c>
      <c r="N216" s="111" t="str">
        <f t="shared" si="29"/>
        <v/>
      </c>
    </row>
    <row r="217">
      <c r="A217" s="104"/>
      <c r="B217" s="105"/>
      <c r="C217" s="105"/>
      <c r="D217" s="105"/>
      <c r="E217" s="105" t="s">
        <v>1336</v>
      </c>
      <c r="F217" s="119" t="s">
        <v>1337</v>
      </c>
      <c r="G217" s="106">
        <v>7.09</v>
      </c>
      <c r="H217" s="107">
        <v>45962.0</v>
      </c>
      <c r="I217" s="107" t="b">
        <v>0</v>
      </c>
      <c r="J217" s="107"/>
      <c r="K217" s="106"/>
      <c r="L217" s="110" t="str">
        <f t="shared" si="27"/>
        <v/>
      </c>
      <c r="M217" s="106" t="str">
        <f t="shared" si="28"/>
        <v/>
      </c>
      <c r="N217" s="111" t="str">
        <f t="shared" si="29"/>
        <v/>
      </c>
    </row>
    <row r="218">
      <c r="A218" s="104"/>
      <c r="B218" s="105"/>
      <c r="C218" s="105"/>
      <c r="D218" s="105"/>
      <c r="E218" s="105" t="s">
        <v>1338</v>
      </c>
      <c r="F218" s="119" t="s">
        <v>1339</v>
      </c>
      <c r="G218" s="106">
        <v>7.09</v>
      </c>
      <c r="H218" s="107">
        <v>45962.0</v>
      </c>
      <c r="I218" s="107" t="b">
        <v>0</v>
      </c>
      <c r="J218" s="107"/>
      <c r="K218" s="106"/>
      <c r="L218" s="110" t="str">
        <f t="shared" si="27"/>
        <v/>
      </c>
      <c r="M218" s="106" t="str">
        <f t="shared" si="28"/>
        <v/>
      </c>
      <c r="N218" s="111" t="str">
        <f t="shared" si="29"/>
        <v/>
      </c>
    </row>
    <row r="219">
      <c r="A219" s="104"/>
      <c r="B219" s="105"/>
      <c r="C219" s="105"/>
      <c r="D219" s="105"/>
      <c r="E219" s="105" t="s">
        <v>1340</v>
      </c>
      <c r="F219" s="119" t="s">
        <v>1341</v>
      </c>
      <c r="G219" s="106">
        <v>7.09</v>
      </c>
      <c r="H219" s="107">
        <v>45962.0</v>
      </c>
      <c r="I219" s="107" t="b">
        <v>0</v>
      </c>
      <c r="J219" s="107"/>
      <c r="K219" s="106"/>
      <c r="L219" s="110" t="str">
        <f t="shared" si="27"/>
        <v/>
      </c>
      <c r="M219" s="106" t="str">
        <f t="shared" si="28"/>
        <v/>
      </c>
      <c r="N219" s="111" t="str">
        <f t="shared" si="29"/>
        <v/>
      </c>
    </row>
    <row r="220">
      <c r="A220" s="104"/>
      <c r="B220" s="105"/>
      <c r="C220" s="105"/>
      <c r="D220" s="105"/>
      <c r="E220" s="105" t="s">
        <v>1342</v>
      </c>
      <c r="F220" s="119" t="s">
        <v>1343</v>
      </c>
      <c r="G220" s="106">
        <v>7.09</v>
      </c>
      <c r="H220" s="107">
        <v>45962.0</v>
      </c>
      <c r="I220" s="107" t="b">
        <v>0</v>
      </c>
      <c r="J220" s="107"/>
      <c r="K220" s="106"/>
      <c r="L220" s="110" t="str">
        <f t="shared" si="27"/>
        <v/>
      </c>
      <c r="M220" s="106" t="str">
        <f t="shared" si="28"/>
        <v/>
      </c>
      <c r="N220" s="111" t="str">
        <f t="shared" si="29"/>
        <v/>
      </c>
    </row>
    <row r="221">
      <c r="A221" s="104"/>
      <c r="B221" s="105"/>
      <c r="C221" s="105"/>
      <c r="D221" s="105"/>
      <c r="E221" s="105" t="s">
        <v>1344</v>
      </c>
      <c r="F221" s="119" t="s">
        <v>1345</v>
      </c>
      <c r="G221" s="106">
        <v>7.09</v>
      </c>
      <c r="H221" s="107">
        <v>45962.0</v>
      </c>
      <c r="I221" s="107" t="b">
        <v>0</v>
      </c>
      <c r="J221" s="107"/>
      <c r="K221" s="106"/>
      <c r="L221" s="110" t="str">
        <f t="shared" si="27"/>
        <v/>
      </c>
      <c r="M221" s="106" t="str">
        <f t="shared" si="28"/>
        <v/>
      </c>
      <c r="N221" s="111" t="str">
        <f t="shared" si="29"/>
        <v/>
      </c>
    </row>
    <row r="222">
      <c r="A222" s="104"/>
      <c r="B222" s="105"/>
      <c r="C222" s="105"/>
      <c r="D222" s="105"/>
      <c r="E222" s="105" t="s">
        <v>1346</v>
      </c>
      <c r="F222" s="119" t="s">
        <v>1347</v>
      </c>
      <c r="G222" s="106">
        <v>7.09</v>
      </c>
      <c r="H222" s="107">
        <v>45962.0</v>
      </c>
      <c r="I222" s="107" t="b">
        <v>0</v>
      </c>
      <c r="J222" s="107"/>
      <c r="K222" s="106"/>
      <c r="L222" s="110" t="str">
        <f t="shared" si="27"/>
        <v/>
      </c>
      <c r="M222" s="106" t="str">
        <f t="shared" si="28"/>
        <v/>
      </c>
      <c r="N222" s="111" t="str">
        <f t="shared" si="29"/>
        <v/>
      </c>
    </row>
    <row r="223">
      <c r="A223" s="104"/>
      <c r="B223" s="105"/>
      <c r="C223" s="105"/>
      <c r="D223" s="105"/>
      <c r="E223" s="105" t="s">
        <v>1348</v>
      </c>
      <c r="F223" s="119" t="s">
        <v>1349</v>
      </c>
      <c r="G223" s="106">
        <v>7.09</v>
      </c>
      <c r="H223" s="107">
        <v>45963.0</v>
      </c>
      <c r="I223" s="107" t="b">
        <v>0</v>
      </c>
      <c r="J223" s="107"/>
      <c r="K223" s="106"/>
      <c r="L223" s="110" t="str">
        <f t="shared" si="27"/>
        <v/>
      </c>
      <c r="M223" s="106" t="str">
        <f t="shared" si="28"/>
        <v/>
      </c>
      <c r="N223" s="111" t="str">
        <f t="shared" si="29"/>
        <v/>
      </c>
    </row>
    <row r="224">
      <c r="A224" s="104"/>
      <c r="B224" s="105"/>
      <c r="C224" s="105"/>
      <c r="D224" s="105"/>
      <c r="E224" s="105" t="s">
        <v>1350</v>
      </c>
      <c r="F224" s="119" t="s">
        <v>1351</v>
      </c>
      <c r="G224" s="106">
        <v>7.09</v>
      </c>
      <c r="H224" s="107">
        <v>45963.0</v>
      </c>
      <c r="I224" s="107" t="b">
        <v>0</v>
      </c>
      <c r="J224" s="107"/>
      <c r="K224" s="106"/>
      <c r="L224" s="110" t="str">
        <f t="shared" si="27"/>
        <v/>
      </c>
      <c r="M224" s="106" t="str">
        <f t="shared" si="28"/>
        <v/>
      </c>
      <c r="N224" s="111" t="str">
        <f t="shared" si="29"/>
        <v/>
      </c>
    </row>
    <row r="225">
      <c r="A225" s="104"/>
      <c r="B225" s="105"/>
      <c r="C225" s="105"/>
      <c r="D225" s="105"/>
      <c r="E225" s="105" t="s">
        <v>1352</v>
      </c>
      <c r="F225" s="119" t="s">
        <v>1353</v>
      </c>
      <c r="G225" s="106">
        <v>7.09</v>
      </c>
      <c r="H225" s="107">
        <v>45963.0</v>
      </c>
      <c r="I225" s="107" t="b">
        <v>0</v>
      </c>
      <c r="J225" s="107"/>
      <c r="K225" s="106"/>
      <c r="L225" s="110" t="str">
        <f t="shared" si="27"/>
        <v/>
      </c>
      <c r="M225" s="106" t="str">
        <f t="shared" si="28"/>
        <v/>
      </c>
      <c r="N225" s="111" t="str">
        <f t="shared" si="29"/>
        <v/>
      </c>
    </row>
    <row r="226">
      <c r="A226" s="104"/>
      <c r="B226" s="105"/>
      <c r="C226" s="105"/>
      <c r="D226" s="105"/>
      <c r="E226" s="105" t="s">
        <v>1354</v>
      </c>
      <c r="F226" s="119" t="s">
        <v>1355</v>
      </c>
      <c r="G226" s="106">
        <v>7.09</v>
      </c>
      <c r="H226" s="107">
        <v>45963.0</v>
      </c>
      <c r="I226" s="107" t="b">
        <v>0</v>
      </c>
      <c r="J226" s="107"/>
      <c r="K226" s="106"/>
      <c r="L226" s="110" t="str">
        <f t="shared" si="27"/>
        <v/>
      </c>
      <c r="M226" s="106" t="str">
        <f t="shared" si="28"/>
        <v/>
      </c>
      <c r="N226" s="111" t="str">
        <f t="shared" si="29"/>
        <v/>
      </c>
    </row>
    <row r="227">
      <c r="A227" s="104"/>
      <c r="B227" s="105"/>
      <c r="C227" s="105"/>
      <c r="D227" s="105"/>
      <c r="E227" s="105" t="s">
        <v>1356</v>
      </c>
      <c r="F227" s="119" t="s">
        <v>1357</v>
      </c>
      <c r="G227" s="106">
        <v>7.09</v>
      </c>
      <c r="H227" s="107">
        <v>45963.0</v>
      </c>
      <c r="I227" s="107" t="b">
        <v>0</v>
      </c>
      <c r="J227" s="107"/>
      <c r="K227" s="106"/>
      <c r="L227" s="110" t="str">
        <f t="shared" si="27"/>
        <v/>
      </c>
      <c r="M227" s="106" t="str">
        <f t="shared" si="28"/>
        <v/>
      </c>
      <c r="N227" s="111" t="str">
        <f t="shared" si="29"/>
        <v/>
      </c>
    </row>
    <row r="228">
      <c r="A228" s="104"/>
      <c r="B228" s="105"/>
      <c r="C228" s="105"/>
      <c r="D228" s="105"/>
      <c r="E228" s="105" t="s">
        <v>1358</v>
      </c>
      <c r="F228" s="119" t="s">
        <v>1359</v>
      </c>
      <c r="G228" s="106">
        <v>7.09</v>
      </c>
      <c r="H228" s="107">
        <v>45963.0</v>
      </c>
      <c r="I228" s="107" t="b">
        <v>0</v>
      </c>
      <c r="J228" s="107"/>
      <c r="K228" s="106"/>
      <c r="L228" s="110" t="str">
        <f t="shared" si="27"/>
        <v/>
      </c>
      <c r="M228" s="106" t="str">
        <f t="shared" si="28"/>
        <v/>
      </c>
      <c r="N228" s="111" t="str">
        <f t="shared" si="29"/>
        <v/>
      </c>
    </row>
    <row r="229">
      <c r="A229" s="104"/>
      <c r="B229" s="105"/>
      <c r="C229" s="105"/>
      <c r="D229" s="105"/>
      <c r="E229" s="105" t="s">
        <v>1360</v>
      </c>
      <c r="F229" s="119" t="s">
        <v>1361</v>
      </c>
      <c r="G229" s="106">
        <v>7.09</v>
      </c>
      <c r="H229" s="107">
        <v>45963.0</v>
      </c>
      <c r="I229" s="107" t="b">
        <v>0</v>
      </c>
      <c r="J229" s="107"/>
      <c r="K229" s="106"/>
      <c r="L229" s="110" t="str">
        <f t="shared" si="27"/>
        <v/>
      </c>
      <c r="M229" s="106" t="str">
        <f t="shared" si="28"/>
        <v/>
      </c>
      <c r="N229" s="111" t="str">
        <f t="shared" si="29"/>
        <v/>
      </c>
    </row>
    <row r="230">
      <c r="A230" s="104"/>
      <c r="B230" s="105"/>
      <c r="C230" s="105"/>
      <c r="D230" s="105"/>
      <c r="E230" s="105" t="s">
        <v>1362</v>
      </c>
      <c r="F230" s="119" t="s">
        <v>1363</v>
      </c>
      <c r="G230" s="106">
        <v>7.09</v>
      </c>
      <c r="H230" s="107">
        <v>45963.0</v>
      </c>
      <c r="I230" s="107" t="b">
        <v>0</v>
      </c>
      <c r="J230" s="107"/>
      <c r="K230" s="106"/>
      <c r="L230" s="110" t="str">
        <f t="shared" si="27"/>
        <v/>
      </c>
      <c r="M230" s="106" t="str">
        <f t="shared" si="28"/>
        <v/>
      </c>
      <c r="N230" s="111" t="str">
        <f t="shared" si="29"/>
        <v/>
      </c>
    </row>
    <row r="231">
      <c r="A231" s="104"/>
      <c r="B231" s="105"/>
      <c r="C231" s="105"/>
      <c r="D231" s="105"/>
      <c r="E231" s="105" t="s">
        <v>1364</v>
      </c>
      <c r="F231" s="119" t="s">
        <v>1365</v>
      </c>
      <c r="G231" s="106">
        <v>7.09</v>
      </c>
      <c r="H231" s="107">
        <v>45963.0</v>
      </c>
      <c r="I231" s="107" t="b">
        <v>0</v>
      </c>
      <c r="J231" s="107"/>
      <c r="K231" s="106"/>
      <c r="L231" s="110" t="str">
        <f t="shared" si="27"/>
        <v/>
      </c>
      <c r="M231" s="106" t="str">
        <f t="shared" si="28"/>
        <v/>
      </c>
      <c r="N231" s="111" t="str">
        <f t="shared" si="29"/>
        <v/>
      </c>
    </row>
    <row r="232">
      <c r="A232" s="104"/>
      <c r="B232" s="105"/>
      <c r="C232" s="105"/>
      <c r="D232" s="105"/>
      <c r="E232" s="105" t="s">
        <v>1366</v>
      </c>
      <c r="F232" s="119" t="s">
        <v>1367</v>
      </c>
      <c r="G232" s="106">
        <v>7.09</v>
      </c>
      <c r="H232" s="107">
        <v>45963.0</v>
      </c>
      <c r="I232" s="107" t="b">
        <v>0</v>
      </c>
      <c r="J232" s="107"/>
      <c r="K232" s="106"/>
      <c r="L232" s="110" t="str">
        <f t="shared" si="27"/>
        <v/>
      </c>
      <c r="M232" s="106" t="str">
        <f t="shared" si="28"/>
        <v/>
      </c>
      <c r="N232" s="111" t="str">
        <f t="shared" si="29"/>
        <v/>
      </c>
    </row>
    <row r="233">
      <c r="A233" s="104"/>
      <c r="B233" s="105"/>
      <c r="C233" s="105"/>
      <c r="D233" s="105"/>
      <c r="E233" s="105" t="s">
        <v>1368</v>
      </c>
      <c r="F233" s="119" t="s">
        <v>1369</v>
      </c>
      <c r="G233" s="106">
        <v>7.09</v>
      </c>
      <c r="H233" s="107">
        <v>45963.0</v>
      </c>
      <c r="I233" s="107" t="b">
        <v>0</v>
      </c>
      <c r="J233" s="107"/>
      <c r="K233" s="106"/>
      <c r="L233" s="110" t="str">
        <f t="shared" si="27"/>
        <v/>
      </c>
      <c r="M233" s="106" t="str">
        <f t="shared" si="28"/>
        <v/>
      </c>
      <c r="N233" s="111" t="str">
        <f t="shared" si="29"/>
        <v/>
      </c>
    </row>
    <row r="234">
      <c r="A234" s="104"/>
      <c r="B234" s="105"/>
      <c r="C234" s="105"/>
      <c r="D234" s="105"/>
      <c r="E234" s="105" t="s">
        <v>1370</v>
      </c>
      <c r="F234" s="119" t="s">
        <v>1371</v>
      </c>
      <c r="G234" s="106">
        <v>7.09</v>
      </c>
      <c r="H234" s="107">
        <v>45964.0</v>
      </c>
      <c r="I234" s="107" t="b">
        <v>0</v>
      </c>
      <c r="J234" s="107"/>
      <c r="K234" s="106"/>
      <c r="L234" s="110" t="str">
        <f t="shared" si="27"/>
        <v/>
      </c>
      <c r="M234" s="106" t="str">
        <f t="shared" si="28"/>
        <v/>
      </c>
      <c r="N234" s="111" t="str">
        <f t="shared" si="29"/>
        <v/>
      </c>
    </row>
    <row r="235">
      <c r="A235" s="104"/>
      <c r="B235" s="105"/>
      <c r="C235" s="105"/>
      <c r="D235" s="105"/>
      <c r="E235" s="105" t="s">
        <v>1372</v>
      </c>
      <c r="F235" s="119" t="s">
        <v>1373</v>
      </c>
      <c r="G235" s="106">
        <v>7.09</v>
      </c>
      <c r="H235" s="107">
        <v>45964.0</v>
      </c>
      <c r="I235" s="107" t="b">
        <v>0</v>
      </c>
      <c r="J235" s="107"/>
      <c r="K235" s="106"/>
      <c r="L235" s="110" t="str">
        <f t="shared" si="27"/>
        <v/>
      </c>
      <c r="M235" s="106" t="str">
        <f t="shared" si="28"/>
        <v/>
      </c>
      <c r="N235" s="111" t="str">
        <f t="shared" si="29"/>
        <v/>
      </c>
    </row>
    <row r="236">
      <c r="A236" s="104"/>
      <c r="B236" s="105"/>
      <c r="C236" s="105"/>
      <c r="D236" s="105"/>
      <c r="E236" s="105" t="s">
        <v>1374</v>
      </c>
      <c r="F236" s="119" t="s">
        <v>1375</v>
      </c>
      <c r="G236" s="106">
        <v>7.09</v>
      </c>
      <c r="H236" s="107">
        <v>45968.0</v>
      </c>
      <c r="I236" s="107" t="b">
        <v>0</v>
      </c>
      <c r="J236" s="107"/>
      <c r="K236" s="106"/>
      <c r="L236" s="110" t="str">
        <f t="shared" si="27"/>
        <v/>
      </c>
      <c r="M236" s="106" t="str">
        <f t="shared" si="28"/>
        <v/>
      </c>
      <c r="N236" s="111" t="str">
        <f t="shared" si="29"/>
        <v/>
      </c>
    </row>
    <row r="237">
      <c r="A237" s="104"/>
      <c r="B237" s="105"/>
      <c r="C237" s="105"/>
      <c r="D237" s="105"/>
      <c r="E237" s="105" t="s">
        <v>1376</v>
      </c>
      <c r="F237" s="119" t="s">
        <v>1377</v>
      </c>
      <c r="G237" s="106">
        <v>7.09</v>
      </c>
      <c r="H237" s="107">
        <v>45968.0</v>
      </c>
      <c r="I237" s="107" t="b">
        <v>0</v>
      </c>
      <c r="J237" s="107"/>
      <c r="K237" s="106"/>
      <c r="L237" s="110" t="str">
        <f t="shared" si="27"/>
        <v/>
      </c>
      <c r="M237" s="106" t="str">
        <f t="shared" si="28"/>
        <v/>
      </c>
      <c r="N237" s="111" t="str">
        <f t="shared" si="29"/>
        <v/>
      </c>
    </row>
    <row r="238">
      <c r="A238" s="104"/>
      <c r="B238" s="105"/>
      <c r="C238" s="105"/>
      <c r="D238" s="105"/>
      <c r="E238" s="105" t="s">
        <v>1378</v>
      </c>
      <c r="F238" s="119" t="s">
        <v>1379</v>
      </c>
      <c r="G238" s="106">
        <v>7.09</v>
      </c>
      <c r="H238" s="107">
        <v>45968.0</v>
      </c>
      <c r="I238" s="107" t="b">
        <v>0</v>
      </c>
      <c r="J238" s="107"/>
      <c r="K238" s="106"/>
      <c r="L238" s="110" t="str">
        <f t="shared" si="27"/>
        <v/>
      </c>
      <c r="M238" s="106" t="str">
        <f t="shared" si="28"/>
        <v/>
      </c>
      <c r="N238" s="111" t="str">
        <f t="shared" si="29"/>
        <v/>
      </c>
    </row>
    <row r="239">
      <c r="A239" s="104"/>
      <c r="B239" s="105"/>
      <c r="C239" s="105"/>
      <c r="D239" s="105"/>
      <c r="E239" s="105" t="s">
        <v>1380</v>
      </c>
      <c r="F239" s="119" t="s">
        <v>1381</v>
      </c>
      <c r="G239" s="106">
        <v>7.09</v>
      </c>
      <c r="H239" s="107">
        <v>45968.0</v>
      </c>
      <c r="I239" s="107" t="b">
        <v>0</v>
      </c>
      <c r="J239" s="107"/>
      <c r="K239" s="106"/>
      <c r="L239" s="110" t="str">
        <f t="shared" si="27"/>
        <v/>
      </c>
      <c r="M239" s="106" t="str">
        <f t="shared" si="28"/>
        <v/>
      </c>
      <c r="N239" s="111" t="str">
        <f t="shared" si="29"/>
        <v/>
      </c>
    </row>
    <row r="240">
      <c r="A240" s="104"/>
      <c r="B240" s="105"/>
      <c r="C240" s="105"/>
      <c r="D240" s="105"/>
      <c r="E240" s="105" t="s">
        <v>1382</v>
      </c>
      <c r="F240" s="119" t="s">
        <v>1383</v>
      </c>
      <c r="G240" s="106">
        <v>7.09</v>
      </c>
      <c r="H240" s="107">
        <v>45968.0</v>
      </c>
      <c r="I240" s="107" t="b">
        <v>0</v>
      </c>
      <c r="J240" s="107"/>
      <c r="K240" s="106"/>
      <c r="L240" s="110" t="str">
        <f t="shared" si="27"/>
        <v/>
      </c>
      <c r="M240" s="106" t="str">
        <f t="shared" si="28"/>
        <v/>
      </c>
      <c r="N240" s="111" t="str">
        <f t="shared" si="29"/>
        <v/>
      </c>
    </row>
    <row r="241">
      <c r="A241" s="104"/>
      <c r="B241" s="105"/>
      <c r="C241" s="105"/>
      <c r="D241" s="105"/>
      <c r="E241" s="105" t="s">
        <v>1384</v>
      </c>
      <c r="F241" s="119" t="s">
        <v>1385</v>
      </c>
      <c r="G241" s="106">
        <v>7.09</v>
      </c>
      <c r="H241" s="107">
        <v>45968.0</v>
      </c>
      <c r="I241" s="107" t="b">
        <v>0</v>
      </c>
      <c r="J241" s="107"/>
      <c r="K241" s="106"/>
      <c r="L241" s="110" t="str">
        <f t="shared" si="27"/>
        <v/>
      </c>
      <c r="M241" s="106" t="str">
        <f t="shared" si="28"/>
        <v/>
      </c>
      <c r="N241" s="111" t="str">
        <f t="shared" si="29"/>
        <v/>
      </c>
    </row>
    <row r="242">
      <c r="A242" s="104"/>
      <c r="B242" s="105"/>
      <c r="C242" s="105"/>
      <c r="D242" s="105"/>
      <c r="E242" s="105" t="s">
        <v>1386</v>
      </c>
      <c r="F242" s="119" t="s">
        <v>1387</v>
      </c>
      <c r="G242" s="106">
        <v>7.09</v>
      </c>
      <c r="H242" s="107">
        <v>45968.0</v>
      </c>
      <c r="I242" s="107" t="b">
        <v>0</v>
      </c>
      <c r="J242" s="107"/>
      <c r="K242" s="106"/>
      <c r="L242" s="110" t="str">
        <f t="shared" si="27"/>
        <v/>
      </c>
      <c r="M242" s="106" t="str">
        <f t="shared" si="28"/>
        <v/>
      </c>
      <c r="N242" s="111" t="str">
        <f t="shared" si="29"/>
        <v/>
      </c>
    </row>
    <row r="243">
      <c r="A243" s="104"/>
      <c r="B243" s="105"/>
      <c r="C243" s="105"/>
      <c r="D243" s="105"/>
      <c r="E243" s="105" t="s">
        <v>1388</v>
      </c>
      <c r="F243" s="119" t="s">
        <v>1389</v>
      </c>
      <c r="G243" s="106">
        <v>7.09</v>
      </c>
      <c r="H243" s="107">
        <v>45969.0</v>
      </c>
      <c r="I243" s="107" t="b">
        <v>0</v>
      </c>
      <c r="J243" s="107"/>
      <c r="K243" s="106"/>
      <c r="L243" s="110" t="str">
        <f t="shared" si="27"/>
        <v/>
      </c>
      <c r="M243" s="106" t="str">
        <f t="shared" si="28"/>
        <v/>
      </c>
      <c r="N243" s="111" t="str">
        <f t="shared" si="29"/>
        <v/>
      </c>
    </row>
    <row r="244">
      <c r="A244" s="104"/>
      <c r="B244" s="105"/>
      <c r="C244" s="105"/>
      <c r="D244" s="105"/>
      <c r="E244" s="105" t="s">
        <v>1390</v>
      </c>
      <c r="F244" s="119" t="s">
        <v>1391</v>
      </c>
      <c r="G244" s="106">
        <v>7.09</v>
      </c>
      <c r="H244" s="107">
        <v>45969.0</v>
      </c>
      <c r="I244" s="107" t="b">
        <v>0</v>
      </c>
      <c r="J244" s="107"/>
      <c r="K244" s="106"/>
      <c r="L244" s="110" t="str">
        <f t="shared" si="27"/>
        <v/>
      </c>
      <c r="M244" s="106" t="str">
        <f t="shared" si="28"/>
        <v/>
      </c>
      <c r="N244" s="111" t="str">
        <f t="shared" si="29"/>
        <v/>
      </c>
    </row>
    <row r="245">
      <c r="A245" s="104"/>
      <c r="B245" s="105"/>
      <c r="C245" s="105"/>
      <c r="D245" s="105"/>
      <c r="E245" s="105" t="s">
        <v>1392</v>
      </c>
      <c r="F245" s="119" t="s">
        <v>1393</v>
      </c>
      <c r="G245" s="106">
        <v>7.09</v>
      </c>
      <c r="H245" s="107">
        <v>45969.0</v>
      </c>
      <c r="I245" s="107" t="b">
        <v>0</v>
      </c>
      <c r="J245" s="107"/>
      <c r="K245" s="106"/>
      <c r="L245" s="110" t="str">
        <f t="shared" si="27"/>
        <v/>
      </c>
      <c r="M245" s="106" t="str">
        <f t="shared" si="28"/>
        <v/>
      </c>
      <c r="N245" s="111" t="str">
        <f t="shared" si="29"/>
        <v/>
      </c>
    </row>
    <row r="246">
      <c r="A246" s="104"/>
      <c r="B246" s="105"/>
      <c r="C246" s="105"/>
      <c r="D246" s="105"/>
      <c r="E246" s="105" t="s">
        <v>1394</v>
      </c>
      <c r="F246" s="119" t="s">
        <v>1395</v>
      </c>
      <c r="G246" s="106">
        <v>7.09</v>
      </c>
      <c r="H246" s="107">
        <v>45969.0</v>
      </c>
      <c r="I246" s="107" t="b">
        <v>0</v>
      </c>
      <c r="J246" s="107"/>
      <c r="K246" s="106"/>
      <c r="L246" s="110" t="str">
        <f t="shared" si="27"/>
        <v/>
      </c>
      <c r="M246" s="106" t="str">
        <f t="shared" si="28"/>
        <v/>
      </c>
      <c r="N246" s="111" t="str">
        <f t="shared" si="29"/>
        <v/>
      </c>
    </row>
    <row r="247">
      <c r="A247" s="104"/>
      <c r="B247" s="105"/>
      <c r="C247" s="105"/>
      <c r="D247" s="105"/>
      <c r="E247" s="105" t="s">
        <v>1396</v>
      </c>
      <c r="F247" s="119" t="s">
        <v>1397</v>
      </c>
      <c r="G247" s="106">
        <v>7.09</v>
      </c>
      <c r="H247" s="107">
        <v>45969.0</v>
      </c>
      <c r="I247" s="107" t="b">
        <v>0</v>
      </c>
      <c r="J247" s="107"/>
      <c r="K247" s="106"/>
      <c r="L247" s="110" t="str">
        <f t="shared" si="27"/>
        <v/>
      </c>
      <c r="M247" s="106" t="str">
        <f t="shared" si="28"/>
        <v/>
      </c>
      <c r="N247" s="111" t="str">
        <f t="shared" si="29"/>
        <v/>
      </c>
    </row>
    <row r="248">
      <c r="A248" s="104"/>
      <c r="B248" s="105"/>
      <c r="C248" s="105"/>
      <c r="D248" s="105"/>
      <c r="E248" s="105" t="s">
        <v>1398</v>
      </c>
      <c r="F248" s="119" t="s">
        <v>1399</v>
      </c>
      <c r="G248" s="106">
        <v>7.09</v>
      </c>
      <c r="H248" s="107">
        <v>45969.0</v>
      </c>
      <c r="I248" s="107" t="b">
        <v>0</v>
      </c>
      <c r="J248" s="107"/>
      <c r="K248" s="106"/>
      <c r="L248" s="110" t="str">
        <f t="shared" si="27"/>
        <v/>
      </c>
      <c r="M248" s="106" t="str">
        <f t="shared" si="28"/>
        <v/>
      </c>
      <c r="N248" s="111" t="str">
        <f t="shared" si="29"/>
        <v/>
      </c>
    </row>
    <row r="249">
      <c r="A249" s="104"/>
      <c r="B249" s="105"/>
      <c r="C249" s="105"/>
      <c r="D249" s="105"/>
      <c r="E249" s="105" t="s">
        <v>1400</v>
      </c>
      <c r="F249" s="119" t="s">
        <v>1401</v>
      </c>
      <c r="G249" s="106">
        <v>7.09</v>
      </c>
      <c r="H249" s="107">
        <v>45969.0</v>
      </c>
      <c r="I249" s="107" t="b">
        <v>0</v>
      </c>
      <c r="J249" s="107"/>
      <c r="K249" s="106"/>
      <c r="L249" s="110" t="str">
        <f t="shared" si="27"/>
        <v/>
      </c>
      <c r="M249" s="106" t="str">
        <f t="shared" si="28"/>
        <v/>
      </c>
      <c r="N249" s="111" t="str">
        <f t="shared" si="29"/>
        <v/>
      </c>
    </row>
    <row r="250">
      <c r="A250" s="104"/>
      <c r="B250" s="105"/>
      <c r="C250" s="105"/>
      <c r="D250" s="105"/>
      <c r="E250" s="105" t="s">
        <v>1402</v>
      </c>
      <c r="F250" s="119" t="s">
        <v>1403</v>
      </c>
      <c r="G250" s="106">
        <v>7.09</v>
      </c>
      <c r="H250" s="107">
        <v>45969.0</v>
      </c>
      <c r="I250" s="107" t="b">
        <v>0</v>
      </c>
      <c r="J250" s="107"/>
      <c r="K250" s="106"/>
      <c r="L250" s="110" t="str">
        <f t="shared" si="27"/>
        <v/>
      </c>
      <c r="M250" s="106" t="str">
        <f t="shared" si="28"/>
        <v/>
      </c>
      <c r="N250" s="111" t="str">
        <f t="shared" si="29"/>
        <v/>
      </c>
    </row>
    <row r="251">
      <c r="A251" s="104"/>
      <c r="B251" s="105"/>
      <c r="C251" s="105"/>
      <c r="D251" s="105"/>
      <c r="E251" s="105" t="s">
        <v>1404</v>
      </c>
      <c r="F251" s="119" t="s">
        <v>1405</v>
      </c>
      <c r="G251" s="106">
        <v>7.09</v>
      </c>
      <c r="H251" s="107">
        <v>45969.0</v>
      </c>
      <c r="I251" s="107" t="b">
        <v>0</v>
      </c>
      <c r="J251" s="107"/>
      <c r="K251" s="106"/>
      <c r="L251" s="110" t="str">
        <f t="shared" si="27"/>
        <v/>
      </c>
      <c r="M251" s="106" t="str">
        <f t="shared" si="28"/>
        <v/>
      </c>
      <c r="N251" s="111" t="str">
        <f t="shared" si="29"/>
        <v/>
      </c>
    </row>
    <row r="252">
      <c r="A252" s="104"/>
      <c r="B252" s="105"/>
      <c r="C252" s="105"/>
      <c r="D252" s="105"/>
      <c r="E252" s="105" t="s">
        <v>1406</v>
      </c>
      <c r="F252" s="119" t="s">
        <v>1407</v>
      </c>
      <c r="G252" s="106">
        <v>7.09</v>
      </c>
      <c r="H252" s="107">
        <v>45969.0</v>
      </c>
      <c r="I252" s="107" t="b">
        <v>0</v>
      </c>
      <c r="J252" s="107"/>
      <c r="K252" s="106"/>
      <c r="L252" s="110" t="str">
        <f t="shared" si="27"/>
        <v/>
      </c>
      <c r="M252" s="106" t="str">
        <f t="shared" si="28"/>
        <v/>
      </c>
      <c r="N252" s="111" t="str">
        <f t="shared" si="29"/>
        <v/>
      </c>
    </row>
    <row r="253">
      <c r="A253" s="104"/>
      <c r="B253" s="105"/>
      <c r="C253" s="105"/>
      <c r="D253" s="105"/>
      <c r="E253" s="105" t="s">
        <v>1408</v>
      </c>
      <c r="F253" s="119" t="s">
        <v>1409</v>
      </c>
      <c r="G253" s="106">
        <v>7.09</v>
      </c>
      <c r="H253" s="107">
        <v>45970.0</v>
      </c>
      <c r="I253" s="107" t="b">
        <v>0</v>
      </c>
      <c r="J253" s="107"/>
      <c r="K253" s="106"/>
      <c r="L253" s="110" t="str">
        <f t="shared" si="27"/>
        <v/>
      </c>
      <c r="M253" s="106" t="str">
        <f t="shared" si="28"/>
        <v/>
      </c>
      <c r="N253" s="111" t="str">
        <f t="shared" si="29"/>
        <v/>
      </c>
    </row>
    <row r="254">
      <c r="A254" s="104"/>
      <c r="B254" s="105"/>
      <c r="C254" s="105"/>
      <c r="D254" s="105"/>
      <c r="E254" s="105" t="s">
        <v>1410</v>
      </c>
      <c r="F254" s="119" t="s">
        <v>1411</v>
      </c>
      <c r="G254" s="106">
        <v>7.09</v>
      </c>
      <c r="H254" s="107">
        <v>45970.0</v>
      </c>
      <c r="I254" s="107" t="b">
        <v>0</v>
      </c>
      <c r="J254" s="107"/>
      <c r="K254" s="106"/>
      <c r="L254" s="110" t="str">
        <f t="shared" si="27"/>
        <v/>
      </c>
      <c r="M254" s="106" t="str">
        <f t="shared" si="28"/>
        <v/>
      </c>
      <c r="N254" s="111" t="str">
        <f t="shared" si="29"/>
        <v/>
      </c>
    </row>
    <row r="255">
      <c r="A255" s="104"/>
      <c r="B255" s="105"/>
      <c r="C255" s="105"/>
      <c r="D255" s="105"/>
      <c r="E255" s="105" t="s">
        <v>1412</v>
      </c>
      <c r="F255" s="119" t="s">
        <v>1413</v>
      </c>
      <c r="G255" s="106">
        <v>7.09</v>
      </c>
      <c r="H255" s="107">
        <v>45970.0</v>
      </c>
      <c r="I255" s="107" t="b">
        <v>0</v>
      </c>
      <c r="J255" s="107"/>
      <c r="K255" s="106"/>
      <c r="L255" s="110" t="str">
        <f t="shared" si="27"/>
        <v/>
      </c>
      <c r="M255" s="106" t="str">
        <f t="shared" si="28"/>
        <v/>
      </c>
      <c r="N255" s="111" t="str">
        <f t="shared" si="29"/>
        <v/>
      </c>
    </row>
    <row r="256">
      <c r="A256" s="104"/>
      <c r="B256" s="105"/>
      <c r="C256" s="105"/>
      <c r="D256" s="105"/>
      <c r="E256" s="105" t="s">
        <v>1414</v>
      </c>
      <c r="F256" s="119" t="s">
        <v>1415</v>
      </c>
      <c r="G256" s="106">
        <v>7.09</v>
      </c>
      <c r="H256" s="107">
        <v>45970.0</v>
      </c>
      <c r="I256" s="107" t="b">
        <v>0</v>
      </c>
      <c r="J256" s="107"/>
      <c r="K256" s="106"/>
      <c r="L256" s="110" t="str">
        <f t="shared" si="27"/>
        <v/>
      </c>
      <c r="M256" s="106" t="str">
        <f t="shared" si="28"/>
        <v/>
      </c>
      <c r="N256" s="111" t="str">
        <f t="shared" si="29"/>
        <v/>
      </c>
    </row>
    <row r="257">
      <c r="A257" s="104"/>
      <c r="B257" s="105"/>
      <c r="C257" s="105"/>
      <c r="D257" s="105"/>
      <c r="E257" s="105" t="s">
        <v>1416</v>
      </c>
      <c r="F257" s="119" t="s">
        <v>1417</v>
      </c>
      <c r="G257" s="106">
        <v>7.09</v>
      </c>
      <c r="H257" s="107">
        <v>45970.0</v>
      </c>
      <c r="I257" s="107" t="b">
        <v>0</v>
      </c>
      <c r="J257" s="107"/>
      <c r="K257" s="106"/>
      <c r="L257" s="110" t="str">
        <f t="shared" si="27"/>
        <v/>
      </c>
      <c r="M257" s="106" t="str">
        <f t="shared" si="28"/>
        <v/>
      </c>
      <c r="N257" s="111" t="str">
        <f t="shared" si="29"/>
        <v/>
      </c>
    </row>
    <row r="258">
      <c r="A258" s="104"/>
      <c r="B258" s="105"/>
      <c r="C258" s="105"/>
      <c r="D258" s="105"/>
      <c r="E258" s="105" t="s">
        <v>1418</v>
      </c>
      <c r="F258" s="119" t="s">
        <v>1419</v>
      </c>
      <c r="G258" s="106">
        <v>7.09</v>
      </c>
      <c r="H258" s="107">
        <v>45970.0</v>
      </c>
      <c r="I258" s="107" t="b">
        <v>0</v>
      </c>
      <c r="J258" s="107"/>
      <c r="K258" s="106"/>
      <c r="L258" s="110" t="str">
        <f t="shared" si="27"/>
        <v/>
      </c>
      <c r="M258" s="106" t="str">
        <f t="shared" si="28"/>
        <v/>
      </c>
      <c r="N258" s="111" t="str">
        <f t="shared" si="29"/>
        <v/>
      </c>
    </row>
    <row r="259">
      <c r="A259" s="104"/>
      <c r="B259" s="105"/>
      <c r="C259" s="105"/>
      <c r="D259" s="105"/>
      <c r="E259" s="105" t="s">
        <v>1420</v>
      </c>
      <c r="F259" s="119" t="s">
        <v>1421</v>
      </c>
      <c r="G259" s="106">
        <v>7.09</v>
      </c>
      <c r="H259" s="107">
        <v>45970.0</v>
      </c>
      <c r="I259" s="107" t="b">
        <v>0</v>
      </c>
      <c r="J259" s="107"/>
      <c r="K259" s="106"/>
      <c r="L259" s="110" t="str">
        <f t="shared" si="27"/>
        <v/>
      </c>
      <c r="M259" s="106" t="str">
        <f t="shared" si="28"/>
        <v/>
      </c>
      <c r="N259" s="111" t="str">
        <f t="shared" si="29"/>
        <v/>
      </c>
    </row>
    <row r="260">
      <c r="A260" s="104"/>
      <c r="B260" s="105"/>
      <c r="C260" s="105"/>
      <c r="D260" s="105"/>
      <c r="E260" s="105" t="s">
        <v>1422</v>
      </c>
      <c r="F260" s="119" t="s">
        <v>1423</v>
      </c>
      <c r="G260" s="106">
        <v>7.09</v>
      </c>
      <c r="H260" s="107">
        <v>45970.0</v>
      </c>
      <c r="I260" s="107" t="b">
        <v>0</v>
      </c>
      <c r="J260" s="107"/>
      <c r="K260" s="106"/>
      <c r="L260" s="110" t="str">
        <f t="shared" si="27"/>
        <v/>
      </c>
      <c r="M260" s="106" t="str">
        <f t="shared" si="28"/>
        <v/>
      </c>
      <c r="N260" s="111" t="str">
        <f t="shared" si="29"/>
        <v/>
      </c>
    </row>
    <row r="261">
      <c r="A261" s="104"/>
      <c r="B261" s="105"/>
      <c r="C261" s="105"/>
      <c r="D261" s="105"/>
      <c r="E261" s="105" t="s">
        <v>1424</v>
      </c>
      <c r="F261" s="119" t="s">
        <v>1425</v>
      </c>
      <c r="G261" s="106">
        <v>7.09</v>
      </c>
      <c r="H261" s="107">
        <v>45970.0</v>
      </c>
      <c r="I261" s="107" t="b">
        <v>0</v>
      </c>
      <c r="J261" s="107"/>
      <c r="K261" s="106"/>
      <c r="L261" s="110" t="str">
        <f t="shared" si="27"/>
        <v/>
      </c>
      <c r="M261" s="106" t="str">
        <f t="shared" si="28"/>
        <v/>
      </c>
      <c r="N261" s="111" t="str">
        <f t="shared" si="29"/>
        <v/>
      </c>
    </row>
    <row r="262">
      <c r="A262" s="104"/>
      <c r="B262" s="105"/>
      <c r="C262" s="105"/>
      <c r="D262" s="105"/>
      <c r="E262" s="105" t="s">
        <v>1426</v>
      </c>
      <c r="F262" s="119" t="s">
        <v>1427</v>
      </c>
      <c r="G262" s="106">
        <v>7.09</v>
      </c>
      <c r="H262" s="107">
        <v>45970.0</v>
      </c>
      <c r="I262" s="107" t="b">
        <v>0</v>
      </c>
      <c r="J262" s="107"/>
      <c r="K262" s="106"/>
      <c r="L262" s="110" t="str">
        <f t="shared" si="27"/>
        <v/>
      </c>
      <c r="M262" s="106" t="str">
        <f t="shared" si="28"/>
        <v/>
      </c>
      <c r="N262" s="111" t="str">
        <f t="shared" si="29"/>
        <v/>
      </c>
    </row>
    <row r="263">
      <c r="A263" s="104"/>
      <c r="B263" s="105"/>
      <c r="C263" s="105"/>
      <c r="D263" s="105"/>
      <c r="E263" s="105" t="s">
        <v>1428</v>
      </c>
      <c r="F263" s="119" t="s">
        <v>1429</v>
      </c>
      <c r="G263" s="106">
        <v>7.09</v>
      </c>
      <c r="H263" s="107">
        <v>45971.0</v>
      </c>
      <c r="I263" s="107" t="b">
        <v>0</v>
      </c>
      <c r="J263" s="107"/>
      <c r="K263" s="106"/>
      <c r="L263" s="110" t="str">
        <f t="shared" si="27"/>
        <v/>
      </c>
      <c r="M263" s="106" t="str">
        <f t="shared" si="28"/>
        <v/>
      </c>
      <c r="N263" s="111" t="str">
        <f t="shared" si="29"/>
        <v/>
      </c>
    </row>
    <row r="264">
      <c r="A264" s="104"/>
      <c r="B264" s="105"/>
      <c r="C264" s="105"/>
      <c r="D264" s="105"/>
      <c r="E264" s="105" t="s">
        <v>1430</v>
      </c>
      <c r="F264" s="119" t="s">
        <v>1431</v>
      </c>
      <c r="G264" s="106">
        <v>7.09</v>
      </c>
      <c r="H264" s="107">
        <v>45971.0</v>
      </c>
      <c r="I264" s="107" t="b">
        <v>0</v>
      </c>
      <c r="J264" s="107"/>
      <c r="K264" s="106"/>
      <c r="L264" s="110" t="str">
        <f t="shared" si="27"/>
        <v/>
      </c>
      <c r="M264" s="106" t="str">
        <f t="shared" si="28"/>
        <v/>
      </c>
      <c r="N264" s="111" t="str">
        <f t="shared" si="29"/>
        <v/>
      </c>
    </row>
    <row r="265">
      <c r="A265" s="104"/>
      <c r="B265" s="105"/>
      <c r="C265" s="105"/>
      <c r="D265" s="105"/>
      <c r="E265" s="105" t="s">
        <v>1432</v>
      </c>
      <c r="F265" s="119" t="s">
        <v>1433</v>
      </c>
      <c r="G265" s="106">
        <v>7.09</v>
      </c>
      <c r="H265" s="107">
        <v>45971.0</v>
      </c>
      <c r="I265" s="107" t="b">
        <v>0</v>
      </c>
      <c r="J265" s="107"/>
      <c r="K265" s="106"/>
      <c r="L265" s="110" t="str">
        <f t="shared" si="27"/>
        <v/>
      </c>
      <c r="M265" s="106" t="str">
        <f t="shared" si="28"/>
        <v/>
      </c>
      <c r="N265" s="111" t="str">
        <f t="shared" si="29"/>
        <v/>
      </c>
    </row>
    <row r="266">
      <c r="A266" s="104"/>
      <c r="B266" s="105"/>
      <c r="C266" s="105"/>
      <c r="D266" s="105"/>
      <c r="E266" s="105" t="s">
        <v>1434</v>
      </c>
      <c r="F266" s="119" t="s">
        <v>1435</v>
      </c>
      <c r="G266" s="106">
        <v>7.09</v>
      </c>
      <c r="H266" s="107">
        <v>45971.0</v>
      </c>
      <c r="I266" s="107" t="b">
        <v>0</v>
      </c>
      <c r="J266" s="107"/>
      <c r="K266" s="106"/>
      <c r="L266" s="110" t="str">
        <f t="shared" si="27"/>
        <v/>
      </c>
      <c r="M266" s="106" t="str">
        <f t="shared" si="28"/>
        <v/>
      </c>
      <c r="N266" s="111" t="str">
        <f t="shared" si="29"/>
        <v/>
      </c>
    </row>
    <row r="267">
      <c r="A267" s="104"/>
      <c r="B267" s="105"/>
      <c r="C267" s="105"/>
      <c r="D267" s="105"/>
      <c r="E267" s="105" t="s">
        <v>1436</v>
      </c>
      <c r="F267" s="119" t="s">
        <v>1437</v>
      </c>
      <c r="G267" s="106">
        <v>7.09</v>
      </c>
      <c r="H267" s="107">
        <v>45971.0</v>
      </c>
      <c r="I267" s="107" t="b">
        <v>0</v>
      </c>
      <c r="J267" s="107"/>
      <c r="K267" s="106"/>
      <c r="L267" s="110" t="str">
        <f t="shared" si="27"/>
        <v/>
      </c>
      <c r="M267" s="106" t="str">
        <f t="shared" si="28"/>
        <v/>
      </c>
      <c r="N267" s="111" t="str">
        <f t="shared" si="29"/>
        <v/>
      </c>
    </row>
    <row r="268">
      <c r="A268" s="104"/>
      <c r="B268" s="105"/>
      <c r="C268" s="105"/>
      <c r="D268" s="105"/>
      <c r="E268" s="105" t="s">
        <v>1438</v>
      </c>
      <c r="F268" s="119" t="s">
        <v>1439</v>
      </c>
      <c r="G268" s="106">
        <v>7.09</v>
      </c>
      <c r="H268" s="107">
        <v>45971.0</v>
      </c>
      <c r="I268" s="107" t="b">
        <v>0</v>
      </c>
      <c r="J268" s="107"/>
      <c r="K268" s="106"/>
      <c r="L268" s="110" t="str">
        <f t="shared" si="27"/>
        <v/>
      </c>
      <c r="M268" s="106" t="str">
        <f t="shared" si="28"/>
        <v/>
      </c>
      <c r="N268" s="111" t="str">
        <f t="shared" si="29"/>
        <v/>
      </c>
    </row>
    <row r="269">
      <c r="A269" s="104"/>
      <c r="B269" s="105"/>
      <c r="C269" s="105"/>
      <c r="D269" s="105"/>
      <c r="E269" s="105" t="s">
        <v>1440</v>
      </c>
      <c r="F269" s="119" t="s">
        <v>1441</v>
      </c>
      <c r="G269" s="106">
        <v>7.09</v>
      </c>
      <c r="H269" s="107">
        <v>45971.0</v>
      </c>
      <c r="I269" s="107" t="b">
        <v>0</v>
      </c>
      <c r="J269" s="107"/>
      <c r="K269" s="106"/>
      <c r="L269" s="110" t="str">
        <f t="shared" si="27"/>
        <v/>
      </c>
      <c r="M269" s="106" t="str">
        <f t="shared" si="28"/>
        <v/>
      </c>
      <c r="N269" s="111" t="str">
        <f t="shared" si="29"/>
        <v/>
      </c>
    </row>
    <row r="270">
      <c r="A270" s="104"/>
      <c r="B270" s="105"/>
      <c r="C270" s="105"/>
      <c r="D270" s="105"/>
      <c r="E270" s="105" t="s">
        <v>1442</v>
      </c>
      <c r="F270" s="119" t="s">
        <v>1443</v>
      </c>
      <c r="G270" s="106">
        <v>7.09</v>
      </c>
      <c r="H270" s="107">
        <v>45971.0</v>
      </c>
      <c r="I270" s="107" t="b">
        <v>0</v>
      </c>
      <c r="J270" s="107"/>
      <c r="K270" s="106"/>
      <c r="L270" s="110" t="str">
        <f t="shared" si="27"/>
        <v/>
      </c>
      <c r="M270" s="106" t="str">
        <f t="shared" si="28"/>
        <v/>
      </c>
      <c r="N270" s="111" t="str">
        <f t="shared" si="29"/>
        <v/>
      </c>
    </row>
    <row r="271">
      <c r="A271" s="104"/>
      <c r="B271" s="105"/>
      <c r="C271" s="105"/>
      <c r="D271" s="105"/>
      <c r="E271" s="105" t="s">
        <v>1444</v>
      </c>
      <c r="F271" s="119" t="s">
        <v>1445</v>
      </c>
      <c r="G271" s="106">
        <v>7.09</v>
      </c>
      <c r="H271" s="107">
        <v>45971.0</v>
      </c>
      <c r="I271" s="107" t="b">
        <v>0</v>
      </c>
      <c r="J271" s="107"/>
      <c r="K271" s="106"/>
      <c r="L271" s="110" t="str">
        <f t="shared" si="27"/>
        <v/>
      </c>
      <c r="M271" s="106" t="str">
        <f t="shared" si="28"/>
        <v/>
      </c>
      <c r="N271" s="111" t="str">
        <f t="shared" si="29"/>
        <v/>
      </c>
    </row>
    <row r="272">
      <c r="A272" s="104"/>
      <c r="B272" s="105"/>
      <c r="C272" s="105"/>
      <c r="D272" s="105"/>
      <c r="E272" s="105" t="s">
        <v>1446</v>
      </c>
      <c r="F272" s="119" t="s">
        <v>1447</v>
      </c>
      <c r="G272" s="106">
        <v>7.09</v>
      </c>
      <c r="H272" s="107">
        <v>45971.0</v>
      </c>
      <c r="I272" s="107" t="b">
        <v>0</v>
      </c>
      <c r="J272" s="107"/>
      <c r="K272" s="106"/>
      <c r="L272" s="110" t="str">
        <f t="shared" si="27"/>
        <v/>
      </c>
      <c r="M272" s="106" t="str">
        <f t="shared" si="28"/>
        <v/>
      </c>
      <c r="N272" s="111" t="str">
        <f t="shared" si="29"/>
        <v/>
      </c>
    </row>
    <row r="273">
      <c r="A273" s="104"/>
      <c r="B273" s="105"/>
      <c r="C273" s="105"/>
      <c r="D273" s="105"/>
      <c r="E273" s="105" t="s">
        <v>1448</v>
      </c>
      <c r="F273" s="119" t="s">
        <v>1449</v>
      </c>
      <c r="G273" s="106">
        <v>7.09</v>
      </c>
      <c r="H273" s="107">
        <v>45972.0</v>
      </c>
      <c r="I273" s="107" t="b">
        <v>0</v>
      </c>
      <c r="J273" s="107"/>
      <c r="K273" s="106"/>
      <c r="L273" s="110" t="str">
        <f t="shared" si="27"/>
        <v/>
      </c>
      <c r="M273" s="106" t="str">
        <f t="shared" si="28"/>
        <v/>
      </c>
      <c r="N273" s="111" t="str">
        <f t="shared" si="29"/>
        <v/>
      </c>
    </row>
    <row r="274">
      <c r="A274" s="104"/>
      <c r="B274" s="105"/>
      <c r="C274" s="105"/>
      <c r="D274" s="105"/>
      <c r="E274" s="105" t="s">
        <v>1450</v>
      </c>
      <c r="F274" s="119" t="s">
        <v>1451</v>
      </c>
      <c r="G274" s="106">
        <v>7.09</v>
      </c>
      <c r="H274" s="107">
        <v>45972.0</v>
      </c>
      <c r="I274" s="107" t="b">
        <v>0</v>
      </c>
      <c r="J274" s="107"/>
      <c r="K274" s="106"/>
      <c r="L274" s="110" t="str">
        <f t="shared" si="27"/>
        <v/>
      </c>
      <c r="M274" s="106" t="str">
        <f t="shared" si="28"/>
        <v/>
      </c>
      <c r="N274" s="111" t="str">
        <f t="shared" si="29"/>
        <v/>
      </c>
    </row>
    <row r="275">
      <c r="A275" s="104"/>
      <c r="B275" s="105"/>
      <c r="C275" s="105"/>
      <c r="D275" s="105"/>
      <c r="E275" s="105" t="s">
        <v>1452</v>
      </c>
      <c r="F275" s="119" t="s">
        <v>1453</v>
      </c>
      <c r="G275" s="106">
        <v>7.09</v>
      </c>
      <c r="H275" s="107">
        <v>45972.0</v>
      </c>
      <c r="I275" s="107" t="b">
        <v>0</v>
      </c>
      <c r="J275" s="107"/>
      <c r="K275" s="106"/>
      <c r="L275" s="110" t="str">
        <f t="shared" si="27"/>
        <v/>
      </c>
      <c r="M275" s="106" t="str">
        <f t="shared" si="28"/>
        <v/>
      </c>
      <c r="N275" s="111" t="str">
        <f t="shared" si="29"/>
        <v/>
      </c>
    </row>
    <row r="276">
      <c r="A276" s="104"/>
      <c r="B276" s="105"/>
      <c r="C276" s="105"/>
      <c r="D276" s="105"/>
      <c r="E276" s="105" t="s">
        <v>1454</v>
      </c>
      <c r="F276" s="119" t="s">
        <v>1455</v>
      </c>
      <c r="G276" s="106">
        <v>7.09</v>
      </c>
      <c r="H276" s="107">
        <v>45972.0</v>
      </c>
      <c r="I276" s="107" t="b">
        <v>0</v>
      </c>
      <c r="J276" s="107"/>
      <c r="K276" s="106"/>
      <c r="L276" s="110" t="str">
        <f t="shared" si="27"/>
        <v/>
      </c>
      <c r="M276" s="106" t="str">
        <f t="shared" si="28"/>
        <v/>
      </c>
      <c r="N276" s="111" t="str">
        <f t="shared" si="29"/>
        <v/>
      </c>
    </row>
    <row r="277">
      <c r="A277" s="104"/>
      <c r="B277" s="105"/>
      <c r="C277" s="105"/>
      <c r="D277" s="105"/>
      <c r="E277" s="105" t="s">
        <v>1456</v>
      </c>
      <c r="F277" s="119" t="s">
        <v>1457</v>
      </c>
      <c r="G277" s="106">
        <v>7.09</v>
      </c>
      <c r="H277" s="107">
        <v>45972.0</v>
      </c>
      <c r="I277" s="107" t="b">
        <v>0</v>
      </c>
      <c r="J277" s="107"/>
      <c r="K277" s="106"/>
      <c r="L277" s="110" t="str">
        <f t="shared" si="27"/>
        <v/>
      </c>
      <c r="M277" s="106" t="str">
        <f t="shared" si="28"/>
        <v/>
      </c>
      <c r="N277" s="111" t="str">
        <f t="shared" si="29"/>
        <v/>
      </c>
    </row>
    <row r="278">
      <c r="A278" s="104"/>
      <c r="B278" s="105"/>
      <c r="C278" s="105"/>
      <c r="D278" s="105"/>
      <c r="E278" s="105" t="s">
        <v>1458</v>
      </c>
      <c r="F278" s="119" t="s">
        <v>1459</v>
      </c>
      <c r="G278" s="106">
        <v>7.09</v>
      </c>
      <c r="H278" s="107">
        <v>45972.0</v>
      </c>
      <c r="I278" s="107" t="b">
        <v>0</v>
      </c>
      <c r="J278" s="107"/>
      <c r="K278" s="106"/>
      <c r="L278" s="110" t="str">
        <f t="shared" si="27"/>
        <v/>
      </c>
      <c r="M278" s="106" t="str">
        <f t="shared" si="28"/>
        <v/>
      </c>
      <c r="N278" s="111" t="str">
        <f t="shared" si="29"/>
        <v/>
      </c>
    </row>
    <row r="279">
      <c r="A279" s="104"/>
      <c r="B279" s="105"/>
      <c r="C279" s="105"/>
      <c r="D279" s="105"/>
      <c r="E279" s="105" t="s">
        <v>1460</v>
      </c>
      <c r="F279" s="119" t="s">
        <v>1461</v>
      </c>
      <c r="G279" s="106">
        <v>7.09</v>
      </c>
      <c r="H279" s="107">
        <v>45972.0</v>
      </c>
      <c r="I279" s="107" t="b">
        <v>0</v>
      </c>
      <c r="J279" s="107"/>
      <c r="K279" s="106"/>
      <c r="L279" s="110" t="str">
        <f t="shared" si="27"/>
        <v/>
      </c>
      <c r="M279" s="106" t="str">
        <f t="shared" si="28"/>
        <v/>
      </c>
      <c r="N279" s="111" t="str">
        <f t="shared" si="29"/>
        <v/>
      </c>
    </row>
    <row r="280">
      <c r="A280" s="104"/>
      <c r="B280" s="105"/>
      <c r="C280" s="105"/>
      <c r="D280" s="105"/>
      <c r="E280" s="105" t="s">
        <v>1462</v>
      </c>
      <c r="F280" s="119" t="s">
        <v>1463</v>
      </c>
      <c r="G280" s="106">
        <v>7.09</v>
      </c>
      <c r="H280" s="107">
        <v>45972.0</v>
      </c>
      <c r="I280" s="107" t="b">
        <v>0</v>
      </c>
      <c r="J280" s="107"/>
      <c r="K280" s="106"/>
      <c r="L280" s="110" t="str">
        <f t="shared" si="27"/>
        <v/>
      </c>
      <c r="M280" s="106" t="str">
        <f t="shared" si="28"/>
        <v/>
      </c>
      <c r="N280" s="111" t="str">
        <f t="shared" si="29"/>
        <v/>
      </c>
    </row>
    <row r="281">
      <c r="A281" s="104"/>
      <c r="B281" s="105"/>
      <c r="C281" s="105"/>
      <c r="D281" s="105"/>
      <c r="E281" s="105" t="s">
        <v>1464</v>
      </c>
      <c r="F281" s="119" t="s">
        <v>1465</v>
      </c>
      <c r="G281" s="106">
        <v>7.09</v>
      </c>
      <c r="H281" s="107">
        <v>45972.0</v>
      </c>
      <c r="I281" s="107" t="b">
        <v>0</v>
      </c>
      <c r="J281" s="107"/>
      <c r="K281" s="106"/>
      <c r="L281" s="110" t="str">
        <f t="shared" si="27"/>
        <v/>
      </c>
      <c r="M281" s="106" t="str">
        <f t="shared" si="28"/>
        <v/>
      </c>
      <c r="N281" s="111" t="str">
        <f t="shared" si="29"/>
        <v/>
      </c>
    </row>
    <row r="282">
      <c r="A282" s="104"/>
      <c r="B282" s="105"/>
      <c r="C282" s="105"/>
      <c r="D282" s="105"/>
      <c r="E282" s="105" t="s">
        <v>1466</v>
      </c>
      <c r="F282" s="119" t="s">
        <v>1467</v>
      </c>
      <c r="G282" s="106">
        <v>7.09</v>
      </c>
      <c r="H282" s="107">
        <v>45972.0</v>
      </c>
      <c r="I282" s="107" t="b">
        <v>0</v>
      </c>
      <c r="J282" s="107"/>
      <c r="K282" s="106"/>
      <c r="L282" s="110" t="str">
        <f t="shared" si="27"/>
        <v/>
      </c>
      <c r="M282" s="106" t="str">
        <f t="shared" si="28"/>
        <v/>
      </c>
      <c r="N282" s="111" t="str">
        <f t="shared" si="29"/>
        <v/>
      </c>
    </row>
    <row r="283">
      <c r="A283" s="104"/>
      <c r="B283" s="105"/>
      <c r="C283" s="105"/>
      <c r="D283" s="105"/>
      <c r="E283" s="105" t="s">
        <v>1468</v>
      </c>
      <c r="F283" s="119" t="s">
        <v>1469</v>
      </c>
      <c r="G283" s="106">
        <v>7.09</v>
      </c>
      <c r="H283" s="107">
        <v>45973.0</v>
      </c>
      <c r="I283" s="107" t="b">
        <v>0</v>
      </c>
      <c r="J283" s="107"/>
      <c r="K283" s="106"/>
      <c r="L283" s="110" t="str">
        <f t="shared" si="27"/>
        <v/>
      </c>
      <c r="M283" s="106" t="str">
        <f t="shared" si="28"/>
        <v/>
      </c>
      <c r="N283" s="111" t="str">
        <f t="shared" si="29"/>
        <v/>
      </c>
    </row>
    <row r="284">
      <c r="A284" s="104"/>
      <c r="B284" s="105"/>
      <c r="C284" s="105"/>
      <c r="D284" s="105"/>
      <c r="E284" s="105" t="s">
        <v>1470</v>
      </c>
      <c r="F284" s="119" t="s">
        <v>1471</v>
      </c>
      <c r="G284" s="106">
        <v>7.09</v>
      </c>
      <c r="H284" s="107">
        <v>45973.0</v>
      </c>
      <c r="I284" s="107" t="b">
        <v>0</v>
      </c>
      <c r="J284" s="107"/>
      <c r="K284" s="106"/>
      <c r="L284" s="110" t="str">
        <f t="shared" si="27"/>
        <v/>
      </c>
      <c r="M284" s="106" t="str">
        <f t="shared" si="28"/>
        <v/>
      </c>
      <c r="N284" s="111" t="str">
        <f t="shared" si="29"/>
        <v/>
      </c>
    </row>
    <row r="285">
      <c r="A285" s="104"/>
      <c r="B285" s="105"/>
      <c r="C285" s="105"/>
      <c r="D285" s="105"/>
      <c r="E285" s="105" t="s">
        <v>1472</v>
      </c>
      <c r="F285" s="119" t="s">
        <v>1473</v>
      </c>
      <c r="G285" s="106">
        <v>7.09</v>
      </c>
      <c r="H285" s="107">
        <v>45973.0</v>
      </c>
      <c r="I285" s="107" t="b">
        <v>0</v>
      </c>
      <c r="J285" s="107"/>
      <c r="K285" s="106"/>
      <c r="L285" s="110" t="str">
        <f t="shared" si="27"/>
        <v/>
      </c>
      <c r="M285" s="106" t="str">
        <f t="shared" si="28"/>
        <v/>
      </c>
      <c r="N285" s="111" t="str">
        <f t="shared" si="29"/>
        <v/>
      </c>
    </row>
    <row r="286">
      <c r="A286" s="104"/>
      <c r="B286" s="105"/>
      <c r="C286" s="105"/>
      <c r="D286" s="105"/>
      <c r="E286" s="105" t="s">
        <v>1474</v>
      </c>
      <c r="F286" s="119" t="s">
        <v>1475</v>
      </c>
      <c r="G286" s="106">
        <v>7.09</v>
      </c>
      <c r="H286" s="107">
        <v>45973.0</v>
      </c>
      <c r="I286" s="107" t="b">
        <v>0</v>
      </c>
      <c r="J286" s="107"/>
      <c r="K286" s="106"/>
      <c r="L286" s="110" t="str">
        <f t="shared" si="27"/>
        <v/>
      </c>
      <c r="M286" s="106" t="str">
        <f t="shared" si="28"/>
        <v/>
      </c>
      <c r="N286" s="111" t="str">
        <f t="shared" si="29"/>
        <v/>
      </c>
    </row>
    <row r="287">
      <c r="A287" s="104"/>
      <c r="B287" s="105"/>
      <c r="C287" s="105"/>
      <c r="D287" s="105"/>
      <c r="E287" s="105" t="s">
        <v>1476</v>
      </c>
      <c r="F287" s="119" t="s">
        <v>1477</v>
      </c>
      <c r="G287" s="106">
        <v>7.09</v>
      </c>
      <c r="H287" s="107">
        <v>45973.0</v>
      </c>
      <c r="I287" s="107" t="b">
        <v>0</v>
      </c>
      <c r="J287" s="107"/>
      <c r="K287" s="106"/>
      <c r="L287" s="110" t="str">
        <f t="shared" si="27"/>
        <v/>
      </c>
      <c r="M287" s="106" t="str">
        <f t="shared" si="28"/>
        <v/>
      </c>
      <c r="N287" s="111" t="str">
        <f t="shared" si="29"/>
        <v/>
      </c>
    </row>
    <row r="288">
      <c r="A288" s="104"/>
      <c r="B288" s="105"/>
      <c r="C288" s="105"/>
      <c r="D288" s="105"/>
      <c r="E288" s="105" t="s">
        <v>1478</v>
      </c>
      <c r="F288" s="119" t="s">
        <v>1479</v>
      </c>
      <c r="G288" s="106">
        <v>7.09</v>
      </c>
      <c r="H288" s="107">
        <v>45973.0</v>
      </c>
      <c r="I288" s="107" t="b">
        <v>0</v>
      </c>
      <c r="J288" s="107"/>
      <c r="K288" s="106"/>
      <c r="L288" s="110" t="str">
        <f t="shared" si="27"/>
        <v/>
      </c>
      <c r="M288" s="106" t="str">
        <f t="shared" si="28"/>
        <v/>
      </c>
      <c r="N288" s="111" t="str">
        <f t="shared" si="29"/>
        <v/>
      </c>
    </row>
    <row r="289">
      <c r="A289" s="104"/>
      <c r="B289" s="105"/>
      <c r="C289" s="105"/>
      <c r="D289" s="105"/>
      <c r="E289" s="105" t="s">
        <v>1480</v>
      </c>
      <c r="F289" s="119" t="s">
        <v>1481</v>
      </c>
      <c r="G289" s="106">
        <v>7.09</v>
      </c>
      <c r="H289" s="107">
        <v>45973.0</v>
      </c>
      <c r="I289" s="107" t="b">
        <v>0</v>
      </c>
      <c r="J289" s="107"/>
      <c r="K289" s="106"/>
      <c r="L289" s="110" t="str">
        <f t="shared" si="27"/>
        <v/>
      </c>
      <c r="M289" s="106" t="str">
        <f t="shared" si="28"/>
        <v/>
      </c>
      <c r="N289" s="111" t="str">
        <f t="shared" si="29"/>
        <v/>
      </c>
    </row>
    <row r="290">
      <c r="A290" s="104"/>
      <c r="B290" s="105"/>
      <c r="C290" s="105"/>
      <c r="D290" s="105"/>
      <c r="E290" s="105" t="s">
        <v>1482</v>
      </c>
      <c r="F290" s="119" t="s">
        <v>1483</v>
      </c>
      <c r="G290" s="106">
        <v>7.09</v>
      </c>
      <c r="H290" s="107">
        <v>45973.0</v>
      </c>
      <c r="I290" s="107" t="b">
        <v>0</v>
      </c>
      <c r="J290" s="107"/>
      <c r="K290" s="106"/>
      <c r="L290" s="110" t="str">
        <f t="shared" si="27"/>
        <v/>
      </c>
      <c r="M290" s="106" t="str">
        <f t="shared" si="28"/>
        <v/>
      </c>
      <c r="N290" s="111" t="str">
        <f t="shared" si="29"/>
        <v/>
      </c>
    </row>
    <row r="291">
      <c r="A291" s="104"/>
      <c r="B291" s="105"/>
      <c r="C291" s="105"/>
      <c r="D291" s="105"/>
      <c r="E291" s="105" t="s">
        <v>1484</v>
      </c>
      <c r="F291" s="119" t="s">
        <v>1485</v>
      </c>
      <c r="G291" s="106">
        <v>7.09</v>
      </c>
      <c r="H291" s="107">
        <v>45973.0</v>
      </c>
      <c r="I291" s="107" t="b">
        <v>0</v>
      </c>
      <c r="J291" s="107"/>
      <c r="K291" s="106"/>
      <c r="L291" s="110" t="str">
        <f t="shared" si="27"/>
        <v/>
      </c>
      <c r="M291" s="106" t="str">
        <f t="shared" si="28"/>
        <v/>
      </c>
      <c r="N291" s="111" t="str">
        <f t="shared" si="29"/>
        <v/>
      </c>
    </row>
    <row r="292">
      <c r="A292" s="104"/>
      <c r="B292" s="105"/>
      <c r="C292" s="105"/>
      <c r="D292" s="105"/>
      <c r="E292" s="105" t="s">
        <v>1486</v>
      </c>
      <c r="F292" s="119" t="s">
        <v>1487</v>
      </c>
      <c r="G292" s="106">
        <v>7.09</v>
      </c>
      <c r="H292" s="107">
        <v>45973.0</v>
      </c>
      <c r="I292" s="107" t="b">
        <v>0</v>
      </c>
      <c r="J292" s="107"/>
      <c r="K292" s="106"/>
      <c r="L292" s="110" t="str">
        <f t="shared" si="27"/>
        <v/>
      </c>
      <c r="M292" s="106" t="str">
        <f t="shared" si="28"/>
        <v/>
      </c>
      <c r="N292" s="111" t="str">
        <f t="shared" si="29"/>
        <v/>
      </c>
    </row>
    <row r="293">
      <c r="A293" s="104"/>
      <c r="B293" s="105"/>
      <c r="C293" s="105"/>
      <c r="D293" s="105"/>
      <c r="E293" s="105" t="s">
        <v>1488</v>
      </c>
      <c r="F293" s="119" t="s">
        <v>1489</v>
      </c>
      <c r="G293" s="106">
        <v>7.09</v>
      </c>
      <c r="H293" s="107">
        <v>45974.0</v>
      </c>
      <c r="I293" s="107" t="b">
        <v>0</v>
      </c>
      <c r="J293" s="107"/>
      <c r="K293" s="106"/>
      <c r="L293" s="110" t="str">
        <f t="shared" si="27"/>
        <v/>
      </c>
      <c r="M293" s="106" t="str">
        <f t="shared" si="28"/>
        <v/>
      </c>
      <c r="N293" s="111" t="str">
        <f t="shared" si="29"/>
        <v/>
      </c>
    </row>
    <row r="294">
      <c r="A294" s="104"/>
      <c r="B294" s="105"/>
      <c r="C294" s="105"/>
      <c r="D294" s="105"/>
      <c r="E294" s="105" t="s">
        <v>1490</v>
      </c>
      <c r="F294" s="119" t="s">
        <v>1491</v>
      </c>
      <c r="G294" s="106">
        <v>7.09</v>
      </c>
      <c r="H294" s="107">
        <v>45974.0</v>
      </c>
      <c r="I294" s="107" t="b">
        <v>0</v>
      </c>
      <c r="J294" s="107"/>
      <c r="K294" s="106"/>
      <c r="L294" s="110" t="str">
        <f t="shared" si="27"/>
        <v/>
      </c>
      <c r="M294" s="106" t="str">
        <f t="shared" si="28"/>
        <v/>
      </c>
      <c r="N294" s="111" t="str">
        <f t="shared" si="29"/>
        <v/>
      </c>
    </row>
    <row r="295">
      <c r="A295" s="112"/>
      <c r="B295" s="113"/>
      <c r="C295" s="113"/>
      <c r="D295" s="113"/>
      <c r="E295" s="113"/>
      <c r="F295" s="113"/>
      <c r="G295" s="114"/>
      <c r="H295" s="115"/>
      <c r="I295" s="113" t="b">
        <v>0</v>
      </c>
      <c r="J295" s="115"/>
      <c r="K295" s="114"/>
      <c r="L295" s="116"/>
      <c r="M295" s="114"/>
      <c r="N295" s="117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</row>
    <row r="296">
      <c r="A296" s="104"/>
      <c r="B296" s="105"/>
      <c r="C296" s="105"/>
      <c r="D296" s="105"/>
      <c r="E296" s="105" t="s">
        <v>1492</v>
      </c>
      <c r="F296" s="108" t="s">
        <v>1493</v>
      </c>
      <c r="G296" s="106">
        <v>9.97</v>
      </c>
      <c r="H296" s="107">
        <v>45974.0</v>
      </c>
      <c r="I296" s="107" t="b">
        <v>0</v>
      </c>
      <c r="J296" s="107"/>
      <c r="K296" s="122"/>
      <c r="L296" s="110" t="str">
        <f t="shared" ref="L296:L315" si="30">IF(ISBLANK(J296),"",J296-H296)</f>
        <v/>
      </c>
      <c r="M296" s="106" t="str">
        <f t="shared" ref="M296:M315" si="31">IF(K296="","",IF(K296-G296&lt;0,"",K296-G296))</f>
        <v/>
      </c>
      <c r="N296" s="111" t="str">
        <f t="shared" ref="N296:N315" si="32">IF(K296="","",IF(K296/G296&lt;0,"",K296/G296))</f>
        <v/>
      </c>
    </row>
    <row r="297">
      <c r="A297" s="104"/>
      <c r="B297" s="105"/>
      <c r="C297" s="105"/>
      <c r="D297" s="105"/>
      <c r="E297" s="105" t="s">
        <v>1494</v>
      </c>
      <c r="F297" s="108" t="s">
        <v>1495</v>
      </c>
      <c r="G297" s="106">
        <v>9.97</v>
      </c>
      <c r="H297" s="107">
        <v>45974.0</v>
      </c>
      <c r="I297" s="105" t="b">
        <v>0</v>
      </c>
      <c r="J297" s="107"/>
      <c r="K297" s="106"/>
      <c r="L297" s="110" t="str">
        <f t="shared" si="30"/>
        <v/>
      </c>
      <c r="M297" s="106" t="str">
        <f t="shared" si="31"/>
        <v/>
      </c>
      <c r="N297" s="111" t="str">
        <f t="shared" si="32"/>
        <v/>
      </c>
    </row>
    <row r="298">
      <c r="A298" s="104"/>
      <c r="B298" s="105"/>
      <c r="C298" s="105"/>
      <c r="D298" s="105"/>
      <c r="E298" s="105" t="s">
        <v>1496</v>
      </c>
      <c r="F298" s="108" t="s">
        <v>1497</v>
      </c>
      <c r="G298" s="106">
        <v>9.97</v>
      </c>
      <c r="H298" s="107">
        <v>45974.0</v>
      </c>
      <c r="I298" s="107" t="b">
        <v>0</v>
      </c>
      <c r="J298" s="107"/>
      <c r="K298" s="122"/>
      <c r="L298" s="110" t="str">
        <f t="shared" si="30"/>
        <v/>
      </c>
      <c r="M298" s="106" t="str">
        <f t="shared" si="31"/>
        <v/>
      </c>
      <c r="N298" s="111" t="str">
        <f t="shared" si="32"/>
        <v/>
      </c>
    </row>
    <row r="299">
      <c r="A299" s="104"/>
      <c r="B299" s="105"/>
      <c r="C299" s="105"/>
      <c r="D299" s="105"/>
      <c r="E299" s="105" t="s">
        <v>1498</v>
      </c>
      <c r="F299" s="108" t="s">
        <v>1499</v>
      </c>
      <c r="G299" s="106">
        <v>9.97</v>
      </c>
      <c r="H299" s="107">
        <v>45974.0</v>
      </c>
      <c r="I299" s="107" t="b">
        <v>0</v>
      </c>
      <c r="J299" s="107"/>
      <c r="K299" s="122"/>
      <c r="L299" s="110" t="str">
        <f t="shared" si="30"/>
        <v/>
      </c>
      <c r="M299" s="106" t="str">
        <f t="shared" si="31"/>
        <v/>
      </c>
      <c r="N299" s="111" t="str">
        <f t="shared" si="32"/>
        <v/>
      </c>
    </row>
    <row r="300">
      <c r="A300" s="104"/>
      <c r="B300" s="105"/>
      <c r="C300" s="105"/>
      <c r="D300" s="105"/>
      <c r="E300" s="105" t="s">
        <v>1500</v>
      </c>
      <c r="F300" s="108" t="s">
        <v>1501</v>
      </c>
      <c r="G300" s="106">
        <v>9.97</v>
      </c>
      <c r="H300" s="107">
        <v>45974.0</v>
      </c>
      <c r="I300" s="107" t="b">
        <v>0</v>
      </c>
      <c r="J300" s="107"/>
      <c r="K300" s="122"/>
      <c r="L300" s="110" t="str">
        <f t="shared" si="30"/>
        <v/>
      </c>
      <c r="M300" s="106" t="str">
        <f t="shared" si="31"/>
        <v/>
      </c>
      <c r="N300" s="111" t="str">
        <f t="shared" si="32"/>
        <v/>
      </c>
    </row>
    <row r="301">
      <c r="A301" s="104"/>
      <c r="B301" s="105"/>
      <c r="C301" s="105"/>
      <c r="D301" s="105"/>
      <c r="E301" s="105" t="s">
        <v>1502</v>
      </c>
      <c r="F301" s="108" t="s">
        <v>1503</v>
      </c>
      <c r="G301" s="106">
        <v>9.97</v>
      </c>
      <c r="H301" s="107">
        <v>45974.0</v>
      </c>
      <c r="I301" s="107" t="b">
        <v>0</v>
      </c>
      <c r="J301" s="107"/>
      <c r="K301" s="122"/>
      <c r="L301" s="110" t="str">
        <f t="shared" si="30"/>
        <v/>
      </c>
      <c r="M301" s="106" t="str">
        <f t="shared" si="31"/>
        <v/>
      </c>
      <c r="N301" s="111" t="str">
        <f t="shared" si="32"/>
        <v/>
      </c>
    </row>
    <row r="302">
      <c r="A302" s="104"/>
      <c r="B302" s="105"/>
      <c r="C302" s="105"/>
      <c r="D302" s="105"/>
      <c r="E302" s="105" t="s">
        <v>1504</v>
      </c>
      <c r="F302" s="108" t="s">
        <v>1505</v>
      </c>
      <c r="G302" s="106">
        <v>9.97</v>
      </c>
      <c r="H302" s="107">
        <v>45974.0</v>
      </c>
      <c r="I302" s="107" t="b">
        <v>0</v>
      </c>
      <c r="J302" s="107"/>
      <c r="K302" s="122"/>
      <c r="L302" s="110" t="str">
        <f t="shared" si="30"/>
        <v/>
      </c>
      <c r="M302" s="106" t="str">
        <f t="shared" si="31"/>
        <v/>
      </c>
      <c r="N302" s="111" t="str">
        <f t="shared" si="32"/>
        <v/>
      </c>
    </row>
    <row r="303">
      <c r="A303" s="104"/>
      <c r="B303" s="105"/>
      <c r="C303" s="105"/>
      <c r="D303" s="105"/>
      <c r="E303" s="105" t="s">
        <v>1506</v>
      </c>
      <c r="F303" s="108" t="s">
        <v>1507</v>
      </c>
      <c r="G303" s="106">
        <v>9.97</v>
      </c>
      <c r="H303" s="107">
        <v>45974.0</v>
      </c>
      <c r="I303" s="107" t="b">
        <v>0</v>
      </c>
      <c r="J303" s="107"/>
      <c r="K303" s="122"/>
      <c r="L303" s="110" t="str">
        <f t="shared" si="30"/>
        <v/>
      </c>
      <c r="M303" s="106" t="str">
        <f t="shared" si="31"/>
        <v/>
      </c>
      <c r="N303" s="111" t="str">
        <f t="shared" si="32"/>
        <v/>
      </c>
    </row>
    <row r="304">
      <c r="A304" s="104"/>
      <c r="B304" s="105"/>
      <c r="C304" s="105"/>
      <c r="D304" s="105"/>
      <c r="E304" s="105" t="s">
        <v>1508</v>
      </c>
      <c r="F304" s="108" t="s">
        <v>1509</v>
      </c>
      <c r="G304" s="106">
        <v>9.97</v>
      </c>
      <c r="H304" s="107">
        <v>45975.0</v>
      </c>
      <c r="I304" s="107" t="b">
        <v>0</v>
      </c>
      <c r="J304" s="107"/>
      <c r="K304" s="122"/>
      <c r="L304" s="110" t="str">
        <f t="shared" si="30"/>
        <v/>
      </c>
      <c r="M304" s="106" t="str">
        <f t="shared" si="31"/>
        <v/>
      </c>
      <c r="N304" s="111" t="str">
        <f t="shared" si="32"/>
        <v/>
      </c>
    </row>
    <row r="305">
      <c r="A305" s="104"/>
      <c r="B305" s="105"/>
      <c r="C305" s="105"/>
      <c r="D305" s="105"/>
      <c r="E305" s="105" t="s">
        <v>1510</v>
      </c>
      <c r="F305" s="108" t="s">
        <v>1511</v>
      </c>
      <c r="G305" s="106">
        <v>9.97</v>
      </c>
      <c r="H305" s="107">
        <v>45975.0</v>
      </c>
      <c r="I305" s="107" t="b">
        <v>0</v>
      </c>
      <c r="J305" s="107"/>
      <c r="K305" s="122"/>
      <c r="L305" s="110" t="str">
        <f t="shared" si="30"/>
        <v/>
      </c>
      <c r="M305" s="106" t="str">
        <f t="shared" si="31"/>
        <v/>
      </c>
      <c r="N305" s="111" t="str">
        <f t="shared" si="32"/>
        <v/>
      </c>
    </row>
    <row r="306">
      <c r="A306" s="104"/>
      <c r="B306" s="105"/>
      <c r="C306" s="105"/>
      <c r="D306" s="105"/>
      <c r="E306" s="105" t="s">
        <v>1512</v>
      </c>
      <c r="F306" s="108" t="s">
        <v>1513</v>
      </c>
      <c r="G306" s="106">
        <v>9.97</v>
      </c>
      <c r="H306" s="107">
        <v>45975.0</v>
      </c>
      <c r="I306" s="107" t="b">
        <v>0</v>
      </c>
      <c r="J306" s="107"/>
      <c r="K306" s="122"/>
      <c r="L306" s="110" t="str">
        <f t="shared" si="30"/>
        <v/>
      </c>
      <c r="M306" s="106" t="str">
        <f t="shared" si="31"/>
        <v/>
      </c>
      <c r="N306" s="111" t="str">
        <f t="shared" si="32"/>
        <v/>
      </c>
    </row>
    <row r="307">
      <c r="A307" s="104"/>
      <c r="B307" s="105"/>
      <c r="C307" s="105"/>
      <c r="D307" s="105"/>
      <c r="E307" s="105" t="s">
        <v>1514</v>
      </c>
      <c r="F307" s="108" t="s">
        <v>1515</v>
      </c>
      <c r="G307" s="106">
        <v>9.97</v>
      </c>
      <c r="H307" s="107">
        <v>45975.0</v>
      </c>
      <c r="I307" s="107" t="b">
        <v>0</v>
      </c>
      <c r="J307" s="107"/>
      <c r="K307" s="122"/>
      <c r="L307" s="110" t="str">
        <f t="shared" si="30"/>
        <v/>
      </c>
      <c r="M307" s="106" t="str">
        <f t="shared" si="31"/>
        <v/>
      </c>
      <c r="N307" s="111" t="str">
        <f t="shared" si="32"/>
        <v/>
      </c>
    </row>
    <row r="308">
      <c r="A308" s="104"/>
      <c r="B308" s="105"/>
      <c r="C308" s="105"/>
      <c r="D308" s="105"/>
      <c r="E308" s="105" t="s">
        <v>1516</v>
      </c>
      <c r="F308" s="108" t="s">
        <v>1517</v>
      </c>
      <c r="G308" s="106">
        <v>9.97</v>
      </c>
      <c r="H308" s="107">
        <v>45975.0</v>
      </c>
      <c r="I308" s="107" t="b">
        <v>0</v>
      </c>
      <c r="J308" s="107"/>
      <c r="K308" s="122"/>
      <c r="L308" s="110" t="str">
        <f t="shared" si="30"/>
        <v/>
      </c>
      <c r="M308" s="106" t="str">
        <f t="shared" si="31"/>
        <v/>
      </c>
      <c r="N308" s="111" t="str">
        <f t="shared" si="32"/>
        <v/>
      </c>
    </row>
    <row r="309">
      <c r="A309" s="104"/>
      <c r="B309" s="105"/>
      <c r="C309" s="105"/>
      <c r="D309" s="105"/>
      <c r="E309" s="105" t="s">
        <v>1518</v>
      </c>
      <c r="F309" s="108" t="s">
        <v>1519</v>
      </c>
      <c r="G309" s="106">
        <v>9.97</v>
      </c>
      <c r="H309" s="107">
        <v>45975.0</v>
      </c>
      <c r="I309" s="107" t="b">
        <v>0</v>
      </c>
      <c r="J309" s="107"/>
      <c r="K309" s="122"/>
      <c r="L309" s="110" t="str">
        <f t="shared" si="30"/>
        <v/>
      </c>
      <c r="M309" s="106" t="str">
        <f t="shared" si="31"/>
        <v/>
      </c>
      <c r="N309" s="111" t="str">
        <f t="shared" si="32"/>
        <v/>
      </c>
    </row>
    <row r="310">
      <c r="A310" s="104"/>
      <c r="B310" s="105"/>
      <c r="C310" s="105"/>
      <c r="D310" s="105"/>
      <c r="E310" s="105" t="s">
        <v>1520</v>
      </c>
      <c r="F310" s="108" t="s">
        <v>1521</v>
      </c>
      <c r="G310" s="106">
        <v>9.97</v>
      </c>
      <c r="H310" s="107">
        <v>45975.0</v>
      </c>
      <c r="I310" s="107" t="b">
        <v>0</v>
      </c>
      <c r="J310" s="107"/>
      <c r="K310" s="122"/>
      <c r="L310" s="110" t="str">
        <f t="shared" si="30"/>
        <v/>
      </c>
      <c r="M310" s="106" t="str">
        <f t="shared" si="31"/>
        <v/>
      </c>
      <c r="N310" s="111" t="str">
        <f t="shared" si="32"/>
        <v/>
      </c>
    </row>
    <row r="311">
      <c r="A311" s="104"/>
      <c r="B311" s="105"/>
      <c r="C311" s="105"/>
      <c r="D311" s="105"/>
      <c r="E311" s="105" t="s">
        <v>1522</v>
      </c>
      <c r="F311" s="108" t="s">
        <v>1523</v>
      </c>
      <c r="G311" s="106">
        <v>9.97</v>
      </c>
      <c r="H311" s="107">
        <v>45975.0</v>
      </c>
      <c r="I311" s="107" t="b">
        <v>0</v>
      </c>
      <c r="J311" s="107"/>
      <c r="K311" s="122"/>
      <c r="L311" s="110" t="str">
        <f t="shared" si="30"/>
        <v/>
      </c>
      <c r="M311" s="106" t="str">
        <f t="shared" si="31"/>
        <v/>
      </c>
      <c r="N311" s="111" t="str">
        <f t="shared" si="32"/>
        <v/>
      </c>
    </row>
    <row r="312">
      <c r="A312" s="104"/>
      <c r="B312" s="105"/>
      <c r="C312" s="105"/>
      <c r="D312" s="105"/>
      <c r="E312" s="105" t="s">
        <v>1524</v>
      </c>
      <c r="F312" s="108" t="s">
        <v>1525</v>
      </c>
      <c r="G312" s="106">
        <v>9.97</v>
      </c>
      <c r="H312" s="107">
        <v>45975.0</v>
      </c>
      <c r="I312" s="107" t="b">
        <v>0</v>
      </c>
      <c r="J312" s="107"/>
      <c r="K312" s="122"/>
      <c r="L312" s="110" t="str">
        <f t="shared" si="30"/>
        <v/>
      </c>
      <c r="M312" s="106" t="str">
        <f t="shared" si="31"/>
        <v/>
      </c>
      <c r="N312" s="111" t="str">
        <f t="shared" si="32"/>
        <v/>
      </c>
    </row>
    <row r="313">
      <c r="A313" s="104"/>
      <c r="B313" s="105"/>
      <c r="C313" s="105"/>
      <c r="D313" s="105"/>
      <c r="E313" s="105" t="s">
        <v>1526</v>
      </c>
      <c r="F313" s="108" t="s">
        <v>1527</v>
      </c>
      <c r="G313" s="106">
        <v>9.97</v>
      </c>
      <c r="H313" s="107">
        <v>45975.0</v>
      </c>
      <c r="I313" s="107" t="b">
        <v>0</v>
      </c>
      <c r="J313" s="107"/>
      <c r="K313" s="122"/>
      <c r="L313" s="110" t="str">
        <f t="shared" si="30"/>
        <v/>
      </c>
      <c r="M313" s="106" t="str">
        <f t="shared" si="31"/>
        <v/>
      </c>
      <c r="N313" s="111" t="str">
        <f t="shared" si="32"/>
        <v/>
      </c>
    </row>
    <row r="314">
      <c r="A314" s="104"/>
      <c r="B314" s="105"/>
      <c r="C314" s="105"/>
      <c r="D314" s="105"/>
      <c r="E314" s="105" t="s">
        <v>1528</v>
      </c>
      <c r="F314" s="108" t="s">
        <v>1529</v>
      </c>
      <c r="G314" s="106">
        <v>9.97</v>
      </c>
      <c r="H314" s="107">
        <v>45976.0</v>
      </c>
      <c r="I314" s="107" t="b">
        <v>0</v>
      </c>
      <c r="J314" s="107"/>
      <c r="K314" s="122"/>
      <c r="L314" s="110" t="str">
        <f t="shared" si="30"/>
        <v/>
      </c>
      <c r="M314" s="106" t="str">
        <f t="shared" si="31"/>
        <v/>
      </c>
      <c r="N314" s="111" t="str">
        <f t="shared" si="32"/>
        <v/>
      </c>
    </row>
    <row r="315">
      <c r="A315" s="104"/>
      <c r="B315" s="105"/>
      <c r="C315" s="105"/>
      <c r="D315" s="105"/>
      <c r="E315" s="105" t="s">
        <v>1530</v>
      </c>
      <c r="F315" s="108" t="s">
        <v>1531</v>
      </c>
      <c r="G315" s="106">
        <v>9.97</v>
      </c>
      <c r="H315" s="107">
        <v>45976.0</v>
      </c>
      <c r="I315" s="107" t="b">
        <v>0</v>
      </c>
      <c r="J315" s="107"/>
      <c r="K315" s="122"/>
      <c r="L315" s="110" t="str">
        <f t="shared" si="30"/>
        <v/>
      </c>
      <c r="M315" s="106" t="str">
        <f t="shared" si="31"/>
        <v/>
      </c>
      <c r="N315" s="111" t="str">
        <f t="shared" si="32"/>
        <v/>
      </c>
    </row>
    <row r="316">
      <c r="A316" s="112"/>
      <c r="B316" s="113"/>
      <c r="C316" s="113"/>
      <c r="D316" s="113"/>
      <c r="E316" s="113"/>
      <c r="F316" s="114"/>
      <c r="G316" s="123"/>
      <c r="H316" s="115"/>
      <c r="I316" s="115" t="b">
        <v>0</v>
      </c>
      <c r="J316" s="115"/>
      <c r="K316" s="124"/>
      <c r="L316" s="116"/>
      <c r="M316" s="114"/>
      <c r="N316" s="117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</row>
    <row r="317">
      <c r="A317" s="104"/>
      <c r="B317" s="105"/>
      <c r="C317" s="105"/>
      <c r="D317" s="105"/>
      <c r="E317" s="105" t="s">
        <v>1532</v>
      </c>
      <c r="F317" s="119" t="s">
        <v>1533</v>
      </c>
      <c r="G317" s="106">
        <v>7.27</v>
      </c>
      <c r="H317" s="107">
        <v>45976.0</v>
      </c>
      <c r="I317" s="107" t="b">
        <v>0</v>
      </c>
      <c r="J317" s="107"/>
      <c r="K317" s="122"/>
      <c r="L317" s="110" t="str">
        <f t="shared" ref="L317:L326" si="33">IF(ISBLANK(J317),"",J317-H317)</f>
        <v/>
      </c>
      <c r="M317" s="106" t="str">
        <f t="shared" ref="M317:M326" si="34">IF(K317="","",IF(K317-G317&lt;0,"",K317-G317))</f>
        <v/>
      </c>
      <c r="N317" s="111" t="str">
        <f t="shared" ref="N317:N326" si="35">IF(K317="","",IF(K317/G317&lt;0,"",K317/G317))</f>
        <v/>
      </c>
    </row>
    <row r="318">
      <c r="A318" s="104"/>
      <c r="B318" s="105"/>
      <c r="C318" s="105"/>
      <c r="D318" s="105"/>
      <c r="E318" s="105" t="s">
        <v>1534</v>
      </c>
      <c r="F318" s="119" t="s">
        <v>1535</v>
      </c>
      <c r="G318" s="106">
        <v>7.27</v>
      </c>
      <c r="H318" s="107">
        <v>45976.0</v>
      </c>
      <c r="I318" s="107" t="b">
        <v>0</v>
      </c>
      <c r="J318" s="107"/>
      <c r="K318" s="122"/>
      <c r="L318" s="110" t="str">
        <f t="shared" si="33"/>
        <v/>
      </c>
      <c r="M318" s="106" t="str">
        <f t="shared" si="34"/>
        <v/>
      </c>
      <c r="N318" s="111" t="str">
        <f t="shared" si="35"/>
        <v/>
      </c>
    </row>
    <row r="319">
      <c r="A319" s="104"/>
      <c r="B319" s="105"/>
      <c r="C319" s="105"/>
      <c r="D319" s="105"/>
      <c r="E319" s="105" t="s">
        <v>1536</v>
      </c>
      <c r="F319" s="119" t="s">
        <v>1537</v>
      </c>
      <c r="G319" s="106">
        <v>7.27</v>
      </c>
      <c r="H319" s="107">
        <v>45976.0</v>
      </c>
      <c r="I319" s="107" t="b">
        <v>0</v>
      </c>
      <c r="J319" s="107"/>
      <c r="K319" s="122"/>
      <c r="L319" s="110" t="str">
        <f t="shared" si="33"/>
        <v/>
      </c>
      <c r="M319" s="106" t="str">
        <f t="shared" si="34"/>
        <v/>
      </c>
      <c r="N319" s="111" t="str">
        <f t="shared" si="35"/>
        <v/>
      </c>
    </row>
    <row r="320">
      <c r="A320" s="104"/>
      <c r="B320" s="105"/>
      <c r="C320" s="105"/>
      <c r="D320" s="105"/>
      <c r="E320" s="105" t="s">
        <v>1538</v>
      </c>
      <c r="F320" s="119" t="s">
        <v>1539</v>
      </c>
      <c r="G320" s="106">
        <v>7.27</v>
      </c>
      <c r="H320" s="107">
        <v>45976.0</v>
      </c>
      <c r="I320" s="107" t="b">
        <v>0</v>
      </c>
      <c r="J320" s="107"/>
      <c r="K320" s="122"/>
      <c r="L320" s="110" t="str">
        <f t="shared" si="33"/>
        <v/>
      </c>
      <c r="M320" s="106" t="str">
        <f t="shared" si="34"/>
        <v/>
      </c>
      <c r="N320" s="111" t="str">
        <f t="shared" si="35"/>
        <v/>
      </c>
    </row>
    <row r="321">
      <c r="A321" s="104"/>
      <c r="B321" s="105"/>
      <c r="C321" s="105"/>
      <c r="D321" s="105"/>
      <c r="E321" s="105" t="s">
        <v>1540</v>
      </c>
      <c r="F321" s="119" t="s">
        <v>1541</v>
      </c>
      <c r="G321" s="106">
        <v>7.27</v>
      </c>
      <c r="H321" s="107">
        <v>45976.0</v>
      </c>
      <c r="I321" s="107" t="b">
        <v>0</v>
      </c>
      <c r="J321" s="107"/>
      <c r="K321" s="122"/>
      <c r="L321" s="110" t="str">
        <f t="shared" si="33"/>
        <v/>
      </c>
      <c r="M321" s="106" t="str">
        <f t="shared" si="34"/>
        <v/>
      </c>
      <c r="N321" s="111" t="str">
        <f t="shared" si="35"/>
        <v/>
      </c>
    </row>
    <row r="322">
      <c r="A322" s="104"/>
      <c r="B322" s="105"/>
      <c r="C322" s="105"/>
      <c r="D322" s="105"/>
      <c r="E322" s="105" t="s">
        <v>1542</v>
      </c>
      <c r="F322" s="119" t="s">
        <v>1543</v>
      </c>
      <c r="G322" s="106">
        <v>7.27</v>
      </c>
      <c r="H322" s="107">
        <v>45976.0</v>
      </c>
      <c r="I322" s="107" t="b">
        <v>0</v>
      </c>
      <c r="J322" s="107"/>
      <c r="K322" s="122"/>
      <c r="L322" s="110" t="str">
        <f t="shared" si="33"/>
        <v/>
      </c>
      <c r="M322" s="106" t="str">
        <f t="shared" si="34"/>
        <v/>
      </c>
      <c r="N322" s="111" t="str">
        <f t="shared" si="35"/>
        <v/>
      </c>
    </row>
    <row r="323">
      <c r="A323" s="104"/>
      <c r="B323" s="105"/>
      <c r="C323" s="105"/>
      <c r="D323" s="105"/>
      <c r="E323" s="105" t="s">
        <v>1544</v>
      </c>
      <c r="F323" s="119" t="s">
        <v>1545</v>
      </c>
      <c r="G323" s="106">
        <v>7.27</v>
      </c>
      <c r="H323" s="107">
        <v>45976.0</v>
      </c>
      <c r="I323" s="107" t="b">
        <v>0</v>
      </c>
      <c r="J323" s="107"/>
      <c r="K323" s="122"/>
      <c r="L323" s="110" t="str">
        <f t="shared" si="33"/>
        <v/>
      </c>
      <c r="M323" s="106" t="str">
        <f t="shared" si="34"/>
        <v/>
      </c>
      <c r="N323" s="111" t="str">
        <f t="shared" si="35"/>
        <v/>
      </c>
    </row>
    <row r="324">
      <c r="A324" s="104"/>
      <c r="B324" s="105"/>
      <c r="C324" s="105"/>
      <c r="D324" s="105"/>
      <c r="E324" s="105" t="s">
        <v>1546</v>
      </c>
      <c r="F324" s="119" t="s">
        <v>1547</v>
      </c>
      <c r="G324" s="106">
        <v>7.27</v>
      </c>
      <c r="H324" s="107">
        <v>45976.0</v>
      </c>
      <c r="I324" s="107" t="b">
        <v>0</v>
      </c>
      <c r="J324" s="107"/>
      <c r="K324" s="122"/>
      <c r="L324" s="110" t="str">
        <f t="shared" si="33"/>
        <v/>
      </c>
      <c r="M324" s="106" t="str">
        <f t="shared" si="34"/>
        <v/>
      </c>
      <c r="N324" s="111" t="str">
        <f t="shared" si="35"/>
        <v/>
      </c>
    </row>
    <row r="325">
      <c r="A325" s="104"/>
      <c r="B325" s="105"/>
      <c r="C325" s="105"/>
      <c r="D325" s="105"/>
      <c r="E325" s="105" t="s">
        <v>1548</v>
      </c>
      <c r="F325" s="119" t="s">
        <v>1549</v>
      </c>
      <c r="G325" s="106">
        <v>7.27</v>
      </c>
      <c r="H325" s="107">
        <v>45977.0</v>
      </c>
      <c r="I325" s="107" t="b">
        <v>0</v>
      </c>
      <c r="J325" s="107"/>
      <c r="K325" s="122"/>
      <c r="L325" s="110" t="str">
        <f t="shared" si="33"/>
        <v/>
      </c>
      <c r="M325" s="106" t="str">
        <f t="shared" si="34"/>
        <v/>
      </c>
      <c r="N325" s="111" t="str">
        <f t="shared" si="35"/>
        <v/>
      </c>
    </row>
    <row r="326">
      <c r="A326" s="104"/>
      <c r="B326" s="105"/>
      <c r="C326" s="105"/>
      <c r="D326" s="105"/>
      <c r="E326" s="105" t="s">
        <v>1550</v>
      </c>
      <c r="F326" s="119" t="s">
        <v>1551</v>
      </c>
      <c r="G326" s="106">
        <v>7.27</v>
      </c>
      <c r="H326" s="107">
        <v>45977.0</v>
      </c>
      <c r="I326" s="107" t="b">
        <v>0</v>
      </c>
      <c r="J326" s="107"/>
      <c r="K326" s="122"/>
      <c r="L326" s="110" t="str">
        <f t="shared" si="33"/>
        <v/>
      </c>
      <c r="M326" s="106" t="str">
        <f t="shared" si="34"/>
        <v/>
      </c>
      <c r="N326" s="111" t="str">
        <f t="shared" si="35"/>
        <v/>
      </c>
    </row>
    <row r="327">
      <c r="A327" s="112"/>
      <c r="B327" s="113"/>
      <c r="C327" s="113"/>
      <c r="D327" s="113"/>
      <c r="E327" s="113"/>
      <c r="F327" s="114"/>
      <c r="G327" s="123"/>
      <c r="H327" s="115"/>
      <c r="I327" s="115" t="b">
        <v>0</v>
      </c>
      <c r="J327" s="115"/>
      <c r="K327" s="124"/>
      <c r="L327" s="116"/>
      <c r="M327" s="114"/>
      <c r="N327" s="123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</row>
    <row r="328">
      <c r="A328" s="104"/>
      <c r="B328" s="105"/>
      <c r="C328" s="105"/>
      <c r="D328" s="105"/>
      <c r="E328" s="105" t="s">
        <v>1552</v>
      </c>
      <c r="F328" s="108" t="s">
        <v>1553</v>
      </c>
      <c r="G328" s="106">
        <v>11.37</v>
      </c>
      <c r="H328" s="107">
        <v>45960.0</v>
      </c>
      <c r="I328" s="107" t="b">
        <v>0</v>
      </c>
      <c r="J328" s="107"/>
      <c r="K328" s="106"/>
      <c r="L328" s="110" t="str">
        <f t="shared" ref="L328:L368" si="36">IF(ISBLANK(J328),"",J328-H328)</f>
        <v/>
      </c>
      <c r="M328" s="106" t="str">
        <f t="shared" ref="M328:M368" si="37">IF(K328="","",IF(K328-G328&lt;0,"",K328-G328))</f>
        <v/>
      </c>
      <c r="N328" s="111" t="str">
        <f t="shared" ref="N328:N368" si="38">IF(K328="","",IF(K328/G328&lt;0,"",K328/G328))</f>
        <v/>
      </c>
    </row>
    <row r="329">
      <c r="A329" s="104"/>
      <c r="B329" s="105"/>
      <c r="C329" s="105"/>
      <c r="D329" s="105"/>
      <c r="E329" s="105" t="s">
        <v>1554</v>
      </c>
      <c r="F329" s="108" t="s">
        <v>1555</v>
      </c>
      <c r="G329" s="106">
        <v>11.37</v>
      </c>
      <c r="H329" s="107">
        <v>45960.0</v>
      </c>
      <c r="I329" s="105" t="b">
        <v>0</v>
      </c>
      <c r="J329" s="107"/>
      <c r="K329" s="106"/>
      <c r="L329" s="110" t="str">
        <f t="shared" si="36"/>
        <v/>
      </c>
      <c r="M329" s="106" t="str">
        <f t="shared" si="37"/>
        <v/>
      </c>
      <c r="N329" s="111" t="str">
        <f t="shared" si="38"/>
        <v/>
      </c>
    </row>
    <row r="330">
      <c r="A330" s="104"/>
      <c r="B330" s="105"/>
      <c r="C330" s="105"/>
      <c r="D330" s="105"/>
      <c r="E330" s="105" t="s">
        <v>1556</v>
      </c>
      <c r="F330" s="108" t="s">
        <v>1557</v>
      </c>
      <c r="G330" s="106">
        <v>11.37</v>
      </c>
      <c r="H330" s="107">
        <v>45960.0</v>
      </c>
      <c r="I330" s="107" t="b">
        <v>0</v>
      </c>
      <c r="J330" s="107"/>
      <c r="K330" s="106"/>
      <c r="L330" s="110" t="str">
        <f t="shared" si="36"/>
        <v/>
      </c>
      <c r="M330" s="106" t="str">
        <f t="shared" si="37"/>
        <v/>
      </c>
      <c r="N330" s="111" t="str">
        <f t="shared" si="38"/>
        <v/>
      </c>
    </row>
    <row r="331">
      <c r="A331" s="104"/>
      <c r="B331" s="105"/>
      <c r="C331" s="105"/>
      <c r="D331" s="105"/>
      <c r="E331" s="105" t="s">
        <v>1558</v>
      </c>
      <c r="F331" s="108" t="s">
        <v>1559</v>
      </c>
      <c r="G331" s="106">
        <v>11.37</v>
      </c>
      <c r="H331" s="107">
        <v>45960.0</v>
      </c>
      <c r="I331" s="107" t="b">
        <v>0</v>
      </c>
      <c r="J331" s="107"/>
      <c r="K331" s="106"/>
      <c r="L331" s="110" t="str">
        <f t="shared" si="36"/>
        <v/>
      </c>
      <c r="M331" s="106" t="str">
        <f t="shared" si="37"/>
        <v/>
      </c>
      <c r="N331" s="111" t="str">
        <f t="shared" si="38"/>
        <v/>
      </c>
    </row>
    <row r="332">
      <c r="A332" s="104"/>
      <c r="B332" s="105"/>
      <c r="C332" s="105"/>
      <c r="D332" s="105"/>
      <c r="E332" s="105" t="s">
        <v>1560</v>
      </c>
      <c r="F332" s="108" t="s">
        <v>1561</v>
      </c>
      <c r="G332" s="106">
        <v>11.37</v>
      </c>
      <c r="H332" s="107">
        <v>45960.0</v>
      </c>
      <c r="I332" s="107" t="b">
        <v>0</v>
      </c>
      <c r="J332" s="107"/>
      <c r="K332" s="106"/>
      <c r="L332" s="110" t="str">
        <f t="shared" si="36"/>
        <v/>
      </c>
      <c r="M332" s="106" t="str">
        <f t="shared" si="37"/>
        <v/>
      </c>
      <c r="N332" s="111" t="str">
        <f t="shared" si="38"/>
        <v/>
      </c>
    </row>
    <row r="333">
      <c r="A333" s="104"/>
      <c r="B333" s="105"/>
      <c r="C333" s="105"/>
      <c r="D333" s="105"/>
      <c r="E333" s="105" t="s">
        <v>1562</v>
      </c>
      <c r="F333" s="108" t="s">
        <v>1563</v>
      </c>
      <c r="G333" s="106">
        <v>11.37</v>
      </c>
      <c r="H333" s="107">
        <v>45960.0</v>
      </c>
      <c r="I333" s="107" t="b">
        <v>0</v>
      </c>
      <c r="J333" s="107"/>
      <c r="K333" s="106"/>
      <c r="L333" s="110" t="str">
        <f t="shared" si="36"/>
        <v/>
      </c>
      <c r="M333" s="106" t="str">
        <f t="shared" si="37"/>
        <v/>
      </c>
      <c r="N333" s="111" t="str">
        <f t="shared" si="38"/>
        <v/>
      </c>
    </row>
    <row r="334">
      <c r="A334" s="104"/>
      <c r="B334" s="105"/>
      <c r="C334" s="105"/>
      <c r="D334" s="105"/>
      <c r="E334" s="105" t="s">
        <v>1564</v>
      </c>
      <c r="F334" s="108" t="s">
        <v>1565</v>
      </c>
      <c r="G334" s="106">
        <v>11.37</v>
      </c>
      <c r="H334" s="107">
        <v>45960.0</v>
      </c>
      <c r="I334" s="107" t="b">
        <v>0</v>
      </c>
      <c r="J334" s="107"/>
      <c r="K334" s="106"/>
      <c r="L334" s="110" t="str">
        <f t="shared" si="36"/>
        <v/>
      </c>
      <c r="M334" s="106" t="str">
        <f t="shared" si="37"/>
        <v/>
      </c>
      <c r="N334" s="111" t="str">
        <f t="shared" si="38"/>
        <v/>
      </c>
    </row>
    <row r="335">
      <c r="A335" s="104"/>
      <c r="B335" s="105"/>
      <c r="C335" s="105"/>
      <c r="D335" s="105"/>
      <c r="E335" s="105" t="s">
        <v>1566</v>
      </c>
      <c r="F335" s="108" t="s">
        <v>1567</v>
      </c>
      <c r="G335" s="106">
        <v>11.37</v>
      </c>
      <c r="H335" s="107">
        <v>45960.0</v>
      </c>
      <c r="I335" s="107" t="b">
        <v>0</v>
      </c>
      <c r="J335" s="107"/>
      <c r="K335" s="106"/>
      <c r="L335" s="110" t="str">
        <f t="shared" si="36"/>
        <v/>
      </c>
      <c r="M335" s="106" t="str">
        <f t="shared" si="37"/>
        <v/>
      </c>
      <c r="N335" s="111" t="str">
        <f t="shared" si="38"/>
        <v/>
      </c>
    </row>
    <row r="336">
      <c r="A336" s="104"/>
      <c r="B336" s="105"/>
      <c r="C336" s="105"/>
      <c r="D336" s="105"/>
      <c r="E336" s="105" t="s">
        <v>1568</v>
      </c>
      <c r="F336" s="108" t="s">
        <v>1569</v>
      </c>
      <c r="G336" s="106">
        <v>11.37</v>
      </c>
      <c r="H336" s="107">
        <v>45961.0</v>
      </c>
      <c r="I336" s="107" t="b">
        <v>0</v>
      </c>
      <c r="J336" s="107"/>
      <c r="K336" s="106"/>
      <c r="L336" s="110" t="str">
        <f t="shared" si="36"/>
        <v/>
      </c>
      <c r="M336" s="106" t="str">
        <f t="shared" si="37"/>
        <v/>
      </c>
      <c r="N336" s="111" t="str">
        <f t="shared" si="38"/>
        <v/>
      </c>
    </row>
    <row r="337">
      <c r="A337" s="104"/>
      <c r="B337" s="105"/>
      <c r="C337" s="105"/>
      <c r="D337" s="105"/>
      <c r="E337" s="105" t="s">
        <v>1570</v>
      </c>
      <c r="F337" s="108" t="s">
        <v>1571</v>
      </c>
      <c r="G337" s="106">
        <v>11.37</v>
      </c>
      <c r="H337" s="107">
        <v>45961.0</v>
      </c>
      <c r="I337" s="107" t="b">
        <v>0</v>
      </c>
      <c r="J337" s="107"/>
      <c r="K337" s="106"/>
      <c r="L337" s="110" t="str">
        <f t="shared" si="36"/>
        <v/>
      </c>
      <c r="M337" s="106" t="str">
        <f t="shared" si="37"/>
        <v/>
      </c>
      <c r="N337" s="111" t="str">
        <f t="shared" si="38"/>
        <v/>
      </c>
    </row>
    <row r="338">
      <c r="A338" s="104"/>
      <c r="B338" s="105"/>
      <c r="C338" s="105"/>
      <c r="D338" s="105"/>
      <c r="E338" s="105" t="s">
        <v>1572</v>
      </c>
      <c r="F338" s="108" t="s">
        <v>1573</v>
      </c>
      <c r="G338" s="106">
        <v>11.37</v>
      </c>
      <c r="H338" s="107">
        <v>45961.0</v>
      </c>
      <c r="I338" s="107" t="b">
        <v>0</v>
      </c>
      <c r="J338" s="107"/>
      <c r="K338" s="106"/>
      <c r="L338" s="110" t="str">
        <f t="shared" si="36"/>
        <v/>
      </c>
      <c r="M338" s="106" t="str">
        <f t="shared" si="37"/>
        <v/>
      </c>
      <c r="N338" s="111" t="str">
        <f t="shared" si="38"/>
        <v/>
      </c>
    </row>
    <row r="339">
      <c r="A339" s="104"/>
      <c r="B339" s="105"/>
      <c r="C339" s="105"/>
      <c r="D339" s="105"/>
      <c r="E339" s="105" t="s">
        <v>1574</v>
      </c>
      <c r="F339" s="108" t="s">
        <v>1575</v>
      </c>
      <c r="G339" s="106">
        <v>11.37</v>
      </c>
      <c r="H339" s="107">
        <v>45961.0</v>
      </c>
      <c r="I339" s="107" t="b">
        <v>0</v>
      </c>
      <c r="J339" s="107"/>
      <c r="K339" s="106"/>
      <c r="L339" s="110" t="str">
        <f t="shared" si="36"/>
        <v/>
      </c>
      <c r="M339" s="106" t="str">
        <f t="shared" si="37"/>
        <v/>
      </c>
      <c r="N339" s="111" t="str">
        <f t="shared" si="38"/>
        <v/>
      </c>
    </row>
    <row r="340">
      <c r="A340" s="104"/>
      <c r="B340" s="105"/>
      <c r="C340" s="105"/>
      <c r="D340" s="105"/>
      <c r="E340" s="105" t="s">
        <v>1576</v>
      </c>
      <c r="F340" s="108" t="s">
        <v>1577</v>
      </c>
      <c r="G340" s="106">
        <v>11.37</v>
      </c>
      <c r="H340" s="107">
        <v>45961.0</v>
      </c>
      <c r="I340" s="107" t="b">
        <v>0</v>
      </c>
      <c r="J340" s="107"/>
      <c r="K340" s="106"/>
      <c r="L340" s="110" t="str">
        <f t="shared" si="36"/>
        <v/>
      </c>
      <c r="M340" s="106" t="str">
        <f t="shared" si="37"/>
        <v/>
      </c>
      <c r="N340" s="111" t="str">
        <f t="shared" si="38"/>
        <v/>
      </c>
    </row>
    <row r="341">
      <c r="A341" s="104"/>
      <c r="B341" s="105"/>
      <c r="C341" s="105"/>
      <c r="D341" s="105"/>
      <c r="E341" s="105" t="s">
        <v>1578</v>
      </c>
      <c r="F341" s="108" t="s">
        <v>1579</v>
      </c>
      <c r="G341" s="106">
        <v>11.37</v>
      </c>
      <c r="H341" s="107">
        <v>45961.0</v>
      </c>
      <c r="I341" s="107" t="b">
        <v>0</v>
      </c>
      <c r="J341" s="107"/>
      <c r="K341" s="106"/>
      <c r="L341" s="110" t="str">
        <f t="shared" si="36"/>
        <v/>
      </c>
      <c r="M341" s="106" t="str">
        <f t="shared" si="37"/>
        <v/>
      </c>
      <c r="N341" s="111" t="str">
        <f t="shared" si="38"/>
        <v/>
      </c>
    </row>
    <row r="342">
      <c r="A342" s="104"/>
      <c r="B342" s="105"/>
      <c r="C342" s="105"/>
      <c r="D342" s="105"/>
      <c r="E342" s="105" t="s">
        <v>1580</v>
      </c>
      <c r="F342" s="108" t="s">
        <v>1581</v>
      </c>
      <c r="G342" s="106">
        <v>11.37</v>
      </c>
      <c r="H342" s="107">
        <v>45961.0</v>
      </c>
      <c r="I342" s="107" t="b">
        <v>0</v>
      </c>
      <c r="J342" s="107"/>
      <c r="K342" s="106"/>
      <c r="L342" s="110" t="str">
        <f t="shared" si="36"/>
        <v/>
      </c>
      <c r="M342" s="106" t="str">
        <f t="shared" si="37"/>
        <v/>
      </c>
      <c r="N342" s="111" t="str">
        <f t="shared" si="38"/>
        <v/>
      </c>
    </row>
    <row r="343">
      <c r="A343" s="104"/>
      <c r="B343" s="105"/>
      <c r="C343" s="105"/>
      <c r="D343" s="105"/>
      <c r="E343" s="105" t="s">
        <v>1582</v>
      </c>
      <c r="F343" s="108" t="s">
        <v>1583</v>
      </c>
      <c r="G343" s="106">
        <v>11.37</v>
      </c>
      <c r="H343" s="107">
        <v>45961.0</v>
      </c>
      <c r="I343" s="107" t="b">
        <v>0</v>
      </c>
      <c r="J343" s="107"/>
      <c r="K343" s="106"/>
      <c r="L343" s="110" t="str">
        <f t="shared" si="36"/>
        <v/>
      </c>
      <c r="M343" s="106" t="str">
        <f t="shared" si="37"/>
        <v/>
      </c>
      <c r="N343" s="111" t="str">
        <f t="shared" si="38"/>
        <v/>
      </c>
    </row>
    <row r="344">
      <c r="A344" s="104"/>
      <c r="B344" s="105"/>
      <c r="C344" s="105"/>
      <c r="D344" s="105"/>
      <c r="E344" s="105" t="s">
        <v>1584</v>
      </c>
      <c r="F344" s="108" t="s">
        <v>1585</v>
      </c>
      <c r="G344" s="106">
        <v>11.37</v>
      </c>
      <c r="H344" s="107">
        <v>45961.0</v>
      </c>
      <c r="I344" s="107" t="b">
        <v>0</v>
      </c>
      <c r="J344" s="107"/>
      <c r="K344" s="106"/>
      <c r="L344" s="110" t="str">
        <f t="shared" si="36"/>
        <v/>
      </c>
      <c r="M344" s="106" t="str">
        <f t="shared" si="37"/>
        <v/>
      </c>
      <c r="N344" s="111" t="str">
        <f t="shared" si="38"/>
        <v/>
      </c>
    </row>
    <row r="345">
      <c r="A345" s="104"/>
      <c r="B345" s="105"/>
      <c r="C345" s="105"/>
      <c r="D345" s="105"/>
      <c r="E345" s="105" t="s">
        <v>1586</v>
      </c>
      <c r="F345" s="108" t="s">
        <v>1587</v>
      </c>
      <c r="G345" s="106">
        <v>11.37</v>
      </c>
      <c r="H345" s="107">
        <v>45961.0</v>
      </c>
      <c r="I345" s="107" t="b">
        <v>0</v>
      </c>
      <c r="J345" s="107"/>
      <c r="K345" s="106"/>
      <c r="L345" s="110" t="str">
        <f t="shared" si="36"/>
        <v/>
      </c>
      <c r="M345" s="106" t="str">
        <f t="shared" si="37"/>
        <v/>
      </c>
      <c r="N345" s="111" t="str">
        <f t="shared" si="38"/>
        <v/>
      </c>
    </row>
    <row r="346">
      <c r="A346" s="104"/>
      <c r="B346" s="105"/>
      <c r="C346" s="105"/>
      <c r="D346" s="105"/>
      <c r="E346" s="105" t="s">
        <v>1588</v>
      </c>
      <c r="F346" s="108" t="s">
        <v>1589</v>
      </c>
      <c r="G346" s="106">
        <v>11.37</v>
      </c>
      <c r="H346" s="107">
        <v>45962.0</v>
      </c>
      <c r="I346" s="107" t="b">
        <v>0</v>
      </c>
      <c r="J346" s="107"/>
      <c r="K346" s="106"/>
      <c r="L346" s="110" t="str">
        <f t="shared" si="36"/>
        <v/>
      </c>
      <c r="M346" s="106" t="str">
        <f t="shared" si="37"/>
        <v/>
      </c>
      <c r="N346" s="111" t="str">
        <f t="shared" si="38"/>
        <v/>
      </c>
    </row>
    <row r="347">
      <c r="A347" s="104"/>
      <c r="B347" s="105"/>
      <c r="C347" s="105"/>
      <c r="D347" s="105"/>
      <c r="E347" s="105" t="s">
        <v>1590</v>
      </c>
      <c r="F347" s="108" t="s">
        <v>1591</v>
      </c>
      <c r="G347" s="106">
        <v>11.37</v>
      </c>
      <c r="H347" s="107">
        <v>45962.0</v>
      </c>
      <c r="I347" s="107" t="b">
        <v>0</v>
      </c>
      <c r="J347" s="107"/>
      <c r="K347" s="106"/>
      <c r="L347" s="110" t="str">
        <f t="shared" si="36"/>
        <v/>
      </c>
      <c r="M347" s="106" t="str">
        <f t="shared" si="37"/>
        <v/>
      </c>
      <c r="N347" s="111" t="str">
        <f t="shared" si="38"/>
        <v/>
      </c>
    </row>
    <row r="348">
      <c r="A348" s="104"/>
      <c r="B348" s="105"/>
      <c r="C348" s="105"/>
      <c r="D348" s="105"/>
      <c r="E348" s="105" t="s">
        <v>1592</v>
      </c>
      <c r="F348" s="108" t="s">
        <v>1593</v>
      </c>
      <c r="G348" s="106">
        <v>11.37</v>
      </c>
      <c r="H348" s="107">
        <v>45962.0</v>
      </c>
      <c r="I348" s="107" t="b">
        <v>0</v>
      </c>
      <c r="J348" s="107"/>
      <c r="K348" s="106"/>
      <c r="L348" s="110" t="str">
        <f t="shared" si="36"/>
        <v/>
      </c>
      <c r="M348" s="106" t="str">
        <f t="shared" si="37"/>
        <v/>
      </c>
      <c r="N348" s="111" t="str">
        <f t="shared" si="38"/>
        <v/>
      </c>
    </row>
    <row r="349">
      <c r="A349" s="104"/>
      <c r="B349" s="105"/>
      <c r="C349" s="105"/>
      <c r="D349" s="105"/>
      <c r="E349" s="105" t="s">
        <v>1594</v>
      </c>
      <c r="F349" s="108" t="s">
        <v>1595</v>
      </c>
      <c r="G349" s="106">
        <v>11.37</v>
      </c>
      <c r="H349" s="107">
        <v>45962.0</v>
      </c>
      <c r="I349" s="105" t="b">
        <v>0</v>
      </c>
      <c r="J349" s="107"/>
      <c r="K349" s="106"/>
      <c r="L349" s="110" t="str">
        <f t="shared" si="36"/>
        <v/>
      </c>
      <c r="M349" s="106" t="str">
        <f t="shared" si="37"/>
        <v/>
      </c>
      <c r="N349" s="111" t="str">
        <f t="shared" si="38"/>
        <v/>
      </c>
    </row>
    <row r="350">
      <c r="A350" s="104"/>
      <c r="B350" s="105"/>
      <c r="C350" s="105"/>
      <c r="D350" s="105"/>
      <c r="E350" s="105" t="s">
        <v>1596</v>
      </c>
      <c r="F350" s="108" t="s">
        <v>1597</v>
      </c>
      <c r="G350" s="106">
        <v>11.37</v>
      </c>
      <c r="H350" s="107">
        <v>45962.0</v>
      </c>
      <c r="I350" s="107" t="b">
        <v>0</v>
      </c>
      <c r="J350" s="107"/>
      <c r="K350" s="106"/>
      <c r="L350" s="110" t="str">
        <f t="shared" si="36"/>
        <v/>
      </c>
      <c r="M350" s="106" t="str">
        <f t="shared" si="37"/>
        <v/>
      </c>
      <c r="N350" s="111" t="str">
        <f t="shared" si="38"/>
        <v/>
      </c>
    </row>
    <row r="351">
      <c r="A351" s="104"/>
      <c r="B351" s="105"/>
      <c r="C351" s="105"/>
      <c r="D351" s="105"/>
      <c r="E351" s="105" t="s">
        <v>1598</v>
      </c>
      <c r="F351" s="108" t="s">
        <v>1599</v>
      </c>
      <c r="G351" s="106">
        <v>11.37</v>
      </c>
      <c r="H351" s="107">
        <v>45962.0</v>
      </c>
      <c r="I351" s="107" t="b">
        <v>0</v>
      </c>
      <c r="J351" s="107"/>
      <c r="K351" s="106"/>
      <c r="L351" s="110" t="str">
        <f t="shared" si="36"/>
        <v/>
      </c>
      <c r="M351" s="106" t="str">
        <f t="shared" si="37"/>
        <v/>
      </c>
      <c r="N351" s="111" t="str">
        <f t="shared" si="38"/>
        <v/>
      </c>
    </row>
    <row r="352">
      <c r="A352" s="104"/>
      <c r="B352" s="105"/>
      <c r="C352" s="105"/>
      <c r="D352" s="105"/>
      <c r="E352" s="105" t="s">
        <v>1600</v>
      </c>
      <c r="F352" s="108" t="s">
        <v>1601</v>
      </c>
      <c r="G352" s="106">
        <v>11.37</v>
      </c>
      <c r="H352" s="107">
        <v>45962.0</v>
      </c>
      <c r="I352" s="107" t="b">
        <v>0</v>
      </c>
      <c r="J352" s="107"/>
      <c r="K352" s="106"/>
      <c r="L352" s="110" t="str">
        <f t="shared" si="36"/>
        <v/>
      </c>
      <c r="M352" s="106" t="str">
        <f t="shared" si="37"/>
        <v/>
      </c>
      <c r="N352" s="111" t="str">
        <f t="shared" si="38"/>
        <v/>
      </c>
    </row>
    <row r="353">
      <c r="A353" s="104"/>
      <c r="B353" s="105"/>
      <c r="C353" s="105"/>
      <c r="D353" s="105"/>
      <c r="E353" s="105" t="s">
        <v>1602</v>
      </c>
      <c r="F353" s="108" t="s">
        <v>1603</v>
      </c>
      <c r="G353" s="106">
        <v>11.37</v>
      </c>
      <c r="H353" s="107">
        <v>45962.0</v>
      </c>
      <c r="I353" s="107" t="b">
        <v>0</v>
      </c>
      <c r="J353" s="107"/>
      <c r="K353" s="106"/>
      <c r="L353" s="110" t="str">
        <f t="shared" si="36"/>
        <v/>
      </c>
      <c r="M353" s="106" t="str">
        <f t="shared" si="37"/>
        <v/>
      </c>
      <c r="N353" s="111" t="str">
        <f t="shared" si="38"/>
        <v/>
      </c>
    </row>
    <row r="354">
      <c r="A354" s="104"/>
      <c r="B354" s="105"/>
      <c r="C354" s="105"/>
      <c r="D354" s="105"/>
      <c r="E354" s="105" t="s">
        <v>1604</v>
      </c>
      <c r="F354" s="108" t="s">
        <v>1605</v>
      </c>
      <c r="G354" s="106">
        <v>11.37</v>
      </c>
      <c r="H354" s="107">
        <v>45962.0</v>
      </c>
      <c r="I354" s="107" t="b">
        <v>0</v>
      </c>
      <c r="J354" s="107"/>
      <c r="K354" s="106"/>
      <c r="L354" s="110" t="str">
        <f t="shared" si="36"/>
        <v/>
      </c>
      <c r="M354" s="106" t="str">
        <f t="shared" si="37"/>
        <v/>
      </c>
      <c r="N354" s="111" t="str">
        <f t="shared" si="38"/>
        <v/>
      </c>
    </row>
    <row r="355">
      <c r="A355" s="104"/>
      <c r="B355" s="105"/>
      <c r="C355" s="105"/>
      <c r="D355" s="105"/>
      <c r="E355" s="105" t="s">
        <v>1606</v>
      </c>
      <c r="F355" s="108" t="s">
        <v>1607</v>
      </c>
      <c r="G355" s="106">
        <v>11.37</v>
      </c>
      <c r="H355" s="107">
        <v>45962.0</v>
      </c>
      <c r="I355" s="107" t="b">
        <v>0</v>
      </c>
      <c r="J355" s="107"/>
      <c r="K355" s="106"/>
      <c r="L355" s="110" t="str">
        <f t="shared" si="36"/>
        <v/>
      </c>
      <c r="M355" s="106" t="str">
        <f t="shared" si="37"/>
        <v/>
      </c>
      <c r="N355" s="111" t="str">
        <f t="shared" si="38"/>
        <v/>
      </c>
    </row>
    <row r="356">
      <c r="A356" s="104"/>
      <c r="B356" s="105"/>
      <c r="C356" s="105"/>
      <c r="D356" s="105"/>
      <c r="E356" s="105" t="s">
        <v>1608</v>
      </c>
      <c r="F356" s="108" t="s">
        <v>1609</v>
      </c>
      <c r="G356" s="106">
        <v>11.37</v>
      </c>
      <c r="H356" s="107">
        <v>45963.0</v>
      </c>
      <c r="I356" s="107" t="b">
        <v>0</v>
      </c>
      <c r="J356" s="107"/>
      <c r="K356" s="106"/>
      <c r="L356" s="110" t="str">
        <f t="shared" si="36"/>
        <v/>
      </c>
      <c r="M356" s="106" t="str">
        <f t="shared" si="37"/>
        <v/>
      </c>
      <c r="N356" s="111" t="str">
        <f t="shared" si="38"/>
        <v/>
      </c>
    </row>
    <row r="357">
      <c r="A357" s="104"/>
      <c r="B357" s="105"/>
      <c r="C357" s="105"/>
      <c r="D357" s="105"/>
      <c r="E357" s="105" t="s">
        <v>1610</v>
      </c>
      <c r="F357" s="108" t="s">
        <v>1611</v>
      </c>
      <c r="G357" s="106">
        <v>11.37</v>
      </c>
      <c r="H357" s="107">
        <v>45963.0</v>
      </c>
      <c r="I357" s="107" t="b">
        <v>0</v>
      </c>
      <c r="J357" s="107"/>
      <c r="K357" s="106"/>
      <c r="L357" s="110" t="str">
        <f t="shared" si="36"/>
        <v/>
      </c>
      <c r="M357" s="106" t="str">
        <f t="shared" si="37"/>
        <v/>
      </c>
      <c r="N357" s="111" t="str">
        <f t="shared" si="38"/>
        <v/>
      </c>
    </row>
    <row r="358">
      <c r="A358" s="104"/>
      <c r="B358" s="105"/>
      <c r="C358" s="105"/>
      <c r="D358" s="105"/>
      <c r="E358" s="105" t="s">
        <v>1612</v>
      </c>
      <c r="F358" s="108" t="s">
        <v>1613</v>
      </c>
      <c r="G358" s="106">
        <v>11.37</v>
      </c>
      <c r="H358" s="107">
        <v>45963.0</v>
      </c>
      <c r="I358" s="107" t="b">
        <v>0</v>
      </c>
      <c r="J358" s="107"/>
      <c r="K358" s="106"/>
      <c r="L358" s="110" t="str">
        <f t="shared" si="36"/>
        <v/>
      </c>
      <c r="M358" s="106" t="str">
        <f t="shared" si="37"/>
        <v/>
      </c>
      <c r="N358" s="111" t="str">
        <f t="shared" si="38"/>
        <v/>
      </c>
    </row>
    <row r="359">
      <c r="A359" s="104"/>
      <c r="B359" s="105"/>
      <c r="C359" s="105"/>
      <c r="D359" s="105"/>
      <c r="E359" s="105" t="s">
        <v>1614</v>
      </c>
      <c r="F359" s="108" t="s">
        <v>1615</v>
      </c>
      <c r="G359" s="106">
        <v>11.37</v>
      </c>
      <c r="H359" s="107">
        <v>45963.0</v>
      </c>
      <c r="I359" s="107" t="b">
        <v>0</v>
      </c>
      <c r="J359" s="107"/>
      <c r="K359" s="106"/>
      <c r="L359" s="110" t="str">
        <f t="shared" si="36"/>
        <v/>
      </c>
      <c r="M359" s="106" t="str">
        <f t="shared" si="37"/>
        <v/>
      </c>
      <c r="N359" s="111" t="str">
        <f t="shared" si="38"/>
        <v/>
      </c>
    </row>
    <row r="360">
      <c r="A360" s="104"/>
      <c r="B360" s="105"/>
      <c r="C360" s="105"/>
      <c r="D360" s="105"/>
      <c r="E360" s="105" t="s">
        <v>1616</v>
      </c>
      <c r="F360" s="108" t="s">
        <v>1617</v>
      </c>
      <c r="G360" s="106">
        <v>11.37</v>
      </c>
      <c r="H360" s="107">
        <v>45963.0</v>
      </c>
      <c r="I360" s="107" t="b">
        <v>0</v>
      </c>
      <c r="J360" s="107"/>
      <c r="K360" s="106"/>
      <c r="L360" s="110" t="str">
        <f t="shared" si="36"/>
        <v/>
      </c>
      <c r="M360" s="106" t="str">
        <f t="shared" si="37"/>
        <v/>
      </c>
      <c r="N360" s="111" t="str">
        <f t="shared" si="38"/>
        <v/>
      </c>
    </row>
    <row r="361">
      <c r="A361" s="104"/>
      <c r="B361" s="105"/>
      <c r="C361" s="105"/>
      <c r="D361" s="105"/>
      <c r="E361" s="105" t="s">
        <v>1618</v>
      </c>
      <c r="F361" s="108" t="s">
        <v>1619</v>
      </c>
      <c r="G361" s="106">
        <v>11.37</v>
      </c>
      <c r="H361" s="107">
        <v>45963.0</v>
      </c>
      <c r="I361" s="107" t="b">
        <v>0</v>
      </c>
      <c r="J361" s="107"/>
      <c r="K361" s="106"/>
      <c r="L361" s="110" t="str">
        <f t="shared" si="36"/>
        <v/>
      </c>
      <c r="M361" s="106" t="str">
        <f t="shared" si="37"/>
        <v/>
      </c>
      <c r="N361" s="111" t="str">
        <f t="shared" si="38"/>
        <v/>
      </c>
    </row>
    <row r="362">
      <c r="A362" s="104"/>
      <c r="B362" s="105"/>
      <c r="C362" s="105"/>
      <c r="D362" s="105"/>
      <c r="E362" s="105" t="s">
        <v>1620</v>
      </c>
      <c r="F362" s="108" t="s">
        <v>1621</v>
      </c>
      <c r="G362" s="106">
        <v>11.37</v>
      </c>
      <c r="H362" s="107">
        <v>45963.0</v>
      </c>
      <c r="I362" s="107" t="b">
        <v>0</v>
      </c>
      <c r="J362" s="107"/>
      <c r="K362" s="106"/>
      <c r="L362" s="110" t="str">
        <f t="shared" si="36"/>
        <v/>
      </c>
      <c r="M362" s="106" t="str">
        <f t="shared" si="37"/>
        <v/>
      </c>
      <c r="N362" s="111" t="str">
        <f t="shared" si="38"/>
        <v/>
      </c>
    </row>
    <row r="363">
      <c r="A363" s="104"/>
      <c r="B363" s="105"/>
      <c r="C363" s="105"/>
      <c r="D363" s="105"/>
      <c r="E363" s="105" t="s">
        <v>1622</v>
      </c>
      <c r="F363" s="108" t="s">
        <v>1623</v>
      </c>
      <c r="G363" s="106">
        <v>11.37</v>
      </c>
      <c r="H363" s="107">
        <v>45963.0</v>
      </c>
      <c r="I363" s="107" t="b">
        <v>0</v>
      </c>
      <c r="J363" s="107"/>
      <c r="K363" s="106"/>
      <c r="L363" s="110" t="str">
        <f t="shared" si="36"/>
        <v/>
      </c>
      <c r="M363" s="106" t="str">
        <f t="shared" si="37"/>
        <v/>
      </c>
      <c r="N363" s="111" t="str">
        <f t="shared" si="38"/>
        <v/>
      </c>
    </row>
    <row r="364">
      <c r="A364" s="104"/>
      <c r="B364" s="105"/>
      <c r="C364" s="105"/>
      <c r="D364" s="105"/>
      <c r="E364" s="105" t="s">
        <v>1624</v>
      </c>
      <c r="F364" s="108" t="s">
        <v>1625</v>
      </c>
      <c r="G364" s="106">
        <v>11.37</v>
      </c>
      <c r="H364" s="107">
        <v>45963.0</v>
      </c>
      <c r="I364" s="107" t="b">
        <v>0</v>
      </c>
      <c r="J364" s="107"/>
      <c r="K364" s="106"/>
      <c r="L364" s="110" t="str">
        <f t="shared" si="36"/>
        <v/>
      </c>
      <c r="M364" s="106" t="str">
        <f t="shared" si="37"/>
        <v/>
      </c>
      <c r="N364" s="111" t="str">
        <f t="shared" si="38"/>
        <v/>
      </c>
    </row>
    <row r="365">
      <c r="A365" s="104"/>
      <c r="B365" s="105"/>
      <c r="C365" s="105"/>
      <c r="D365" s="105"/>
      <c r="E365" s="105" t="s">
        <v>1626</v>
      </c>
      <c r="F365" s="108" t="s">
        <v>1627</v>
      </c>
      <c r="G365" s="106">
        <v>11.37</v>
      </c>
      <c r="H365" s="107">
        <v>45963.0</v>
      </c>
      <c r="I365" s="107" t="b">
        <v>0</v>
      </c>
      <c r="J365" s="107"/>
      <c r="K365" s="106"/>
      <c r="L365" s="110" t="str">
        <f t="shared" si="36"/>
        <v/>
      </c>
      <c r="M365" s="106" t="str">
        <f t="shared" si="37"/>
        <v/>
      </c>
      <c r="N365" s="111" t="str">
        <f t="shared" si="38"/>
        <v/>
      </c>
    </row>
    <row r="366">
      <c r="A366" s="104"/>
      <c r="B366" s="105"/>
      <c r="C366" s="105"/>
      <c r="D366" s="105"/>
      <c r="E366" s="105" t="s">
        <v>1628</v>
      </c>
      <c r="F366" s="108" t="s">
        <v>1629</v>
      </c>
      <c r="G366" s="106">
        <v>11.37</v>
      </c>
      <c r="H366" s="107">
        <v>45963.0</v>
      </c>
      <c r="I366" s="107" t="b">
        <v>0</v>
      </c>
      <c r="J366" s="107"/>
      <c r="K366" s="106"/>
      <c r="L366" s="110" t="str">
        <f t="shared" si="36"/>
        <v/>
      </c>
      <c r="M366" s="106" t="str">
        <f t="shared" si="37"/>
        <v/>
      </c>
      <c r="N366" s="111" t="str">
        <f t="shared" si="38"/>
        <v/>
      </c>
    </row>
    <row r="367">
      <c r="A367" s="104"/>
      <c r="B367" s="105"/>
      <c r="C367" s="105"/>
      <c r="D367" s="105"/>
      <c r="E367" s="105" t="s">
        <v>1630</v>
      </c>
      <c r="F367" s="108" t="s">
        <v>1631</v>
      </c>
      <c r="G367" s="106">
        <v>11.37</v>
      </c>
      <c r="H367" s="107">
        <v>45964.0</v>
      </c>
      <c r="I367" s="107" t="b">
        <v>0</v>
      </c>
      <c r="J367" s="107"/>
      <c r="K367" s="106"/>
      <c r="L367" s="110" t="str">
        <f t="shared" si="36"/>
        <v/>
      </c>
      <c r="M367" s="106" t="str">
        <f t="shared" si="37"/>
        <v/>
      </c>
      <c r="N367" s="111" t="str">
        <f t="shared" si="38"/>
        <v/>
      </c>
    </row>
    <row r="368">
      <c r="A368" s="104"/>
      <c r="B368" s="105"/>
      <c r="C368" s="105"/>
      <c r="D368" s="105"/>
      <c r="E368" s="105" t="s">
        <v>1632</v>
      </c>
      <c r="F368" s="108" t="s">
        <v>1633</v>
      </c>
      <c r="G368" s="106">
        <v>11.37</v>
      </c>
      <c r="H368" s="107">
        <v>45964.0</v>
      </c>
      <c r="I368" s="107" t="b">
        <v>0</v>
      </c>
      <c r="J368" s="107"/>
      <c r="K368" s="106"/>
      <c r="L368" s="110" t="str">
        <f t="shared" si="36"/>
        <v/>
      </c>
      <c r="M368" s="106" t="str">
        <f t="shared" si="37"/>
        <v/>
      </c>
      <c r="N368" s="111" t="str">
        <f t="shared" si="38"/>
        <v/>
      </c>
    </row>
    <row r="369">
      <c r="A369" s="112"/>
      <c r="B369" s="113"/>
      <c r="C369" s="113"/>
      <c r="D369" s="113"/>
      <c r="E369" s="113"/>
      <c r="F369" s="114"/>
      <c r="G369" s="114"/>
      <c r="H369" s="115"/>
      <c r="I369" s="115" t="b">
        <v>0</v>
      </c>
      <c r="J369" s="115"/>
      <c r="K369" s="114"/>
      <c r="L369" s="116"/>
      <c r="M369" s="114"/>
      <c r="N369" s="117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</row>
    <row r="370">
      <c r="A370" s="104"/>
      <c r="B370" s="105"/>
      <c r="C370" s="105"/>
      <c r="D370" s="105"/>
      <c r="E370" s="105" t="s">
        <v>1634</v>
      </c>
      <c r="F370" s="106"/>
      <c r="G370" s="106">
        <f>SUM(G2:G368)</f>
        <v>2290.68</v>
      </c>
      <c r="H370" s="107"/>
      <c r="I370" s="107" t="b">
        <v>0</v>
      </c>
      <c r="J370" s="107"/>
      <c r="K370" s="106"/>
      <c r="L370" s="110"/>
      <c r="M370" s="106"/>
      <c r="N370" s="111"/>
    </row>
    <row r="371">
      <c r="I371" s="40" t="b">
        <v>0</v>
      </c>
    </row>
    <row r="372">
      <c r="I372" s="40" t="b">
        <v>0</v>
      </c>
    </row>
    <row r="373">
      <c r="I373" s="40" t="b">
        <v>0</v>
      </c>
    </row>
    <row r="374">
      <c r="I374" s="40" t="b">
        <v>0</v>
      </c>
    </row>
    <row r="375">
      <c r="I375" s="40" t="b">
        <v>0</v>
      </c>
    </row>
    <row r="376">
      <c r="I376" s="40" t="b">
        <v>0</v>
      </c>
    </row>
    <row r="377">
      <c r="I377" s="40" t="b">
        <v>0</v>
      </c>
    </row>
    <row r="378">
      <c r="I378" s="40" t="b">
        <v>0</v>
      </c>
    </row>
    <row r="379">
      <c r="I379" s="40" t="b">
        <v>0</v>
      </c>
    </row>
    <row r="380">
      <c r="I380" s="40" t="b">
        <v>0</v>
      </c>
    </row>
    <row r="381">
      <c r="I381" s="40" t="b">
        <v>0</v>
      </c>
    </row>
    <row r="382">
      <c r="I382" s="40" t="b">
        <v>0</v>
      </c>
    </row>
    <row r="383">
      <c r="I383" s="40" t="b">
        <v>0</v>
      </c>
    </row>
    <row r="384">
      <c r="I384" s="40" t="b">
        <v>0</v>
      </c>
    </row>
    <row r="385">
      <c r="I385" s="40" t="b">
        <v>0</v>
      </c>
    </row>
    <row r="386">
      <c r="I386" s="40" t="b">
        <v>0</v>
      </c>
    </row>
    <row r="387">
      <c r="I387" s="40" t="b">
        <v>0</v>
      </c>
    </row>
    <row r="388">
      <c r="I388" s="40" t="b">
        <v>0</v>
      </c>
    </row>
    <row r="389">
      <c r="I389" s="40" t="b">
        <v>0</v>
      </c>
    </row>
    <row r="390">
      <c r="I390" s="40" t="b">
        <v>0</v>
      </c>
    </row>
    <row r="391">
      <c r="I391" s="40" t="b">
        <v>0</v>
      </c>
    </row>
    <row r="392">
      <c r="I392" s="40" t="b">
        <v>0</v>
      </c>
    </row>
    <row r="393">
      <c r="I393" s="40" t="b">
        <v>0</v>
      </c>
    </row>
    <row r="394">
      <c r="I394" s="40" t="b">
        <v>0</v>
      </c>
    </row>
    <row r="395">
      <c r="I395" s="40" t="b">
        <v>0</v>
      </c>
    </row>
    <row r="396">
      <c r="I396" s="40" t="b">
        <v>0</v>
      </c>
    </row>
    <row r="397">
      <c r="I397" s="40" t="b">
        <v>0</v>
      </c>
    </row>
    <row r="398">
      <c r="I398" s="40" t="b">
        <v>0</v>
      </c>
    </row>
    <row r="399">
      <c r="I399" s="40" t="b">
        <v>0</v>
      </c>
    </row>
    <row r="400">
      <c r="I400" s="40" t="b">
        <v>0</v>
      </c>
    </row>
    <row r="401">
      <c r="I401" s="40" t="b">
        <v>0</v>
      </c>
    </row>
    <row r="402">
      <c r="I402" s="40" t="b">
        <v>0</v>
      </c>
    </row>
    <row r="403">
      <c r="I403" s="40" t="b">
        <v>0</v>
      </c>
    </row>
    <row r="404">
      <c r="I404" s="40" t="b">
        <v>0</v>
      </c>
    </row>
    <row r="405">
      <c r="I405" s="40" t="b">
        <v>0</v>
      </c>
    </row>
    <row r="406">
      <c r="I406" s="40" t="b">
        <v>0</v>
      </c>
    </row>
    <row r="407">
      <c r="I407" s="40" t="b">
        <v>0</v>
      </c>
    </row>
    <row r="408">
      <c r="I408" s="40" t="b">
        <v>0</v>
      </c>
    </row>
    <row r="409">
      <c r="I409" s="40" t="b">
        <v>0</v>
      </c>
    </row>
    <row r="410">
      <c r="I410" s="40" t="b">
        <v>0</v>
      </c>
    </row>
    <row r="411">
      <c r="I411" s="40" t="b">
        <v>0</v>
      </c>
    </row>
    <row r="412">
      <c r="I412" s="40" t="b">
        <v>0</v>
      </c>
    </row>
    <row r="413">
      <c r="I413" s="40" t="b">
        <v>0</v>
      </c>
    </row>
    <row r="414">
      <c r="I414" s="40" t="b">
        <v>0</v>
      </c>
    </row>
    <row r="415">
      <c r="I415" s="40" t="b">
        <v>0</v>
      </c>
    </row>
    <row r="416">
      <c r="I416" s="40" t="b">
        <v>0</v>
      </c>
    </row>
    <row r="417">
      <c r="I417" s="40" t="b">
        <v>0</v>
      </c>
    </row>
    <row r="418">
      <c r="I418" s="40" t="b">
        <v>0</v>
      </c>
    </row>
    <row r="419">
      <c r="I419" s="40" t="b">
        <v>0</v>
      </c>
    </row>
    <row r="420">
      <c r="I420" s="40" t="b">
        <v>0</v>
      </c>
    </row>
    <row r="421">
      <c r="I421" s="40" t="b">
        <v>0</v>
      </c>
    </row>
    <row r="422">
      <c r="I422" s="40" t="b">
        <v>0</v>
      </c>
    </row>
    <row r="423">
      <c r="I423" s="40" t="b">
        <v>0</v>
      </c>
    </row>
    <row r="424">
      <c r="I424" s="40" t="b">
        <v>0</v>
      </c>
    </row>
    <row r="425">
      <c r="I425" s="40" t="b">
        <v>0</v>
      </c>
    </row>
    <row r="426">
      <c r="I426" s="40" t="b">
        <v>0</v>
      </c>
    </row>
    <row r="427">
      <c r="I427" s="40" t="b">
        <v>0</v>
      </c>
    </row>
    <row r="428">
      <c r="I428" s="40" t="b">
        <v>0</v>
      </c>
    </row>
    <row r="429">
      <c r="I429" s="40" t="b">
        <v>0</v>
      </c>
    </row>
    <row r="430">
      <c r="I430" s="40" t="b">
        <v>0</v>
      </c>
    </row>
    <row r="431">
      <c r="I431" s="40" t="b">
        <v>0</v>
      </c>
    </row>
    <row r="432">
      <c r="I432" s="40" t="b">
        <v>0</v>
      </c>
    </row>
    <row r="433">
      <c r="I433" s="40" t="b">
        <v>0</v>
      </c>
    </row>
    <row r="434">
      <c r="I434" s="40" t="b">
        <v>0</v>
      </c>
    </row>
    <row r="435">
      <c r="I435" s="40" t="b">
        <v>0</v>
      </c>
    </row>
    <row r="436">
      <c r="I436" s="40" t="b">
        <v>0</v>
      </c>
    </row>
    <row r="437">
      <c r="I437" s="40" t="b">
        <v>0</v>
      </c>
    </row>
    <row r="438">
      <c r="I438" s="40" t="b">
        <v>0</v>
      </c>
    </row>
    <row r="439">
      <c r="I439" s="40" t="b">
        <v>0</v>
      </c>
    </row>
    <row r="440">
      <c r="I440" s="40" t="b">
        <v>0</v>
      </c>
    </row>
    <row r="441">
      <c r="I441" s="40" t="b">
        <v>0</v>
      </c>
    </row>
    <row r="442">
      <c r="I442" s="40" t="b">
        <v>0</v>
      </c>
    </row>
    <row r="443">
      <c r="I443" s="40" t="b">
        <v>0</v>
      </c>
    </row>
    <row r="444">
      <c r="I444" s="40" t="b">
        <v>0</v>
      </c>
    </row>
    <row r="445">
      <c r="I445" s="40" t="b">
        <v>0</v>
      </c>
    </row>
    <row r="446">
      <c r="I446" s="40" t="b">
        <v>0</v>
      </c>
    </row>
    <row r="447">
      <c r="I447" s="40" t="b">
        <v>0</v>
      </c>
    </row>
    <row r="448">
      <c r="I448" s="40" t="b">
        <v>0</v>
      </c>
    </row>
    <row r="449">
      <c r="I449" s="40" t="b">
        <v>0</v>
      </c>
    </row>
    <row r="450">
      <c r="I450" s="40" t="b">
        <v>0</v>
      </c>
    </row>
    <row r="451">
      <c r="I451" s="40" t="b">
        <v>0</v>
      </c>
    </row>
    <row r="452">
      <c r="I452" s="40" t="b">
        <v>0</v>
      </c>
    </row>
    <row r="453">
      <c r="I453" s="40" t="b">
        <v>0</v>
      </c>
    </row>
    <row r="454">
      <c r="I454" s="40" t="b">
        <v>0</v>
      </c>
    </row>
    <row r="455">
      <c r="I455" s="40" t="b">
        <v>0</v>
      </c>
    </row>
    <row r="456">
      <c r="I456" s="40" t="b">
        <v>0</v>
      </c>
    </row>
    <row r="457">
      <c r="I457" s="40" t="b">
        <v>0</v>
      </c>
    </row>
    <row r="458">
      <c r="I458" s="40" t="b">
        <v>0</v>
      </c>
    </row>
    <row r="459">
      <c r="I459" s="40" t="b">
        <v>0</v>
      </c>
    </row>
    <row r="460">
      <c r="I460" s="40" t="b">
        <v>0</v>
      </c>
    </row>
    <row r="461">
      <c r="I461" s="40" t="b">
        <v>0</v>
      </c>
    </row>
    <row r="462">
      <c r="I462" s="40" t="b">
        <v>0</v>
      </c>
    </row>
    <row r="463">
      <c r="I463" s="40" t="b">
        <v>0</v>
      </c>
    </row>
    <row r="464">
      <c r="I464" s="40" t="b">
        <v>0</v>
      </c>
    </row>
    <row r="465">
      <c r="I465" s="40" t="b">
        <v>0</v>
      </c>
    </row>
    <row r="466">
      <c r="I466" s="40" t="b">
        <v>0</v>
      </c>
    </row>
    <row r="467">
      <c r="I467" s="40" t="b">
        <v>0</v>
      </c>
    </row>
    <row r="468">
      <c r="I468" s="40" t="b">
        <v>0</v>
      </c>
    </row>
    <row r="469">
      <c r="I469" s="40" t="b">
        <v>0</v>
      </c>
    </row>
    <row r="470">
      <c r="I470" s="40" t="b">
        <v>0</v>
      </c>
    </row>
    <row r="471">
      <c r="I471" s="40" t="b">
        <v>0</v>
      </c>
    </row>
    <row r="472">
      <c r="I472" s="40" t="b">
        <v>0</v>
      </c>
    </row>
    <row r="473">
      <c r="I473" s="40" t="b">
        <v>0</v>
      </c>
    </row>
    <row r="474">
      <c r="I474" s="40" t="b">
        <v>0</v>
      </c>
    </row>
    <row r="475">
      <c r="I475" s="40" t="b">
        <v>0</v>
      </c>
    </row>
    <row r="476">
      <c r="I476" s="40" t="b">
        <v>0</v>
      </c>
    </row>
    <row r="477">
      <c r="I477" s="40" t="b">
        <v>0</v>
      </c>
    </row>
    <row r="478">
      <c r="I478" s="40" t="b">
        <v>0</v>
      </c>
    </row>
    <row r="479">
      <c r="I479" s="40" t="b">
        <v>0</v>
      </c>
    </row>
    <row r="480">
      <c r="I480" s="40" t="b">
        <v>0</v>
      </c>
    </row>
    <row r="481">
      <c r="I481" s="40" t="b">
        <v>0</v>
      </c>
    </row>
    <row r="482">
      <c r="I482" s="40" t="b">
        <v>0</v>
      </c>
    </row>
    <row r="483">
      <c r="I483" s="40" t="b">
        <v>0</v>
      </c>
    </row>
    <row r="484">
      <c r="I484" s="40" t="b">
        <v>0</v>
      </c>
    </row>
    <row r="485">
      <c r="I485" s="40" t="b">
        <v>0</v>
      </c>
    </row>
    <row r="486">
      <c r="I486" s="40" t="b">
        <v>0</v>
      </c>
    </row>
    <row r="487">
      <c r="I487" s="40" t="b">
        <v>0</v>
      </c>
    </row>
    <row r="488">
      <c r="I488" s="40" t="b">
        <v>0</v>
      </c>
    </row>
    <row r="489">
      <c r="I489" s="40" t="b">
        <v>0</v>
      </c>
    </row>
    <row r="490">
      <c r="I490" s="40" t="b">
        <v>0</v>
      </c>
    </row>
    <row r="491">
      <c r="I491" s="40" t="b">
        <v>0</v>
      </c>
    </row>
    <row r="492">
      <c r="I492" s="40" t="b">
        <v>0</v>
      </c>
    </row>
    <row r="493">
      <c r="I493" s="40" t="b">
        <v>0</v>
      </c>
    </row>
    <row r="494">
      <c r="I494" s="40" t="b">
        <v>0</v>
      </c>
    </row>
    <row r="495">
      <c r="I495" s="40" t="b">
        <v>0</v>
      </c>
    </row>
    <row r="496">
      <c r="I496" s="40" t="b">
        <v>0</v>
      </c>
    </row>
    <row r="497">
      <c r="I497" s="40" t="b">
        <v>0</v>
      </c>
    </row>
    <row r="498">
      <c r="I498" s="40" t="b">
        <v>0</v>
      </c>
    </row>
    <row r="499">
      <c r="I499" s="40" t="b">
        <v>0</v>
      </c>
    </row>
    <row r="500">
      <c r="I500" s="40" t="b">
        <v>0</v>
      </c>
    </row>
    <row r="501">
      <c r="I501" s="40" t="b">
        <v>0</v>
      </c>
    </row>
    <row r="502">
      <c r="I502" s="40" t="b">
        <v>0</v>
      </c>
    </row>
    <row r="503">
      <c r="I503" s="40" t="b">
        <v>0</v>
      </c>
    </row>
    <row r="504">
      <c r="I504" s="40" t="b">
        <v>0</v>
      </c>
    </row>
    <row r="505">
      <c r="I505" s="40" t="b">
        <v>0</v>
      </c>
    </row>
    <row r="506">
      <c r="I506" s="40" t="b">
        <v>0</v>
      </c>
    </row>
    <row r="507">
      <c r="I507" s="40" t="b">
        <v>0</v>
      </c>
    </row>
    <row r="508">
      <c r="I508" s="40" t="b">
        <v>0</v>
      </c>
    </row>
    <row r="509">
      <c r="I509" s="40" t="b">
        <v>0</v>
      </c>
    </row>
    <row r="510">
      <c r="I510" s="40" t="b">
        <v>0</v>
      </c>
    </row>
    <row r="511">
      <c r="I511" s="40" t="b">
        <v>0</v>
      </c>
    </row>
    <row r="512">
      <c r="I512" s="40" t="b">
        <v>0</v>
      </c>
    </row>
    <row r="513">
      <c r="I513" s="40" t="b">
        <v>0</v>
      </c>
    </row>
    <row r="514">
      <c r="I514" s="40" t="b">
        <v>0</v>
      </c>
    </row>
    <row r="515">
      <c r="I515" s="40" t="b">
        <v>0</v>
      </c>
    </row>
    <row r="516">
      <c r="I516" s="40" t="b">
        <v>0</v>
      </c>
    </row>
    <row r="517">
      <c r="I517" s="40" t="b">
        <v>0</v>
      </c>
    </row>
    <row r="518">
      <c r="I518" s="40" t="b">
        <v>0</v>
      </c>
    </row>
    <row r="519">
      <c r="I519" s="40" t="b">
        <v>0</v>
      </c>
    </row>
    <row r="520">
      <c r="I520" s="40" t="b">
        <v>0</v>
      </c>
    </row>
    <row r="521">
      <c r="I521" s="40" t="b">
        <v>0</v>
      </c>
    </row>
    <row r="522">
      <c r="I522" s="40" t="b">
        <v>0</v>
      </c>
    </row>
    <row r="523">
      <c r="I523" s="40" t="b">
        <v>0</v>
      </c>
    </row>
    <row r="524">
      <c r="I524" s="40" t="b">
        <v>0</v>
      </c>
    </row>
    <row r="525">
      <c r="I525" s="40" t="b">
        <v>0</v>
      </c>
    </row>
    <row r="526">
      <c r="I526" s="40" t="b">
        <v>0</v>
      </c>
    </row>
    <row r="527">
      <c r="I527" s="40" t="b">
        <v>0</v>
      </c>
    </row>
    <row r="528">
      <c r="I528" s="40" t="b">
        <v>0</v>
      </c>
    </row>
    <row r="529">
      <c r="I529" s="40" t="b">
        <v>0</v>
      </c>
    </row>
    <row r="530">
      <c r="I530" s="40" t="b">
        <v>0</v>
      </c>
    </row>
    <row r="531">
      <c r="I531" s="40" t="b">
        <v>0</v>
      </c>
    </row>
    <row r="532">
      <c r="I532" s="40" t="b">
        <v>0</v>
      </c>
    </row>
    <row r="533">
      <c r="I533" s="40" t="b">
        <v>0</v>
      </c>
    </row>
    <row r="534">
      <c r="I534" s="40" t="b">
        <v>0</v>
      </c>
    </row>
    <row r="535">
      <c r="I535" s="40" t="b">
        <v>0</v>
      </c>
    </row>
    <row r="536">
      <c r="I536" s="40" t="b">
        <v>0</v>
      </c>
    </row>
    <row r="537">
      <c r="I537" s="40" t="b">
        <v>0</v>
      </c>
    </row>
    <row r="538">
      <c r="I538" s="40" t="b">
        <v>0</v>
      </c>
    </row>
    <row r="539">
      <c r="I539" s="40" t="b">
        <v>0</v>
      </c>
    </row>
    <row r="540">
      <c r="I540" s="40" t="b">
        <v>0</v>
      </c>
    </row>
    <row r="541">
      <c r="I541" s="40" t="b">
        <v>0</v>
      </c>
    </row>
    <row r="542">
      <c r="I542" s="40" t="b">
        <v>0</v>
      </c>
    </row>
    <row r="543">
      <c r="I543" s="40" t="b">
        <v>0</v>
      </c>
    </row>
    <row r="544">
      <c r="I544" s="40" t="b">
        <v>0</v>
      </c>
    </row>
    <row r="545">
      <c r="I545" s="40" t="b">
        <v>0</v>
      </c>
    </row>
    <row r="546">
      <c r="I546" s="40" t="b">
        <v>0</v>
      </c>
    </row>
    <row r="547">
      <c r="I547" s="40" t="b">
        <v>0</v>
      </c>
    </row>
    <row r="548">
      <c r="I548" s="40" t="b">
        <v>0</v>
      </c>
    </row>
    <row r="549">
      <c r="I549" s="40" t="b">
        <v>0</v>
      </c>
    </row>
    <row r="550">
      <c r="I550" s="40" t="b">
        <v>0</v>
      </c>
    </row>
    <row r="551">
      <c r="I551" s="40" t="b">
        <v>0</v>
      </c>
    </row>
    <row r="552">
      <c r="I552" s="40" t="b">
        <v>0</v>
      </c>
    </row>
    <row r="553">
      <c r="I553" s="40" t="b">
        <v>0</v>
      </c>
    </row>
    <row r="554">
      <c r="I554" s="40" t="b">
        <v>0</v>
      </c>
    </row>
    <row r="555">
      <c r="I555" s="40" t="b">
        <v>0</v>
      </c>
    </row>
    <row r="556">
      <c r="I556" s="40" t="b">
        <v>0</v>
      </c>
    </row>
    <row r="557">
      <c r="I557" s="40" t="b">
        <v>0</v>
      </c>
    </row>
    <row r="558">
      <c r="I558" s="40" t="b">
        <v>0</v>
      </c>
    </row>
    <row r="559">
      <c r="I559" s="40" t="b">
        <v>0</v>
      </c>
    </row>
    <row r="560">
      <c r="I560" s="40" t="b">
        <v>0</v>
      </c>
    </row>
    <row r="561">
      <c r="I561" s="40" t="b">
        <v>0</v>
      </c>
    </row>
    <row r="562">
      <c r="I562" s="40" t="b">
        <v>0</v>
      </c>
    </row>
    <row r="563">
      <c r="I563" s="40" t="b">
        <v>0</v>
      </c>
    </row>
    <row r="564">
      <c r="I564" s="40" t="b">
        <v>0</v>
      </c>
    </row>
    <row r="565">
      <c r="I565" s="40" t="b">
        <v>0</v>
      </c>
    </row>
    <row r="566">
      <c r="I566" s="40" t="b">
        <v>0</v>
      </c>
    </row>
    <row r="567">
      <c r="I567" s="40" t="b">
        <v>0</v>
      </c>
    </row>
    <row r="568">
      <c r="I568" s="40" t="b">
        <v>0</v>
      </c>
    </row>
    <row r="569">
      <c r="I569" s="40" t="b">
        <v>0</v>
      </c>
    </row>
    <row r="570">
      <c r="I570" s="40" t="b">
        <v>0</v>
      </c>
    </row>
    <row r="571">
      <c r="I571" s="40" t="b">
        <v>0</v>
      </c>
    </row>
    <row r="572">
      <c r="I572" s="40" t="b">
        <v>0</v>
      </c>
    </row>
    <row r="573">
      <c r="I573" s="40" t="b">
        <v>0</v>
      </c>
    </row>
    <row r="574">
      <c r="I574" s="40" t="b">
        <v>0</v>
      </c>
    </row>
    <row r="575">
      <c r="I575" s="40" t="b">
        <v>0</v>
      </c>
    </row>
    <row r="576">
      <c r="I576" s="40" t="b">
        <v>0</v>
      </c>
    </row>
    <row r="577">
      <c r="I577" s="40" t="b">
        <v>0</v>
      </c>
    </row>
    <row r="578">
      <c r="I578" s="40" t="b">
        <v>0</v>
      </c>
    </row>
    <row r="579">
      <c r="I579" s="40" t="b">
        <v>0</v>
      </c>
    </row>
    <row r="580">
      <c r="I580" s="40" t="b">
        <v>0</v>
      </c>
    </row>
    <row r="581">
      <c r="I581" s="40" t="b">
        <v>0</v>
      </c>
    </row>
    <row r="582">
      <c r="I582" s="40" t="b">
        <v>0</v>
      </c>
    </row>
    <row r="583">
      <c r="I583" s="40" t="b">
        <v>0</v>
      </c>
    </row>
    <row r="584">
      <c r="I584" s="40" t="b">
        <v>0</v>
      </c>
    </row>
    <row r="585">
      <c r="I585" s="40" t="b">
        <v>0</v>
      </c>
    </row>
    <row r="586">
      <c r="I586" s="40" t="b">
        <v>0</v>
      </c>
    </row>
    <row r="587">
      <c r="I587" s="40" t="b">
        <v>0</v>
      </c>
    </row>
    <row r="588">
      <c r="I588" s="40" t="b">
        <v>0</v>
      </c>
    </row>
    <row r="589">
      <c r="I589" s="40" t="b">
        <v>0</v>
      </c>
    </row>
    <row r="590">
      <c r="I590" s="40" t="b">
        <v>0</v>
      </c>
    </row>
    <row r="591">
      <c r="I591" s="40" t="b">
        <v>0</v>
      </c>
    </row>
    <row r="592">
      <c r="I592" s="40" t="b">
        <v>0</v>
      </c>
    </row>
    <row r="593">
      <c r="I593" s="40" t="b">
        <v>0</v>
      </c>
    </row>
    <row r="594">
      <c r="I594" s="40" t="b">
        <v>0</v>
      </c>
    </row>
    <row r="595">
      <c r="I595" s="40" t="b">
        <v>0</v>
      </c>
    </row>
    <row r="596">
      <c r="I596" s="40" t="b">
        <v>0</v>
      </c>
    </row>
    <row r="597">
      <c r="I597" s="40" t="b">
        <v>0</v>
      </c>
    </row>
    <row r="598">
      <c r="I598" s="40" t="b">
        <v>0</v>
      </c>
    </row>
    <row r="599">
      <c r="I599" s="40" t="b">
        <v>0</v>
      </c>
    </row>
    <row r="600">
      <c r="I600" s="40" t="b">
        <v>0</v>
      </c>
    </row>
    <row r="601">
      <c r="I601" s="40" t="b">
        <v>0</v>
      </c>
    </row>
    <row r="602">
      <c r="I602" s="40" t="b">
        <v>0</v>
      </c>
    </row>
    <row r="603">
      <c r="I603" s="40" t="b">
        <v>0</v>
      </c>
    </row>
    <row r="604">
      <c r="I604" s="40" t="b">
        <v>0</v>
      </c>
    </row>
    <row r="605">
      <c r="I605" s="40" t="b">
        <v>0</v>
      </c>
    </row>
    <row r="606">
      <c r="I606" s="40" t="b">
        <v>0</v>
      </c>
    </row>
    <row r="607">
      <c r="I607" s="40" t="b">
        <v>0</v>
      </c>
    </row>
    <row r="608">
      <c r="I608" s="40" t="b">
        <v>0</v>
      </c>
    </row>
    <row r="609">
      <c r="I609" s="40" t="b">
        <v>0</v>
      </c>
    </row>
    <row r="610">
      <c r="I610" s="40" t="b">
        <v>0</v>
      </c>
    </row>
    <row r="611">
      <c r="I611" s="40" t="b">
        <v>0</v>
      </c>
    </row>
    <row r="612">
      <c r="I612" s="40" t="b">
        <v>0</v>
      </c>
    </row>
    <row r="613">
      <c r="I613" s="40" t="b">
        <v>0</v>
      </c>
    </row>
    <row r="614">
      <c r="I614" s="40" t="b">
        <v>0</v>
      </c>
    </row>
    <row r="615">
      <c r="I615" s="40" t="b">
        <v>0</v>
      </c>
    </row>
    <row r="616">
      <c r="I616" s="40" t="b">
        <v>0</v>
      </c>
    </row>
    <row r="617">
      <c r="I617" s="40" t="b">
        <v>0</v>
      </c>
    </row>
    <row r="618">
      <c r="I618" s="40" t="b">
        <v>0</v>
      </c>
    </row>
    <row r="619">
      <c r="I619" s="40" t="b">
        <v>0</v>
      </c>
    </row>
    <row r="620">
      <c r="I620" s="40" t="b">
        <v>0</v>
      </c>
    </row>
    <row r="621">
      <c r="I621" s="40" t="b">
        <v>0</v>
      </c>
    </row>
    <row r="622">
      <c r="I622" s="40" t="b">
        <v>0</v>
      </c>
    </row>
    <row r="623">
      <c r="I623" s="40" t="b">
        <v>0</v>
      </c>
    </row>
    <row r="624">
      <c r="I624" s="40" t="b">
        <v>0</v>
      </c>
    </row>
    <row r="625">
      <c r="I625" s="40" t="b">
        <v>0</v>
      </c>
    </row>
    <row r="626">
      <c r="I626" s="40" t="b">
        <v>0</v>
      </c>
    </row>
    <row r="627">
      <c r="I627" s="40" t="b">
        <v>0</v>
      </c>
    </row>
    <row r="628">
      <c r="I628" s="40" t="b">
        <v>0</v>
      </c>
    </row>
    <row r="629">
      <c r="I629" s="40" t="b">
        <v>0</v>
      </c>
    </row>
    <row r="630">
      <c r="I630" s="40" t="b">
        <v>0</v>
      </c>
    </row>
    <row r="631">
      <c r="I631" s="40" t="b">
        <v>0</v>
      </c>
    </row>
    <row r="632">
      <c r="I632" s="40" t="b">
        <v>0</v>
      </c>
    </row>
    <row r="633">
      <c r="I633" s="40" t="b">
        <v>0</v>
      </c>
    </row>
    <row r="634">
      <c r="I634" s="40" t="b">
        <v>0</v>
      </c>
    </row>
    <row r="635">
      <c r="I635" s="40" t="b">
        <v>0</v>
      </c>
    </row>
    <row r="636">
      <c r="I636" s="40" t="b">
        <v>0</v>
      </c>
    </row>
    <row r="637">
      <c r="I637" s="40" t="b">
        <v>0</v>
      </c>
    </row>
    <row r="638">
      <c r="I638" s="40" t="b">
        <v>0</v>
      </c>
    </row>
    <row r="639">
      <c r="I639" s="40" t="b">
        <v>0</v>
      </c>
    </row>
    <row r="640">
      <c r="I640" s="40" t="b">
        <v>0</v>
      </c>
    </row>
    <row r="641">
      <c r="I641" s="40" t="b">
        <v>0</v>
      </c>
    </row>
    <row r="642">
      <c r="I642" s="40" t="b">
        <v>0</v>
      </c>
    </row>
    <row r="643">
      <c r="I643" s="40" t="b">
        <v>0</v>
      </c>
    </row>
    <row r="644">
      <c r="I644" s="40" t="b">
        <v>0</v>
      </c>
    </row>
    <row r="645">
      <c r="I645" s="40" t="b">
        <v>0</v>
      </c>
    </row>
    <row r="646">
      <c r="I646" s="40" t="b">
        <v>0</v>
      </c>
    </row>
    <row r="647">
      <c r="I647" s="40" t="b">
        <v>0</v>
      </c>
    </row>
    <row r="648">
      <c r="I648" s="40" t="b">
        <v>0</v>
      </c>
    </row>
    <row r="649">
      <c r="I649" s="40" t="b">
        <v>0</v>
      </c>
    </row>
    <row r="650">
      <c r="I650" s="40" t="b">
        <v>0</v>
      </c>
    </row>
    <row r="651">
      <c r="I651" s="40" t="b">
        <v>0</v>
      </c>
    </row>
    <row r="652">
      <c r="I652" s="40" t="b">
        <v>0</v>
      </c>
    </row>
    <row r="653">
      <c r="I653" s="40" t="b">
        <v>0</v>
      </c>
    </row>
    <row r="654">
      <c r="I654" s="40" t="b">
        <v>0</v>
      </c>
    </row>
    <row r="655">
      <c r="I655" s="40" t="b">
        <v>0</v>
      </c>
    </row>
    <row r="656">
      <c r="I656" s="40" t="b">
        <v>0</v>
      </c>
    </row>
    <row r="657">
      <c r="I657" s="40" t="b">
        <v>0</v>
      </c>
    </row>
    <row r="658">
      <c r="I658" s="40" t="b">
        <v>0</v>
      </c>
    </row>
    <row r="659">
      <c r="I659" s="40" t="b">
        <v>0</v>
      </c>
    </row>
    <row r="660">
      <c r="I660" s="40" t="b">
        <v>0</v>
      </c>
    </row>
    <row r="661">
      <c r="I661" s="40" t="b">
        <v>0</v>
      </c>
    </row>
    <row r="662">
      <c r="I662" s="40" t="b">
        <v>0</v>
      </c>
    </row>
    <row r="663">
      <c r="I663" s="40" t="b">
        <v>0</v>
      </c>
    </row>
    <row r="664">
      <c r="I664" s="40" t="b">
        <v>0</v>
      </c>
    </row>
    <row r="665">
      <c r="I665" s="40" t="b">
        <v>0</v>
      </c>
    </row>
    <row r="666">
      <c r="I666" s="40" t="b">
        <v>0</v>
      </c>
    </row>
    <row r="667">
      <c r="I667" s="40" t="b">
        <v>0</v>
      </c>
    </row>
    <row r="668">
      <c r="I668" s="40" t="b">
        <v>0</v>
      </c>
    </row>
    <row r="669">
      <c r="I669" s="40" t="b">
        <v>0</v>
      </c>
    </row>
    <row r="670">
      <c r="I670" s="40" t="b">
        <v>0</v>
      </c>
    </row>
    <row r="671">
      <c r="I671" s="40" t="b">
        <v>0</v>
      </c>
    </row>
    <row r="672">
      <c r="I672" s="40" t="b">
        <v>0</v>
      </c>
    </row>
    <row r="673">
      <c r="I673" s="40" t="b">
        <v>0</v>
      </c>
    </row>
    <row r="674">
      <c r="I674" s="40" t="b">
        <v>0</v>
      </c>
    </row>
    <row r="675">
      <c r="I675" s="40" t="b">
        <v>0</v>
      </c>
    </row>
    <row r="676">
      <c r="I676" s="40" t="b">
        <v>0</v>
      </c>
    </row>
    <row r="677">
      <c r="I677" s="40" t="b">
        <v>0</v>
      </c>
    </row>
    <row r="678">
      <c r="I678" s="40" t="b">
        <v>0</v>
      </c>
    </row>
    <row r="679">
      <c r="I679" s="40" t="b">
        <v>0</v>
      </c>
    </row>
    <row r="680">
      <c r="I680" s="40" t="b">
        <v>0</v>
      </c>
    </row>
    <row r="681">
      <c r="I681" s="40" t="b">
        <v>0</v>
      </c>
    </row>
    <row r="682">
      <c r="I682" s="40" t="b">
        <v>0</v>
      </c>
    </row>
    <row r="683">
      <c r="I683" s="40" t="b">
        <v>0</v>
      </c>
    </row>
    <row r="684">
      <c r="I684" s="40" t="b">
        <v>0</v>
      </c>
    </row>
    <row r="685">
      <c r="I685" s="40" t="b">
        <v>0</v>
      </c>
    </row>
    <row r="686">
      <c r="I686" s="40" t="b">
        <v>0</v>
      </c>
    </row>
    <row r="687">
      <c r="I687" s="40" t="b">
        <v>0</v>
      </c>
    </row>
    <row r="688">
      <c r="I688" s="40" t="b">
        <v>0</v>
      </c>
    </row>
    <row r="689">
      <c r="I689" s="40" t="b">
        <v>0</v>
      </c>
    </row>
    <row r="690">
      <c r="I690" s="40" t="b">
        <v>0</v>
      </c>
    </row>
    <row r="691">
      <c r="I691" s="40" t="b">
        <v>0</v>
      </c>
    </row>
    <row r="692">
      <c r="I692" s="40" t="b">
        <v>0</v>
      </c>
    </row>
    <row r="693">
      <c r="I693" s="40" t="b">
        <v>0</v>
      </c>
    </row>
    <row r="694">
      <c r="I694" s="40" t="b">
        <v>0</v>
      </c>
    </row>
    <row r="695">
      <c r="I695" s="40" t="b">
        <v>0</v>
      </c>
    </row>
    <row r="696">
      <c r="I696" s="40" t="b">
        <v>0</v>
      </c>
    </row>
    <row r="697">
      <c r="I697" s="40" t="b">
        <v>0</v>
      </c>
    </row>
    <row r="698">
      <c r="I698" s="40" t="b">
        <v>0</v>
      </c>
    </row>
    <row r="699">
      <c r="I699" s="40" t="b">
        <v>0</v>
      </c>
    </row>
    <row r="700">
      <c r="I700" s="40" t="b">
        <v>0</v>
      </c>
    </row>
    <row r="701">
      <c r="I701" s="40" t="b">
        <v>0</v>
      </c>
    </row>
    <row r="702">
      <c r="I702" s="40" t="b">
        <v>0</v>
      </c>
    </row>
    <row r="703">
      <c r="I703" s="40" t="b">
        <v>0</v>
      </c>
    </row>
    <row r="704">
      <c r="I704" s="40" t="b">
        <v>0</v>
      </c>
    </row>
    <row r="705">
      <c r="I705" s="40" t="b">
        <v>0</v>
      </c>
    </row>
    <row r="706">
      <c r="I706" s="40" t="b">
        <v>0</v>
      </c>
    </row>
    <row r="707">
      <c r="I707" s="40" t="b">
        <v>0</v>
      </c>
    </row>
    <row r="708">
      <c r="I708" s="40" t="b">
        <v>0</v>
      </c>
    </row>
    <row r="709">
      <c r="I709" s="40" t="b">
        <v>0</v>
      </c>
    </row>
    <row r="710">
      <c r="I710" s="40" t="b">
        <v>0</v>
      </c>
    </row>
    <row r="711">
      <c r="I711" s="40" t="b">
        <v>0</v>
      </c>
    </row>
    <row r="712">
      <c r="I712" s="40" t="b">
        <v>0</v>
      </c>
    </row>
    <row r="713">
      <c r="I713" s="40" t="b">
        <v>0</v>
      </c>
    </row>
    <row r="714">
      <c r="I714" s="40" t="b">
        <v>0</v>
      </c>
    </row>
    <row r="715">
      <c r="I715" s="40" t="b">
        <v>0</v>
      </c>
    </row>
    <row r="716">
      <c r="I716" s="40" t="b">
        <v>0</v>
      </c>
    </row>
    <row r="717">
      <c r="I717" s="40" t="b">
        <v>0</v>
      </c>
    </row>
    <row r="718">
      <c r="I718" s="40" t="b">
        <v>0</v>
      </c>
    </row>
    <row r="719">
      <c r="I719" s="40" t="b">
        <v>0</v>
      </c>
    </row>
    <row r="720">
      <c r="I720" s="40" t="b">
        <v>0</v>
      </c>
    </row>
    <row r="721">
      <c r="I721" s="40" t="b">
        <v>0</v>
      </c>
    </row>
    <row r="722">
      <c r="I722" s="40" t="b">
        <v>0</v>
      </c>
    </row>
    <row r="723">
      <c r="I723" s="40" t="b">
        <v>0</v>
      </c>
    </row>
    <row r="724">
      <c r="I724" s="40" t="b">
        <v>0</v>
      </c>
    </row>
    <row r="725">
      <c r="I725" s="40" t="b">
        <v>0</v>
      </c>
    </row>
    <row r="726">
      <c r="I726" s="40" t="b">
        <v>0</v>
      </c>
    </row>
    <row r="727">
      <c r="I727" s="40" t="b">
        <v>0</v>
      </c>
    </row>
    <row r="728">
      <c r="I728" s="40" t="b">
        <v>0</v>
      </c>
    </row>
    <row r="729">
      <c r="I729" s="40" t="b">
        <v>0</v>
      </c>
    </row>
    <row r="730">
      <c r="I730" s="40" t="b">
        <v>0</v>
      </c>
    </row>
    <row r="731">
      <c r="I731" s="40" t="b">
        <v>0</v>
      </c>
    </row>
    <row r="732">
      <c r="I732" s="40" t="b">
        <v>0</v>
      </c>
    </row>
    <row r="733">
      <c r="I733" s="40" t="b">
        <v>0</v>
      </c>
    </row>
    <row r="734">
      <c r="I734" s="40" t="b">
        <v>0</v>
      </c>
    </row>
    <row r="735">
      <c r="I735" s="40" t="b">
        <v>0</v>
      </c>
    </row>
    <row r="736">
      <c r="I736" s="40" t="b">
        <v>0</v>
      </c>
    </row>
    <row r="737">
      <c r="I737" s="40" t="b">
        <v>0</v>
      </c>
    </row>
    <row r="738">
      <c r="I738" s="40" t="b">
        <v>0</v>
      </c>
    </row>
    <row r="739">
      <c r="I739" s="40" t="b">
        <v>0</v>
      </c>
    </row>
    <row r="740">
      <c r="I740" s="40" t="b">
        <v>0</v>
      </c>
    </row>
    <row r="741">
      <c r="I741" s="40" t="b">
        <v>0</v>
      </c>
    </row>
    <row r="742">
      <c r="I742" s="40" t="b">
        <v>0</v>
      </c>
    </row>
    <row r="743">
      <c r="I743" s="40" t="b">
        <v>0</v>
      </c>
    </row>
    <row r="744">
      <c r="I744" s="40" t="b">
        <v>0</v>
      </c>
    </row>
    <row r="745">
      <c r="I745" s="40" t="b">
        <v>0</v>
      </c>
    </row>
    <row r="746">
      <c r="I746" s="40" t="b">
        <v>0</v>
      </c>
    </row>
    <row r="747">
      <c r="I747" s="40" t="b">
        <v>0</v>
      </c>
    </row>
    <row r="748">
      <c r="I748" s="40" t="b">
        <v>0</v>
      </c>
    </row>
    <row r="749">
      <c r="I749" s="40" t="b">
        <v>0</v>
      </c>
    </row>
    <row r="750">
      <c r="I750" s="40" t="b">
        <v>0</v>
      </c>
    </row>
    <row r="751">
      <c r="I751" s="40" t="b">
        <v>0</v>
      </c>
    </row>
    <row r="752">
      <c r="I752" s="40" t="b">
        <v>0</v>
      </c>
    </row>
    <row r="753">
      <c r="I753" s="40" t="b">
        <v>0</v>
      </c>
    </row>
    <row r="754">
      <c r="I754" s="40" t="b">
        <v>0</v>
      </c>
    </row>
    <row r="755">
      <c r="I755" s="40" t="b">
        <v>0</v>
      </c>
    </row>
    <row r="756">
      <c r="I756" s="40" t="b">
        <v>0</v>
      </c>
    </row>
    <row r="757">
      <c r="I757" s="40" t="b">
        <v>0</v>
      </c>
    </row>
    <row r="758">
      <c r="I758" s="40" t="b">
        <v>0</v>
      </c>
    </row>
    <row r="759">
      <c r="I759" s="40" t="b">
        <v>0</v>
      </c>
    </row>
    <row r="760">
      <c r="I760" s="40" t="b">
        <v>0</v>
      </c>
    </row>
    <row r="761">
      <c r="I761" s="40" t="b">
        <v>0</v>
      </c>
    </row>
    <row r="762">
      <c r="I762" s="40" t="b">
        <v>0</v>
      </c>
    </row>
    <row r="763">
      <c r="I763" s="40" t="b">
        <v>0</v>
      </c>
    </row>
    <row r="764">
      <c r="I764" s="40" t="b">
        <v>0</v>
      </c>
    </row>
    <row r="765">
      <c r="I765" s="40" t="b">
        <v>0</v>
      </c>
    </row>
    <row r="766">
      <c r="I766" s="40" t="b">
        <v>0</v>
      </c>
    </row>
    <row r="767">
      <c r="I767" s="40" t="b">
        <v>0</v>
      </c>
    </row>
    <row r="768">
      <c r="I768" s="40" t="b">
        <v>0</v>
      </c>
    </row>
    <row r="769">
      <c r="I769" s="40" t="b">
        <v>0</v>
      </c>
    </row>
    <row r="770">
      <c r="I770" s="40" t="b">
        <v>0</v>
      </c>
    </row>
    <row r="771">
      <c r="I771" s="40" t="b">
        <v>0</v>
      </c>
    </row>
    <row r="772">
      <c r="I772" s="40" t="b">
        <v>0</v>
      </c>
    </row>
    <row r="773">
      <c r="I773" s="40" t="b">
        <v>0</v>
      </c>
    </row>
    <row r="774">
      <c r="I774" s="40" t="b">
        <v>0</v>
      </c>
    </row>
    <row r="775">
      <c r="I775" s="40" t="b">
        <v>0</v>
      </c>
    </row>
    <row r="776">
      <c r="I776" s="40" t="b">
        <v>0</v>
      </c>
    </row>
    <row r="777">
      <c r="I777" s="40" t="b">
        <v>0</v>
      </c>
    </row>
    <row r="778">
      <c r="I778" s="40" t="b">
        <v>0</v>
      </c>
    </row>
    <row r="779">
      <c r="I779" s="40" t="b">
        <v>0</v>
      </c>
    </row>
    <row r="780">
      <c r="I780" s="40" t="b">
        <v>0</v>
      </c>
    </row>
    <row r="781">
      <c r="I781" s="40" t="b">
        <v>0</v>
      </c>
    </row>
    <row r="782">
      <c r="I782" s="40" t="b">
        <v>0</v>
      </c>
    </row>
    <row r="783">
      <c r="I783" s="40" t="b">
        <v>0</v>
      </c>
    </row>
    <row r="784">
      <c r="I784" s="40" t="b">
        <v>0</v>
      </c>
    </row>
    <row r="785">
      <c r="I785" s="40" t="b">
        <v>0</v>
      </c>
    </row>
    <row r="786">
      <c r="I786" s="40" t="b">
        <v>0</v>
      </c>
    </row>
    <row r="787">
      <c r="I787" s="40" t="b">
        <v>0</v>
      </c>
    </row>
    <row r="788">
      <c r="I788" s="40" t="b">
        <v>0</v>
      </c>
    </row>
    <row r="789">
      <c r="I789" s="40" t="b">
        <v>0</v>
      </c>
    </row>
    <row r="790">
      <c r="I790" s="40" t="b">
        <v>0</v>
      </c>
    </row>
    <row r="791">
      <c r="I791" s="40" t="b">
        <v>0</v>
      </c>
    </row>
    <row r="792">
      <c r="I792" s="40" t="b">
        <v>0</v>
      </c>
    </row>
    <row r="793">
      <c r="I793" s="40" t="b">
        <v>0</v>
      </c>
    </row>
    <row r="794">
      <c r="I794" s="40" t="b">
        <v>0</v>
      </c>
    </row>
    <row r="795">
      <c r="I795" s="40" t="b">
        <v>0</v>
      </c>
    </row>
    <row r="796">
      <c r="I796" s="40" t="b">
        <v>0</v>
      </c>
    </row>
    <row r="797">
      <c r="I797" s="40" t="b">
        <v>0</v>
      </c>
    </row>
    <row r="798">
      <c r="I798" s="40" t="b">
        <v>0</v>
      </c>
    </row>
    <row r="799">
      <c r="I799" s="40" t="b">
        <v>0</v>
      </c>
    </row>
    <row r="800">
      <c r="I800" s="40" t="b">
        <v>0</v>
      </c>
    </row>
    <row r="801">
      <c r="I801" s="40" t="b">
        <v>0</v>
      </c>
    </row>
    <row r="802">
      <c r="I802" s="40" t="b">
        <v>0</v>
      </c>
    </row>
    <row r="803">
      <c r="I803" s="40" t="b">
        <v>0</v>
      </c>
    </row>
    <row r="804">
      <c r="I804" s="40" t="b">
        <v>0</v>
      </c>
    </row>
    <row r="805">
      <c r="I805" s="40" t="b">
        <v>0</v>
      </c>
    </row>
    <row r="806">
      <c r="I806" s="40" t="b">
        <v>0</v>
      </c>
    </row>
    <row r="807">
      <c r="I807" s="40" t="b">
        <v>0</v>
      </c>
    </row>
    <row r="808">
      <c r="I808" s="40" t="b">
        <v>0</v>
      </c>
    </row>
    <row r="809">
      <c r="I809" s="40" t="b">
        <v>0</v>
      </c>
    </row>
    <row r="810">
      <c r="I810" s="40" t="b">
        <v>0</v>
      </c>
    </row>
    <row r="811">
      <c r="I811" s="40" t="b">
        <v>0</v>
      </c>
    </row>
    <row r="812">
      <c r="I812" s="40" t="b">
        <v>0</v>
      </c>
    </row>
    <row r="813">
      <c r="I813" s="40" t="b">
        <v>0</v>
      </c>
    </row>
    <row r="814">
      <c r="I814" s="40" t="b">
        <v>0</v>
      </c>
    </row>
    <row r="815">
      <c r="I815" s="40" t="b">
        <v>0</v>
      </c>
    </row>
    <row r="816">
      <c r="I816" s="40" t="b">
        <v>0</v>
      </c>
    </row>
    <row r="817">
      <c r="I817" s="40" t="b">
        <v>0</v>
      </c>
    </row>
    <row r="818">
      <c r="I818" s="40" t="b">
        <v>0</v>
      </c>
    </row>
    <row r="819">
      <c r="I819" s="40" t="b">
        <v>0</v>
      </c>
    </row>
    <row r="820">
      <c r="I820" s="40" t="b">
        <v>0</v>
      </c>
    </row>
    <row r="821">
      <c r="I821" s="40" t="b">
        <v>0</v>
      </c>
    </row>
    <row r="822">
      <c r="I822" s="40" t="b">
        <v>0</v>
      </c>
    </row>
    <row r="823">
      <c r="I823" s="40" t="b">
        <v>0</v>
      </c>
    </row>
    <row r="824">
      <c r="I824" s="40" t="b">
        <v>0</v>
      </c>
    </row>
    <row r="825">
      <c r="I825" s="40" t="b">
        <v>0</v>
      </c>
    </row>
    <row r="826">
      <c r="I826" s="40" t="b">
        <v>0</v>
      </c>
    </row>
    <row r="827">
      <c r="I827" s="40" t="b">
        <v>0</v>
      </c>
    </row>
    <row r="828">
      <c r="I828" s="40" t="b">
        <v>0</v>
      </c>
    </row>
    <row r="829">
      <c r="I829" s="40" t="b">
        <v>0</v>
      </c>
    </row>
    <row r="830">
      <c r="I830" s="40" t="b">
        <v>0</v>
      </c>
    </row>
    <row r="831">
      <c r="I831" s="40" t="b">
        <v>0</v>
      </c>
    </row>
    <row r="832">
      <c r="I832" s="40" t="b">
        <v>0</v>
      </c>
    </row>
    <row r="833">
      <c r="I833" s="40" t="b">
        <v>0</v>
      </c>
    </row>
    <row r="834">
      <c r="I834" s="40" t="b">
        <v>0</v>
      </c>
    </row>
    <row r="835">
      <c r="I835" s="40" t="b">
        <v>0</v>
      </c>
    </row>
    <row r="836">
      <c r="I836" s="40" t="b">
        <v>0</v>
      </c>
    </row>
    <row r="837">
      <c r="I837" s="40" t="b">
        <v>0</v>
      </c>
    </row>
    <row r="838">
      <c r="I838" s="40" t="b">
        <v>0</v>
      </c>
    </row>
    <row r="839">
      <c r="I839" s="40" t="b">
        <v>0</v>
      </c>
    </row>
    <row r="840">
      <c r="I840" s="40" t="b">
        <v>0</v>
      </c>
    </row>
    <row r="841">
      <c r="I841" s="40" t="b">
        <v>0</v>
      </c>
    </row>
    <row r="842">
      <c r="I842" s="40" t="b">
        <v>0</v>
      </c>
    </row>
    <row r="843">
      <c r="I843" s="40" t="b">
        <v>0</v>
      </c>
    </row>
    <row r="844">
      <c r="I844" s="40" t="b">
        <v>0</v>
      </c>
    </row>
    <row r="845">
      <c r="I845" s="40" t="b">
        <v>0</v>
      </c>
    </row>
    <row r="846">
      <c r="I846" s="40" t="b">
        <v>0</v>
      </c>
    </row>
    <row r="847">
      <c r="I847" s="40" t="b">
        <v>0</v>
      </c>
    </row>
    <row r="848">
      <c r="I848" s="40" t="b">
        <v>0</v>
      </c>
    </row>
    <row r="849">
      <c r="I849" s="40" t="b">
        <v>0</v>
      </c>
    </row>
    <row r="850">
      <c r="I850" s="40" t="b">
        <v>0</v>
      </c>
    </row>
    <row r="851">
      <c r="I851" s="40" t="b">
        <v>0</v>
      </c>
    </row>
    <row r="852">
      <c r="I852" s="40" t="b">
        <v>0</v>
      </c>
    </row>
    <row r="853">
      <c r="I853" s="40" t="b">
        <v>0</v>
      </c>
    </row>
    <row r="854">
      <c r="I854" s="40" t="b">
        <v>0</v>
      </c>
    </row>
    <row r="855">
      <c r="I855" s="40" t="b">
        <v>0</v>
      </c>
    </row>
    <row r="856">
      <c r="I856" s="40" t="b">
        <v>0</v>
      </c>
    </row>
    <row r="857">
      <c r="I857" s="40" t="b">
        <v>0</v>
      </c>
    </row>
    <row r="858">
      <c r="I858" s="40" t="b">
        <v>0</v>
      </c>
    </row>
    <row r="859">
      <c r="I859" s="40" t="b">
        <v>0</v>
      </c>
    </row>
    <row r="860">
      <c r="I860" s="40" t="b">
        <v>0</v>
      </c>
    </row>
    <row r="861">
      <c r="I861" s="40" t="b">
        <v>0</v>
      </c>
    </row>
    <row r="862">
      <c r="I862" s="40" t="b">
        <v>0</v>
      </c>
    </row>
    <row r="863">
      <c r="I863" s="40" t="b">
        <v>0</v>
      </c>
    </row>
    <row r="864">
      <c r="I864" s="40" t="b">
        <v>0</v>
      </c>
    </row>
    <row r="865">
      <c r="I865" s="40" t="b">
        <v>0</v>
      </c>
    </row>
    <row r="866">
      <c r="I866" s="40" t="b">
        <v>0</v>
      </c>
    </row>
    <row r="867">
      <c r="I867" s="40" t="b">
        <v>0</v>
      </c>
    </row>
    <row r="868">
      <c r="I868" s="40" t="b">
        <v>0</v>
      </c>
    </row>
    <row r="869">
      <c r="I869" s="40" t="b">
        <v>0</v>
      </c>
    </row>
    <row r="870">
      <c r="I870" s="40" t="b">
        <v>0</v>
      </c>
    </row>
    <row r="871">
      <c r="I871" s="40" t="b">
        <v>0</v>
      </c>
    </row>
    <row r="872">
      <c r="I872" s="40" t="b">
        <v>0</v>
      </c>
    </row>
    <row r="873">
      <c r="I873" s="40" t="b">
        <v>0</v>
      </c>
    </row>
    <row r="874">
      <c r="I874" s="40" t="b">
        <v>0</v>
      </c>
    </row>
    <row r="875">
      <c r="I875" s="40" t="b">
        <v>0</v>
      </c>
    </row>
    <row r="876">
      <c r="I876" s="40" t="b">
        <v>0</v>
      </c>
    </row>
    <row r="877">
      <c r="I877" s="40" t="b">
        <v>0</v>
      </c>
    </row>
    <row r="878">
      <c r="I878" s="40" t="b">
        <v>0</v>
      </c>
    </row>
    <row r="879">
      <c r="I879" s="40" t="b">
        <v>0</v>
      </c>
    </row>
    <row r="880">
      <c r="I880" s="40" t="b">
        <v>0</v>
      </c>
    </row>
    <row r="881">
      <c r="I881" s="40" t="b">
        <v>0</v>
      </c>
    </row>
    <row r="882">
      <c r="I882" s="40" t="b">
        <v>0</v>
      </c>
    </row>
    <row r="883">
      <c r="I883" s="40" t="b">
        <v>0</v>
      </c>
    </row>
    <row r="884">
      <c r="I884" s="40" t="b">
        <v>0</v>
      </c>
    </row>
    <row r="885">
      <c r="I885" s="40" t="b">
        <v>0</v>
      </c>
    </row>
    <row r="886">
      <c r="I886" s="40" t="b">
        <v>0</v>
      </c>
    </row>
    <row r="887">
      <c r="I887" s="40" t="b">
        <v>0</v>
      </c>
    </row>
    <row r="888">
      <c r="I888" s="40" t="b">
        <v>0</v>
      </c>
    </row>
    <row r="889">
      <c r="I889" s="40" t="b">
        <v>0</v>
      </c>
    </row>
    <row r="890">
      <c r="I890" s="40" t="b">
        <v>0</v>
      </c>
    </row>
    <row r="891">
      <c r="I891" s="40" t="b">
        <v>0</v>
      </c>
    </row>
    <row r="892">
      <c r="I892" s="40" t="b">
        <v>0</v>
      </c>
    </row>
    <row r="893">
      <c r="I893" s="40" t="b">
        <v>0</v>
      </c>
    </row>
    <row r="894">
      <c r="I894" s="40" t="b">
        <v>0</v>
      </c>
    </row>
    <row r="895">
      <c r="I895" s="40" t="b">
        <v>0</v>
      </c>
    </row>
    <row r="896">
      <c r="I896" s="40" t="b">
        <v>0</v>
      </c>
    </row>
    <row r="897">
      <c r="I897" s="40" t="b">
        <v>0</v>
      </c>
    </row>
    <row r="898">
      <c r="I898" s="40" t="b">
        <v>0</v>
      </c>
    </row>
    <row r="899">
      <c r="I899" s="40" t="b">
        <v>0</v>
      </c>
    </row>
    <row r="900">
      <c r="I900" s="40" t="b">
        <v>0</v>
      </c>
    </row>
    <row r="901">
      <c r="I901" s="40" t="b">
        <v>0</v>
      </c>
    </row>
    <row r="902">
      <c r="I902" s="40" t="b">
        <v>0</v>
      </c>
    </row>
    <row r="903">
      <c r="I903" s="40" t="b">
        <v>0</v>
      </c>
    </row>
    <row r="904">
      <c r="I904" s="40" t="b">
        <v>0</v>
      </c>
    </row>
    <row r="905">
      <c r="I905" s="40" t="b">
        <v>0</v>
      </c>
    </row>
    <row r="906">
      <c r="I906" s="40" t="b">
        <v>0</v>
      </c>
    </row>
    <row r="907">
      <c r="I907" s="40" t="b">
        <v>0</v>
      </c>
    </row>
    <row r="908">
      <c r="I908" s="40" t="b">
        <v>0</v>
      </c>
    </row>
    <row r="909">
      <c r="I909" s="40" t="b">
        <v>0</v>
      </c>
    </row>
    <row r="910">
      <c r="I910" s="40" t="b">
        <v>0</v>
      </c>
    </row>
    <row r="911">
      <c r="I911" s="40" t="b">
        <v>0</v>
      </c>
    </row>
    <row r="912">
      <c r="I912" s="40" t="b">
        <v>0</v>
      </c>
    </row>
    <row r="913">
      <c r="I913" s="40" t="b">
        <v>0</v>
      </c>
    </row>
    <row r="914">
      <c r="I914" s="40" t="b">
        <v>0</v>
      </c>
    </row>
    <row r="915">
      <c r="I915" s="40" t="b">
        <v>0</v>
      </c>
    </row>
    <row r="916">
      <c r="I916" s="40" t="b">
        <v>0</v>
      </c>
    </row>
    <row r="917">
      <c r="I917" s="40" t="b">
        <v>0</v>
      </c>
    </row>
    <row r="918">
      <c r="I918" s="40" t="b">
        <v>0</v>
      </c>
    </row>
    <row r="919">
      <c r="I919" s="40" t="b">
        <v>0</v>
      </c>
    </row>
    <row r="920">
      <c r="I920" s="40" t="b">
        <v>0</v>
      </c>
    </row>
    <row r="921">
      <c r="I921" s="40" t="b">
        <v>0</v>
      </c>
    </row>
    <row r="922">
      <c r="I922" s="40" t="b">
        <v>0</v>
      </c>
    </row>
    <row r="923">
      <c r="I923" s="40" t="b">
        <v>0</v>
      </c>
    </row>
    <row r="924">
      <c r="I924" s="40" t="b">
        <v>0</v>
      </c>
    </row>
    <row r="925">
      <c r="I925" s="40" t="b">
        <v>0</v>
      </c>
    </row>
    <row r="926">
      <c r="I926" s="40" t="b">
        <v>0</v>
      </c>
    </row>
    <row r="927">
      <c r="I927" s="40" t="b">
        <v>0</v>
      </c>
    </row>
    <row r="928">
      <c r="I928" s="40" t="b">
        <v>0</v>
      </c>
    </row>
    <row r="929">
      <c r="I929" s="40" t="b">
        <v>0</v>
      </c>
    </row>
    <row r="930">
      <c r="I930" s="40" t="b">
        <v>0</v>
      </c>
    </row>
    <row r="931">
      <c r="I931" s="40" t="b">
        <v>0</v>
      </c>
    </row>
    <row r="932">
      <c r="I932" s="40" t="b">
        <v>0</v>
      </c>
    </row>
    <row r="933">
      <c r="I933" s="40" t="b">
        <v>0</v>
      </c>
    </row>
    <row r="934">
      <c r="I934" s="40" t="b">
        <v>0</v>
      </c>
    </row>
    <row r="935">
      <c r="I935" s="40" t="b">
        <v>0</v>
      </c>
    </row>
    <row r="936">
      <c r="I936" s="40" t="b">
        <v>0</v>
      </c>
    </row>
    <row r="937">
      <c r="I937" s="40" t="b">
        <v>0</v>
      </c>
    </row>
    <row r="938">
      <c r="I938" s="40" t="b">
        <v>0</v>
      </c>
    </row>
    <row r="939">
      <c r="I939" s="40" t="b">
        <v>0</v>
      </c>
    </row>
    <row r="940">
      <c r="I940" s="40" t="b">
        <v>0</v>
      </c>
    </row>
    <row r="941">
      <c r="I941" s="40" t="b">
        <v>0</v>
      </c>
    </row>
    <row r="942">
      <c r="I942" s="40" t="b">
        <v>0</v>
      </c>
    </row>
    <row r="943">
      <c r="I943" s="40" t="b">
        <v>0</v>
      </c>
    </row>
    <row r="944">
      <c r="I944" s="40" t="b">
        <v>0</v>
      </c>
    </row>
    <row r="945">
      <c r="I945" s="40" t="b">
        <v>0</v>
      </c>
    </row>
    <row r="946">
      <c r="I946" s="40" t="b">
        <v>0</v>
      </c>
    </row>
    <row r="947">
      <c r="I947" s="40" t="b">
        <v>0</v>
      </c>
    </row>
    <row r="948">
      <c r="I948" s="40" t="b">
        <v>0</v>
      </c>
    </row>
    <row r="949">
      <c r="I949" s="40" t="b">
        <v>0</v>
      </c>
    </row>
    <row r="950">
      <c r="I950" s="40" t="b">
        <v>0</v>
      </c>
    </row>
    <row r="951">
      <c r="I951" s="40" t="b">
        <v>0</v>
      </c>
    </row>
    <row r="952">
      <c r="I952" s="40" t="b">
        <v>0</v>
      </c>
    </row>
    <row r="953">
      <c r="I953" s="40" t="b">
        <v>0</v>
      </c>
    </row>
    <row r="954">
      <c r="I954" s="40" t="b">
        <v>0</v>
      </c>
    </row>
    <row r="955">
      <c r="I955" s="40" t="b">
        <v>0</v>
      </c>
    </row>
    <row r="956">
      <c r="I956" s="40" t="b">
        <v>0</v>
      </c>
    </row>
    <row r="957">
      <c r="I957" s="40" t="b">
        <v>0</v>
      </c>
    </row>
    <row r="958">
      <c r="I958" s="40" t="b">
        <v>0</v>
      </c>
    </row>
    <row r="959">
      <c r="I959" s="40" t="b">
        <v>0</v>
      </c>
    </row>
    <row r="960">
      <c r="I960" s="40" t="b">
        <v>0</v>
      </c>
    </row>
    <row r="961">
      <c r="I961" s="40" t="b">
        <v>0</v>
      </c>
    </row>
    <row r="962">
      <c r="I962" s="40" t="b">
        <v>0</v>
      </c>
    </row>
    <row r="963">
      <c r="I963" s="40" t="b">
        <v>0</v>
      </c>
    </row>
    <row r="964">
      <c r="I964" s="40" t="b">
        <v>0</v>
      </c>
    </row>
    <row r="965">
      <c r="I965" s="40" t="b">
        <v>0</v>
      </c>
    </row>
    <row r="966">
      <c r="I966" s="40" t="b">
        <v>0</v>
      </c>
    </row>
    <row r="967">
      <c r="I967" s="40" t="b">
        <v>0</v>
      </c>
    </row>
    <row r="968">
      <c r="I968" s="40" t="b">
        <v>0</v>
      </c>
    </row>
    <row r="969">
      <c r="I969" s="40" t="b">
        <v>0</v>
      </c>
    </row>
    <row r="970">
      <c r="I970" s="40" t="b">
        <v>0</v>
      </c>
    </row>
    <row r="971">
      <c r="I971" s="40" t="b">
        <v>0</v>
      </c>
    </row>
    <row r="972">
      <c r="I972" s="40" t="b">
        <v>0</v>
      </c>
    </row>
    <row r="973">
      <c r="I973" s="40" t="b">
        <v>0</v>
      </c>
    </row>
    <row r="974">
      <c r="I974" s="40" t="b">
        <v>0</v>
      </c>
    </row>
    <row r="975">
      <c r="I975" s="40" t="b">
        <v>0</v>
      </c>
    </row>
    <row r="976">
      <c r="I976" s="40" t="b">
        <v>0</v>
      </c>
    </row>
    <row r="977">
      <c r="I977" s="40" t="b">
        <v>0</v>
      </c>
    </row>
    <row r="978">
      <c r="I978" s="40" t="b">
        <v>0</v>
      </c>
    </row>
    <row r="979">
      <c r="I979" s="40" t="b">
        <v>0</v>
      </c>
    </row>
    <row r="980">
      <c r="I980" s="40" t="b">
        <v>0</v>
      </c>
    </row>
    <row r="981">
      <c r="I981" s="40" t="b">
        <v>0</v>
      </c>
    </row>
    <row r="982">
      <c r="I982" s="40" t="b">
        <v>0</v>
      </c>
    </row>
    <row r="983">
      <c r="I983" s="40" t="b">
        <v>0</v>
      </c>
    </row>
    <row r="984">
      <c r="I984" s="40" t="b">
        <v>0</v>
      </c>
    </row>
    <row r="985">
      <c r="I985" s="40" t="b">
        <v>0</v>
      </c>
    </row>
    <row r="986">
      <c r="I986" s="40" t="b">
        <v>0</v>
      </c>
    </row>
    <row r="987">
      <c r="I987" s="40" t="b">
        <v>0</v>
      </c>
    </row>
    <row r="988">
      <c r="I988" s="40" t="b">
        <v>0</v>
      </c>
    </row>
    <row r="989">
      <c r="I989" s="40" t="b">
        <v>0</v>
      </c>
    </row>
    <row r="990">
      <c r="I990" s="40" t="b">
        <v>0</v>
      </c>
    </row>
    <row r="991">
      <c r="I991" s="40" t="b">
        <v>0</v>
      </c>
    </row>
    <row r="992">
      <c r="I992" s="40" t="b">
        <v>0</v>
      </c>
    </row>
    <row r="993">
      <c r="I993" s="40" t="b">
        <v>0</v>
      </c>
    </row>
    <row r="994">
      <c r="I994" s="40" t="b">
        <v>0</v>
      </c>
    </row>
    <row r="995">
      <c r="I995" s="40" t="b">
        <v>0</v>
      </c>
    </row>
    <row r="996">
      <c r="I996" s="40" t="b">
        <v>0</v>
      </c>
    </row>
    <row r="997">
      <c r="I997" s="40" t="b">
        <v>0</v>
      </c>
    </row>
    <row r="998">
      <c r="I998" s="40" t="b">
        <v>0</v>
      </c>
    </row>
    <row r="999">
      <c r="I999" s="40" t="b">
        <v>0</v>
      </c>
    </row>
  </sheetData>
  <dataValidations>
    <dataValidation type="custom" allowBlank="1" showDropDown="1" sqref="H2:H370 J2:J370">
      <formula1>OR(NOT(ISERROR(DATEVALUE(H2))), AND(ISNUMBER(H2), LEFT(CELL("format", H2))="D"))</formula1>
    </dataValidation>
    <dataValidation type="custom" allowBlank="1" showDropDown="1" sqref="G2:G370 K2:N370">
      <formula1>AND(ISNUMBER(G2),(NOT(OR(NOT(ISERROR(DATEVALUE(G2))), AND(ISNUMBER(G2), LEFT(CELL("format", G2))="D")))))</formula1>
    </dataValidation>
    <dataValidation type="list" allowBlank="1" sqref="A2:A370">
      <formula1>#REF!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41.38"/>
    <col customWidth="1" min="3" max="3" width="12.38"/>
    <col customWidth="1" min="4" max="4" width="9.75"/>
    <col customWidth="1" min="5" max="5" width="12.63"/>
    <col customWidth="1" min="6" max="6" width="11.5"/>
  </cols>
  <sheetData>
    <row r="1">
      <c r="A1" s="125" t="s">
        <v>0</v>
      </c>
      <c r="B1" s="125" t="s">
        <v>943</v>
      </c>
      <c r="C1" s="126" t="s">
        <v>787</v>
      </c>
      <c r="D1" s="127" t="s">
        <v>944</v>
      </c>
      <c r="E1" s="127" t="s">
        <v>945</v>
      </c>
      <c r="F1" s="127" t="s">
        <v>946</v>
      </c>
    </row>
    <row r="2">
      <c r="A2" s="128"/>
      <c r="B2" s="129" t="s">
        <v>958</v>
      </c>
      <c r="C2" s="130"/>
      <c r="D2" s="131"/>
      <c r="E2" s="132" t="str">
        <f t="shared" ref="E2:E12" si="1">IF(#REF!="","",IF(#REF!/#REF!&lt;0,"",#REF!/#REF!))</f>
        <v>#REF!</v>
      </c>
      <c r="F2" s="133"/>
    </row>
    <row r="3">
      <c r="A3" s="8">
        <v>6.0</v>
      </c>
      <c r="B3" s="134" t="s">
        <v>1635</v>
      </c>
      <c r="C3" s="29">
        <v>45931.0</v>
      </c>
      <c r="D3" s="135" t="str">
        <f t="shared" ref="D3:D12" si="2">IF(#REF!="","",IF(#REF!-#REF!&lt;0,"",#REF!-#REF!))</f>
        <v>#REF!</v>
      </c>
      <c r="E3" s="136" t="str">
        <f t="shared" si="1"/>
        <v>#REF!</v>
      </c>
      <c r="F3" s="137"/>
    </row>
    <row r="4">
      <c r="A4" s="8">
        <v>6.0</v>
      </c>
      <c r="B4" s="134" t="s">
        <v>1636</v>
      </c>
      <c r="C4" s="29">
        <v>45932.0</v>
      </c>
      <c r="D4" s="135" t="str">
        <f t="shared" si="2"/>
        <v>#REF!</v>
      </c>
      <c r="E4" s="136" t="str">
        <f t="shared" si="1"/>
        <v>#REF!</v>
      </c>
      <c r="F4" s="137"/>
    </row>
    <row r="5">
      <c r="A5" s="30"/>
      <c r="B5" s="134" t="s">
        <v>1637</v>
      </c>
      <c r="C5" s="29">
        <v>45934.0</v>
      </c>
      <c r="D5" s="138" t="str">
        <f t="shared" si="2"/>
        <v>#REF!</v>
      </c>
      <c r="E5" s="136" t="str">
        <f t="shared" si="1"/>
        <v>#REF!</v>
      </c>
      <c r="F5" s="137"/>
    </row>
    <row r="6">
      <c r="A6" s="30"/>
      <c r="B6" s="134" t="s">
        <v>1638</v>
      </c>
      <c r="C6" s="29">
        <v>45935.0</v>
      </c>
      <c r="D6" s="138" t="str">
        <f t="shared" si="2"/>
        <v>#REF!</v>
      </c>
      <c r="E6" s="136" t="str">
        <f t="shared" si="1"/>
        <v>#REF!</v>
      </c>
      <c r="F6" s="137"/>
    </row>
    <row r="7">
      <c r="A7" s="30"/>
      <c r="B7" s="134" t="s">
        <v>1639</v>
      </c>
      <c r="C7" s="29">
        <v>45935.0</v>
      </c>
      <c r="D7" s="138" t="str">
        <f t="shared" si="2"/>
        <v>#REF!</v>
      </c>
      <c r="E7" s="136" t="str">
        <f t="shared" si="1"/>
        <v>#REF!</v>
      </c>
      <c r="F7" s="137"/>
    </row>
    <row r="8">
      <c r="A8" s="30"/>
      <c r="B8" s="134" t="s">
        <v>1640</v>
      </c>
      <c r="C8" s="29">
        <v>45935.0</v>
      </c>
      <c r="D8" s="138" t="str">
        <f t="shared" si="2"/>
        <v>#REF!</v>
      </c>
      <c r="E8" s="136" t="str">
        <f t="shared" si="1"/>
        <v>#REF!</v>
      </c>
      <c r="F8" s="137"/>
    </row>
    <row r="9">
      <c r="A9" s="30"/>
      <c r="B9" s="134" t="s">
        <v>1641</v>
      </c>
      <c r="C9" s="29">
        <v>45935.0</v>
      </c>
      <c r="D9" s="138" t="str">
        <f t="shared" si="2"/>
        <v>#REF!</v>
      </c>
      <c r="E9" s="136" t="str">
        <f t="shared" si="1"/>
        <v>#REF!</v>
      </c>
      <c r="F9" s="137"/>
    </row>
    <row r="10">
      <c r="A10" s="30"/>
      <c r="B10" s="134" t="s">
        <v>1642</v>
      </c>
      <c r="C10" s="29">
        <v>45935.0</v>
      </c>
      <c r="D10" s="138" t="str">
        <f t="shared" si="2"/>
        <v>#REF!</v>
      </c>
      <c r="E10" s="136" t="str">
        <f t="shared" si="1"/>
        <v>#REF!</v>
      </c>
      <c r="F10" s="137"/>
    </row>
    <row r="11">
      <c r="A11" s="30"/>
      <c r="B11" s="134" t="s">
        <v>1643</v>
      </c>
      <c r="C11" s="29">
        <v>45935.0</v>
      </c>
      <c r="D11" s="138" t="str">
        <f t="shared" si="2"/>
        <v>#REF!</v>
      </c>
      <c r="E11" s="136" t="str">
        <f t="shared" si="1"/>
        <v>#REF!</v>
      </c>
      <c r="F11" s="137"/>
    </row>
    <row r="12">
      <c r="A12" s="30"/>
      <c r="B12" s="134" t="s">
        <v>1644</v>
      </c>
      <c r="C12" s="29">
        <v>45935.0</v>
      </c>
      <c r="D12" s="138" t="str">
        <f t="shared" si="2"/>
        <v>#REF!</v>
      </c>
      <c r="E12" s="136" t="str">
        <f t="shared" si="1"/>
        <v>#REF!</v>
      </c>
      <c r="F12" s="137"/>
    </row>
    <row r="13">
      <c r="A13" s="139"/>
      <c r="B13" s="140" t="str">
        <f>("TOTAL VENTE SEMAINE 1 : " &amp; COUNTA(#REF!) )</f>
        <v>TOTAL VENTE SEMAINE 1 : 1</v>
      </c>
      <c r="C13" s="141"/>
      <c r="D13" s="142" t="str">
        <f>SUM(D3:D12)</f>
        <v>#REF!</v>
      </c>
      <c r="E13" s="143" t="str">
        <f>AVERAGE(E3:E12)</f>
        <v>#REF!</v>
      </c>
      <c r="F13" s="144">
        <f>COUNTA(#REF!)</f>
        <v>1</v>
      </c>
    </row>
    <row r="14">
      <c r="A14" s="145"/>
      <c r="B14" s="145"/>
      <c r="C14" s="146"/>
      <c r="D14" s="118"/>
      <c r="E14" s="118"/>
      <c r="F14" s="118"/>
    </row>
    <row r="15">
      <c r="A15" s="128"/>
      <c r="B15" s="129" t="s">
        <v>960</v>
      </c>
      <c r="C15" s="147"/>
      <c r="D15" s="148"/>
      <c r="E15" s="148"/>
      <c r="F15" s="133"/>
    </row>
    <row r="16">
      <c r="A16" s="30"/>
      <c r="B16" s="134" t="s">
        <v>15</v>
      </c>
      <c r="C16" s="29">
        <v>45937.0</v>
      </c>
      <c r="D16" s="28" t="str">
        <f t="shared" ref="D16:D30" si="3">IF(#REF!="","",IF(#REF!-#REF!&lt;0,"",#REF!-#REF!))</f>
        <v>#REF!</v>
      </c>
      <c r="E16" s="149"/>
      <c r="F16" s="137"/>
    </row>
    <row r="17">
      <c r="A17" s="30"/>
      <c r="B17" s="134" t="s">
        <v>1645</v>
      </c>
      <c r="C17" s="29">
        <v>45939.0</v>
      </c>
      <c r="D17" s="135" t="str">
        <f t="shared" si="3"/>
        <v>#REF!</v>
      </c>
      <c r="E17" s="136" t="str">
        <f t="shared" ref="E17:E28" si="4">IF(#REF!="","",IF(#REF!/#REF!&lt;0,"",#REF!/#REF!))</f>
        <v>#REF!</v>
      </c>
      <c r="F17" s="137"/>
    </row>
    <row r="18">
      <c r="A18" s="30"/>
      <c r="B18" s="134" t="s">
        <v>1646</v>
      </c>
      <c r="C18" s="29">
        <v>45937.0</v>
      </c>
      <c r="D18" s="138" t="str">
        <f t="shared" si="3"/>
        <v>#REF!</v>
      </c>
      <c r="E18" s="136" t="str">
        <f t="shared" si="4"/>
        <v>#REF!</v>
      </c>
      <c r="F18" s="137"/>
    </row>
    <row r="19">
      <c r="A19" s="30"/>
      <c r="B19" s="134" t="s">
        <v>1647</v>
      </c>
      <c r="C19" s="29">
        <v>45938.0</v>
      </c>
      <c r="D19" s="138" t="str">
        <f t="shared" si="3"/>
        <v>#REF!</v>
      </c>
      <c r="E19" s="136" t="str">
        <f t="shared" si="4"/>
        <v>#REF!</v>
      </c>
      <c r="F19" s="137"/>
    </row>
    <row r="20">
      <c r="A20" s="30"/>
      <c r="B20" s="134" t="s">
        <v>1648</v>
      </c>
      <c r="C20" s="29">
        <v>45941.0</v>
      </c>
      <c r="D20" s="138" t="str">
        <f t="shared" si="3"/>
        <v>#REF!</v>
      </c>
      <c r="E20" s="136" t="str">
        <f t="shared" si="4"/>
        <v>#REF!</v>
      </c>
      <c r="F20" s="137"/>
    </row>
    <row r="21">
      <c r="A21" s="30"/>
      <c r="B21" s="134" t="s">
        <v>1649</v>
      </c>
      <c r="C21" s="29">
        <v>45937.0</v>
      </c>
      <c r="D21" s="138" t="str">
        <f t="shared" si="3"/>
        <v>#REF!</v>
      </c>
      <c r="E21" s="136" t="str">
        <f t="shared" si="4"/>
        <v>#REF!</v>
      </c>
      <c r="F21" s="137"/>
    </row>
    <row r="22">
      <c r="A22" s="30"/>
      <c r="B22" s="134" t="s">
        <v>1650</v>
      </c>
      <c r="C22" s="29">
        <v>45940.0</v>
      </c>
      <c r="D22" s="138" t="str">
        <f t="shared" si="3"/>
        <v>#REF!</v>
      </c>
      <c r="E22" s="136" t="str">
        <f t="shared" si="4"/>
        <v>#REF!</v>
      </c>
      <c r="F22" s="137"/>
    </row>
    <row r="23">
      <c r="A23" s="30"/>
      <c r="B23" s="134" t="s">
        <v>1651</v>
      </c>
      <c r="C23" s="29">
        <v>45941.0</v>
      </c>
      <c r="D23" s="138" t="str">
        <f t="shared" si="3"/>
        <v>#REF!</v>
      </c>
      <c r="E23" s="136" t="str">
        <f t="shared" si="4"/>
        <v>#REF!</v>
      </c>
      <c r="F23" s="137"/>
    </row>
    <row r="24">
      <c r="A24" s="30"/>
      <c r="B24" s="134" t="s">
        <v>1652</v>
      </c>
      <c r="C24" s="29">
        <v>45941.0</v>
      </c>
      <c r="D24" s="138" t="str">
        <f t="shared" si="3"/>
        <v>#REF!</v>
      </c>
      <c r="E24" s="136" t="str">
        <f t="shared" si="4"/>
        <v>#REF!</v>
      </c>
      <c r="F24" s="137"/>
    </row>
    <row r="25">
      <c r="A25" s="30"/>
      <c r="B25" s="134" t="s">
        <v>1653</v>
      </c>
      <c r="C25" s="29">
        <v>45941.0</v>
      </c>
      <c r="D25" s="138" t="str">
        <f t="shared" si="3"/>
        <v>#REF!</v>
      </c>
      <c r="E25" s="136" t="str">
        <f t="shared" si="4"/>
        <v>#REF!</v>
      </c>
      <c r="F25" s="137"/>
    </row>
    <row r="26">
      <c r="A26" s="30"/>
      <c r="B26" s="134" t="s">
        <v>1654</v>
      </c>
      <c r="C26" s="29">
        <v>45942.0</v>
      </c>
      <c r="D26" s="138" t="str">
        <f t="shared" si="3"/>
        <v>#REF!</v>
      </c>
      <c r="E26" s="136" t="str">
        <f t="shared" si="4"/>
        <v>#REF!</v>
      </c>
      <c r="F26" s="137"/>
    </row>
    <row r="27">
      <c r="A27" s="30"/>
      <c r="B27" s="134" t="s">
        <v>1655</v>
      </c>
      <c r="C27" s="29">
        <v>45942.0</v>
      </c>
      <c r="D27" s="138" t="str">
        <f t="shared" si="3"/>
        <v>#REF!</v>
      </c>
      <c r="E27" s="136" t="str">
        <f t="shared" si="4"/>
        <v>#REF!</v>
      </c>
      <c r="F27" s="137"/>
    </row>
    <row r="28">
      <c r="A28" s="30"/>
      <c r="B28" s="134" t="s">
        <v>1656</v>
      </c>
      <c r="C28" s="29">
        <v>45941.0</v>
      </c>
      <c r="D28" s="138" t="str">
        <f t="shared" si="3"/>
        <v>#REF!</v>
      </c>
      <c r="E28" s="136" t="str">
        <f t="shared" si="4"/>
        <v>#REF!</v>
      </c>
      <c r="F28" s="137"/>
    </row>
    <row r="29">
      <c r="A29" s="30"/>
      <c r="B29" s="134" t="s">
        <v>15</v>
      </c>
      <c r="C29" s="29">
        <v>45937.0</v>
      </c>
      <c r="D29" s="28" t="str">
        <f t="shared" si="3"/>
        <v>#REF!</v>
      </c>
      <c r="E29" s="149"/>
      <c r="F29" s="137"/>
    </row>
    <row r="30">
      <c r="A30" s="30"/>
      <c r="B30" s="134" t="s">
        <v>1657</v>
      </c>
      <c r="C30" s="29">
        <v>45942.0</v>
      </c>
      <c r="D30" s="138" t="str">
        <f t="shared" si="3"/>
        <v>#REF!</v>
      </c>
      <c r="E30" s="136" t="str">
        <f>IF(#REF!="","",IF(#REF!/#REF!&lt;0,"",#REF!/#REF!))</f>
        <v>#REF!</v>
      </c>
      <c r="F30" s="137"/>
    </row>
    <row r="31">
      <c r="A31" s="139"/>
      <c r="B31" s="140" t="str">
        <f>("TOTAL VENTE SEMAINE 2 : " &amp; COUNTA(#REF!) )</f>
        <v>TOTAL VENTE SEMAINE 2 : 1</v>
      </c>
      <c r="C31" s="141"/>
      <c r="D31" s="150" t="str">
        <f>SUM(D16:D30)</f>
        <v>#REF!</v>
      </c>
      <c r="E31" s="143" t="str">
        <f>AVERAGE(E22:E30)</f>
        <v>#REF!</v>
      </c>
      <c r="F31" s="144">
        <f>COUNTA(#REF!)</f>
        <v>1</v>
      </c>
    </row>
    <row r="32">
      <c r="A32" s="151"/>
      <c r="B32" s="151"/>
      <c r="C32" s="41"/>
    </row>
    <row r="33">
      <c r="A33" s="128"/>
      <c r="B33" s="129" t="s">
        <v>1658</v>
      </c>
      <c r="C33" s="147"/>
      <c r="D33" s="148"/>
      <c r="E33" s="148"/>
      <c r="F33" s="133"/>
    </row>
    <row r="34">
      <c r="A34" s="29"/>
      <c r="B34" s="152" t="s">
        <v>1659</v>
      </c>
      <c r="C34" s="29">
        <v>45943.0</v>
      </c>
      <c r="D34" s="138" t="str">
        <f t="shared" ref="D34:D80" si="5">IF(#REF!="","",IF(#REF!-#REF!&lt;0,"",#REF!-#REF!))</f>
        <v>#REF!</v>
      </c>
      <c r="E34" s="136" t="str">
        <f t="shared" ref="E34:E80" si="6">IF(#REF!="","",IF(#REF!/#REF!&lt;0,"",#REF!/#REF!))</f>
        <v>#REF!</v>
      </c>
      <c r="F34" s="137"/>
    </row>
    <row r="35">
      <c r="A35" s="30"/>
      <c r="B35" s="134" t="s">
        <v>1660</v>
      </c>
      <c r="C35" s="29">
        <v>45943.0</v>
      </c>
      <c r="D35" s="138" t="str">
        <f t="shared" si="5"/>
        <v>#REF!</v>
      </c>
      <c r="E35" s="136" t="str">
        <f t="shared" si="6"/>
        <v>#REF!</v>
      </c>
      <c r="F35" s="137"/>
    </row>
    <row r="36">
      <c r="A36" s="30"/>
      <c r="B36" s="134" t="s">
        <v>1661</v>
      </c>
      <c r="C36" s="29">
        <v>45943.0</v>
      </c>
      <c r="D36" s="138" t="str">
        <f t="shared" si="5"/>
        <v>#REF!</v>
      </c>
      <c r="E36" s="136" t="str">
        <f t="shared" si="6"/>
        <v>#REF!</v>
      </c>
      <c r="F36" s="137"/>
    </row>
    <row r="37">
      <c r="A37" s="30"/>
      <c r="B37" s="134" t="s">
        <v>1662</v>
      </c>
      <c r="C37" s="29">
        <v>45943.0</v>
      </c>
      <c r="D37" s="138" t="str">
        <f t="shared" si="5"/>
        <v>#REF!</v>
      </c>
      <c r="E37" s="136" t="str">
        <f t="shared" si="6"/>
        <v>#REF!</v>
      </c>
      <c r="F37" s="137"/>
    </row>
    <row r="38">
      <c r="A38" s="30"/>
      <c r="B38" s="134" t="s">
        <v>1663</v>
      </c>
      <c r="C38" s="29">
        <v>45944.0</v>
      </c>
      <c r="D38" s="135" t="str">
        <f t="shared" si="5"/>
        <v>#REF!</v>
      </c>
      <c r="E38" s="136" t="str">
        <f t="shared" si="6"/>
        <v>#REF!</v>
      </c>
      <c r="F38" s="137"/>
    </row>
    <row r="39">
      <c r="A39" s="30"/>
      <c r="B39" s="134" t="s">
        <v>15</v>
      </c>
      <c r="C39" s="29">
        <v>45945.0</v>
      </c>
      <c r="D39" s="138" t="str">
        <f t="shared" si="5"/>
        <v>#REF!</v>
      </c>
      <c r="E39" s="136" t="str">
        <f t="shared" si="6"/>
        <v>#REF!</v>
      </c>
      <c r="F39" s="137"/>
    </row>
    <row r="40">
      <c r="A40" s="30"/>
      <c r="B40" s="134" t="s">
        <v>1664</v>
      </c>
      <c r="C40" s="29">
        <v>45945.0</v>
      </c>
      <c r="D40" s="138" t="str">
        <f t="shared" si="5"/>
        <v>#REF!</v>
      </c>
      <c r="E40" s="136" t="str">
        <f t="shared" si="6"/>
        <v>#REF!</v>
      </c>
      <c r="F40" s="137"/>
    </row>
    <row r="41">
      <c r="A41" s="30"/>
      <c r="B41" s="134" t="s">
        <v>1665</v>
      </c>
      <c r="C41" s="29">
        <v>45945.0</v>
      </c>
      <c r="D41" s="138" t="str">
        <f t="shared" si="5"/>
        <v>#REF!</v>
      </c>
      <c r="E41" s="136" t="str">
        <f t="shared" si="6"/>
        <v>#REF!</v>
      </c>
      <c r="F41" s="137"/>
    </row>
    <row r="42">
      <c r="A42" s="30"/>
      <c r="B42" s="134" t="s">
        <v>1666</v>
      </c>
      <c r="C42" s="29">
        <v>45945.0</v>
      </c>
      <c r="D42" s="138" t="str">
        <f t="shared" si="5"/>
        <v>#REF!</v>
      </c>
      <c r="E42" s="136" t="str">
        <f t="shared" si="6"/>
        <v>#REF!</v>
      </c>
      <c r="F42" s="137"/>
    </row>
    <row r="43">
      <c r="A43" s="30"/>
      <c r="B43" s="134" t="s">
        <v>1667</v>
      </c>
      <c r="C43" s="29">
        <v>45946.0</v>
      </c>
      <c r="D43" s="138" t="str">
        <f t="shared" si="5"/>
        <v>#REF!</v>
      </c>
      <c r="E43" s="136" t="str">
        <f t="shared" si="6"/>
        <v>#REF!</v>
      </c>
      <c r="F43" s="137"/>
    </row>
    <row r="44">
      <c r="A44" s="30"/>
      <c r="B44" s="134" t="s">
        <v>1668</v>
      </c>
      <c r="C44" s="29">
        <v>45946.0</v>
      </c>
      <c r="D44" s="138" t="str">
        <f t="shared" si="5"/>
        <v>#REF!</v>
      </c>
      <c r="E44" s="136" t="str">
        <f t="shared" si="6"/>
        <v>#REF!</v>
      </c>
      <c r="F44" s="137"/>
    </row>
    <row r="45">
      <c r="A45" s="30"/>
      <c r="B45" s="134" t="s">
        <v>1669</v>
      </c>
      <c r="C45" s="29">
        <v>45946.0</v>
      </c>
      <c r="D45" s="138" t="str">
        <f t="shared" si="5"/>
        <v>#REF!</v>
      </c>
      <c r="E45" s="136" t="str">
        <f t="shared" si="6"/>
        <v>#REF!</v>
      </c>
      <c r="F45" s="137"/>
    </row>
    <row r="46">
      <c r="A46" s="30"/>
      <c r="B46" s="134" t="s">
        <v>1670</v>
      </c>
      <c r="C46" s="29">
        <v>45946.0</v>
      </c>
      <c r="D46" s="138" t="str">
        <f t="shared" si="5"/>
        <v>#REF!</v>
      </c>
      <c r="E46" s="136" t="str">
        <f t="shared" si="6"/>
        <v>#REF!</v>
      </c>
      <c r="F46" s="137"/>
    </row>
    <row r="47">
      <c r="A47" s="30"/>
      <c r="B47" s="134" t="s">
        <v>1671</v>
      </c>
      <c r="C47" s="29">
        <v>45946.0</v>
      </c>
      <c r="D47" s="138" t="str">
        <f t="shared" si="5"/>
        <v>#REF!</v>
      </c>
      <c r="E47" s="136" t="str">
        <f t="shared" si="6"/>
        <v>#REF!</v>
      </c>
      <c r="F47" s="137"/>
    </row>
    <row r="48">
      <c r="A48" s="30"/>
      <c r="B48" s="134" t="s">
        <v>1672</v>
      </c>
      <c r="C48" s="29">
        <v>45946.0</v>
      </c>
      <c r="D48" s="138" t="str">
        <f t="shared" si="5"/>
        <v>#REF!</v>
      </c>
      <c r="E48" s="136" t="str">
        <f t="shared" si="6"/>
        <v>#REF!</v>
      </c>
      <c r="F48" s="137"/>
    </row>
    <row r="49">
      <c r="A49" s="30"/>
      <c r="B49" s="134" t="s">
        <v>1673</v>
      </c>
      <c r="C49" s="29">
        <v>45946.0</v>
      </c>
      <c r="D49" s="138" t="str">
        <f t="shared" si="5"/>
        <v>#REF!</v>
      </c>
      <c r="E49" s="136" t="str">
        <f t="shared" si="6"/>
        <v>#REF!</v>
      </c>
      <c r="F49" s="137"/>
    </row>
    <row r="50">
      <c r="A50" s="30"/>
      <c r="B50" s="134" t="s">
        <v>1674</v>
      </c>
      <c r="C50" s="29">
        <v>45946.0</v>
      </c>
      <c r="D50" s="138" t="str">
        <f t="shared" si="5"/>
        <v>#REF!</v>
      </c>
      <c r="E50" s="136" t="str">
        <f t="shared" si="6"/>
        <v>#REF!</v>
      </c>
      <c r="F50" s="137"/>
    </row>
    <row r="51">
      <c r="A51" s="30"/>
      <c r="B51" s="134" t="s">
        <v>1675</v>
      </c>
      <c r="C51" s="29">
        <v>45948.0</v>
      </c>
      <c r="D51" s="138" t="str">
        <f t="shared" si="5"/>
        <v>#REF!</v>
      </c>
      <c r="E51" s="136" t="str">
        <f t="shared" si="6"/>
        <v>#REF!</v>
      </c>
      <c r="F51" s="137"/>
    </row>
    <row r="52">
      <c r="A52" s="30"/>
      <c r="B52" s="134" t="s">
        <v>1676</v>
      </c>
      <c r="C52" s="29">
        <v>45948.0</v>
      </c>
      <c r="D52" s="138" t="str">
        <f t="shared" si="5"/>
        <v>#REF!</v>
      </c>
      <c r="E52" s="136" t="str">
        <f t="shared" si="6"/>
        <v>#REF!</v>
      </c>
      <c r="F52" s="137"/>
    </row>
    <row r="53">
      <c r="A53" s="30"/>
      <c r="B53" s="134" t="s">
        <v>1677</v>
      </c>
      <c r="C53" s="29">
        <v>45948.0</v>
      </c>
      <c r="D53" s="138" t="str">
        <f t="shared" si="5"/>
        <v>#REF!</v>
      </c>
      <c r="E53" s="136" t="str">
        <f t="shared" si="6"/>
        <v>#REF!</v>
      </c>
      <c r="F53" s="137"/>
    </row>
    <row r="54">
      <c r="A54" s="30"/>
      <c r="B54" s="134" t="s">
        <v>1678</v>
      </c>
      <c r="C54" s="29">
        <v>45948.0</v>
      </c>
      <c r="D54" s="138" t="str">
        <f t="shared" si="5"/>
        <v>#REF!</v>
      </c>
      <c r="E54" s="136" t="str">
        <f t="shared" si="6"/>
        <v>#REF!</v>
      </c>
      <c r="F54" s="137"/>
    </row>
    <row r="55">
      <c r="A55" s="30"/>
      <c r="B55" s="134" t="s">
        <v>1679</v>
      </c>
      <c r="C55" s="29">
        <v>45948.0</v>
      </c>
      <c r="D55" s="138" t="str">
        <f t="shared" si="5"/>
        <v>#REF!</v>
      </c>
      <c r="E55" s="136" t="str">
        <f t="shared" si="6"/>
        <v>#REF!</v>
      </c>
      <c r="F55" s="137"/>
    </row>
    <row r="56">
      <c r="A56" s="30"/>
      <c r="B56" s="134" t="s">
        <v>1680</v>
      </c>
      <c r="C56" s="29">
        <v>45948.0</v>
      </c>
      <c r="D56" s="138" t="str">
        <f t="shared" si="5"/>
        <v>#REF!</v>
      </c>
      <c r="E56" s="136" t="str">
        <f t="shared" si="6"/>
        <v>#REF!</v>
      </c>
      <c r="F56" s="137"/>
    </row>
    <row r="57">
      <c r="A57" s="30"/>
      <c r="B57" s="134" t="s">
        <v>1681</v>
      </c>
      <c r="C57" s="29">
        <v>45948.0</v>
      </c>
      <c r="D57" s="138" t="str">
        <f t="shared" si="5"/>
        <v>#REF!</v>
      </c>
      <c r="E57" s="136" t="str">
        <f t="shared" si="6"/>
        <v>#REF!</v>
      </c>
      <c r="F57" s="137"/>
    </row>
    <row r="58">
      <c r="A58" s="30"/>
      <c r="B58" s="134" t="s">
        <v>1682</v>
      </c>
      <c r="C58" s="29">
        <v>45948.0</v>
      </c>
      <c r="D58" s="138" t="str">
        <f t="shared" si="5"/>
        <v>#REF!</v>
      </c>
      <c r="E58" s="136" t="str">
        <f t="shared" si="6"/>
        <v>#REF!</v>
      </c>
      <c r="F58" s="137"/>
    </row>
    <row r="59">
      <c r="A59" s="30"/>
      <c r="B59" s="134" t="s">
        <v>1683</v>
      </c>
      <c r="C59" s="29">
        <v>45948.0</v>
      </c>
      <c r="D59" s="138" t="str">
        <f t="shared" si="5"/>
        <v>#REF!</v>
      </c>
      <c r="E59" s="136" t="str">
        <f t="shared" si="6"/>
        <v>#REF!</v>
      </c>
      <c r="F59" s="137"/>
    </row>
    <row r="60">
      <c r="A60" s="30"/>
      <c r="B60" s="134" t="s">
        <v>1684</v>
      </c>
      <c r="C60" s="29">
        <v>45948.0</v>
      </c>
      <c r="D60" s="138" t="str">
        <f t="shared" si="5"/>
        <v>#REF!</v>
      </c>
      <c r="E60" s="136" t="str">
        <f t="shared" si="6"/>
        <v>#REF!</v>
      </c>
      <c r="F60" s="137"/>
    </row>
    <row r="61">
      <c r="A61" s="30"/>
      <c r="B61" s="134" t="s">
        <v>1685</v>
      </c>
      <c r="C61" s="29">
        <v>45948.0</v>
      </c>
      <c r="D61" s="138" t="str">
        <f t="shared" si="5"/>
        <v>#REF!</v>
      </c>
      <c r="E61" s="136" t="str">
        <f t="shared" si="6"/>
        <v>#REF!</v>
      </c>
      <c r="F61" s="137"/>
    </row>
    <row r="62">
      <c r="A62" s="30"/>
      <c r="B62" s="134" t="s">
        <v>1686</v>
      </c>
      <c r="C62" s="29">
        <v>45948.0</v>
      </c>
      <c r="D62" s="138" t="str">
        <f t="shared" si="5"/>
        <v>#REF!</v>
      </c>
      <c r="E62" s="136" t="str">
        <f t="shared" si="6"/>
        <v>#REF!</v>
      </c>
      <c r="F62" s="137"/>
    </row>
    <row r="63">
      <c r="A63" s="30"/>
      <c r="B63" s="134" t="s">
        <v>1687</v>
      </c>
      <c r="C63" s="29">
        <v>45948.0</v>
      </c>
      <c r="D63" s="138" t="str">
        <f t="shared" si="5"/>
        <v>#REF!</v>
      </c>
      <c r="E63" s="136" t="str">
        <f t="shared" si="6"/>
        <v>#REF!</v>
      </c>
      <c r="F63" s="137"/>
    </row>
    <row r="64">
      <c r="A64" s="30"/>
      <c r="B64" s="134" t="s">
        <v>1688</v>
      </c>
      <c r="C64" s="29">
        <v>45948.0</v>
      </c>
      <c r="D64" s="138" t="str">
        <f t="shared" si="5"/>
        <v>#REF!</v>
      </c>
      <c r="E64" s="136" t="str">
        <f t="shared" si="6"/>
        <v>#REF!</v>
      </c>
      <c r="F64" s="137"/>
    </row>
    <row r="65">
      <c r="A65" s="30"/>
      <c r="B65" s="134" t="s">
        <v>1689</v>
      </c>
      <c r="C65" s="29">
        <v>45948.0</v>
      </c>
      <c r="D65" s="138" t="str">
        <f t="shared" si="5"/>
        <v>#REF!</v>
      </c>
      <c r="E65" s="136" t="str">
        <f t="shared" si="6"/>
        <v>#REF!</v>
      </c>
      <c r="F65" s="137"/>
    </row>
    <row r="66">
      <c r="A66" s="30"/>
      <c r="B66" s="134" t="s">
        <v>1690</v>
      </c>
      <c r="C66" s="29">
        <v>45948.0</v>
      </c>
      <c r="D66" s="138" t="str">
        <f t="shared" si="5"/>
        <v>#REF!</v>
      </c>
      <c r="E66" s="136" t="str">
        <f t="shared" si="6"/>
        <v>#REF!</v>
      </c>
      <c r="F66" s="137"/>
    </row>
    <row r="67">
      <c r="A67" s="30"/>
      <c r="B67" s="134" t="s">
        <v>1691</v>
      </c>
      <c r="C67" s="29">
        <v>45948.0</v>
      </c>
      <c r="D67" s="138" t="str">
        <f t="shared" si="5"/>
        <v>#REF!</v>
      </c>
      <c r="E67" s="136" t="str">
        <f t="shared" si="6"/>
        <v>#REF!</v>
      </c>
      <c r="F67" s="137"/>
    </row>
    <row r="68">
      <c r="A68" s="30"/>
      <c r="B68" s="134" t="s">
        <v>1692</v>
      </c>
      <c r="C68" s="29">
        <v>45949.0</v>
      </c>
      <c r="D68" s="138" t="str">
        <f t="shared" si="5"/>
        <v>#REF!</v>
      </c>
      <c r="E68" s="136" t="str">
        <f t="shared" si="6"/>
        <v>#REF!</v>
      </c>
      <c r="F68" s="137"/>
    </row>
    <row r="69">
      <c r="A69" s="30"/>
      <c r="B69" s="134" t="s">
        <v>1693</v>
      </c>
      <c r="C69" s="29">
        <v>45949.0</v>
      </c>
      <c r="D69" s="138" t="str">
        <f t="shared" si="5"/>
        <v>#REF!</v>
      </c>
      <c r="E69" s="136" t="str">
        <f t="shared" si="6"/>
        <v>#REF!</v>
      </c>
      <c r="F69" s="137"/>
    </row>
    <row r="70">
      <c r="A70" s="30"/>
      <c r="B70" s="134" t="s">
        <v>1694</v>
      </c>
      <c r="C70" s="29">
        <v>45949.0</v>
      </c>
      <c r="D70" s="138" t="str">
        <f t="shared" si="5"/>
        <v>#REF!</v>
      </c>
      <c r="E70" s="136" t="str">
        <f t="shared" si="6"/>
        <v>#REF!</v>
      </c>
      <c r="F70" s="137"/>
    </row>
    <row r="71">
      <c r="A71" s="30"/>
      <c r="B71" s="134" t="s">
        <v>1695</v>
      </c>
      <c r="C71" s="29">
        <v>45949.0</v>
      </c>
      <c r="D71" s="138" t="str">
        <f t="shared" si="5"/>
        <v>#REF!</v>
      </c>
      <c r="E71" s="136" t="str">
        <f t="shared" si="6"/>
        <v>#REF!</v>
      </c>
      <c r="F71" s="137"/>
    </row>
    <row r="72">
      <c r="A72" s="30"/>
      <c r="B72" s="134" t="s">
        <v>1696</v>
      </c>
      <c r="C72" s="29">
        <v>45949.0</v>
      </c>
      <c r="D72" s="138" t="str">
        <f t="shared" si="5"/>
        <v>#REF!</v>
      </c>
      <c r="E72" s="136" t="str">
        <f t="shared" si="6"/>
        <v>#REF!</v>
      </c>
      <c r="F72" s="137"/>
    </row>
    <row r="73">
      <c r="A73" s="30"/>
      <c r="B73" s="134" t="s">
        <v>1697</v>
      </c>
      <c r="C73" s="29">
        <v>45949.0</v>
      </c>
      <c r="D73" s="138" t="str">
        <f t="shared" si="5"/>
        <v>#REF!</v>
      </c>
      <c r="E73" s="136" t="str">
        <f t="shared" si="6"/>
        <v>#REF!</v>
      </c>
      <c r="F73" s="137"/>
    </row>
    <row r="74">
      <c r="A74" s="30"/>
      <c r="B74" s="134" t="s">
        <v>1698</v>
      </c>
      <c r="C74" s="29">
        <v>45949.0</v>
      </c>
      <c r="D74" s="138" t="str">
        <f t="shared" si="5"/>
        <v>#REF!</v>
      </c>
      <c r="E74" s="136" t="str">
        <f t="shared" si="6"/>
        <v>#REF!</v>
      </c>
      <c r="F74" s="137"/>
    </row>
    <row r="75">
      <c r="A75" s="30"/>
      <c r="B75" s="134" t="s">
        <v>1699</v>
      </c>
      <c r="C75" s="29">
        <v>45949.0</v>
      </c>
      <c r="D75" s="138" t="str">
        <f t="shared" si="5"/>
        <v>#REF!</v>
      </c>
      <c r="E75" s="136" t="str">
        <f t="shared" si="6"/>
        <v>#REF!</v>
      </c>
      <c r="F75" s="137"/>
    </row>
    <row r="76">
      <c r="A76" s="30"/>
      <c r="B76" s="134" t="s">
        <v>1700</v>
      </c>
      <c r="C76" s="29">
        <v>45949.0</v>
      </c>
      <c r="D76" s="138" t="str">
        <f t="shared" si="5"/>
        <v>#REF!</v>
      </c>
      <c r="E76" s="136" t="str">
        <f t="shared" si="6"/>
        <v>#REF!</v>
      </c>
      <c r="F76" s="137"/>
    </row>
    <row r="77">
      <c r="A77" s="30"/>
      <c r="B77" s="134" t="s">
        <v>1701</v>
      </c>
      <c r="C77" s="29">
        <v>45949.0</v>
      </c>
      <c r="D77" s="138" t="str">
        <f t="shared" si="5"/>
        <v>#REF!</v>
      </c>
      <c r="E77" s="136" t="str">
        <f t="shared" si="6"/>
        <v>#REF!</v>
      </c>
      <c r="F77" s="137"/>
    </row>
    <row r="78">
      <c r="A78" s="30"/>
      <c r="B78" s="134" t="s">
        <v>1702</v>
      </c>
      <c r="C78" s="29">
        <v>45949.0</v>
      </c>
      <c r="D78" s="138" t="str">
        <f t="shared" si="5"/>
        <v>#REF!</v>
      </c>
      <c r="E78" s="136" t="str">
        <f t="shared" si="6"/>
        <v>#REF!</v>
      </c>
      <c r="F78" s="137"/>
    </row>
    <row r="79">
      <c r="A79" s="30"/>
      <c r="B79" s="134" t="s">
        <v>1703</v>
      </c>
      <c r="C79" s="29">
        <v>45949.0</v>
      </c>
      <c r="D79" s="138" t="str">
        <f t="shared" si="5"/>
        <v>#REF!</v>
      </c>
      <c r="E79" s="136" t="str">
        <f t="shared" si="6"/>
        <v>#REF!</v>
      </c>
      <c r="F79" s="137"/>
    </row>
    <row r="80">
      <c r="A80" s="30"/>
      <c r="B80" s="134" t="s">
        <v>1704</v>
      </c>
      <c r="C80" s="29">
        <v>45949.0</v>
      </c>
      <c r="D80" s="138" t="str">
        <f t="shared" si="5"/>
        <v>#REF!</v>
      </c>
      <c r="E80" s="136" t="str">
        <f t="shared" si="6"/>
        <v>#REF!</v>
      </c>
      <c r="F80" s="137"/>
    </row>
    <row r="81">
      <c r="A81" s="139"/>
      <c r="B81" s="140" t="str">
        <f>("TOTAL VENTE SEMAINE 3 : " &amp; COUNTA(#REF!) )</f>
        <v>TOTAL VENTE SEMAINE 3 : 1</v>
      </c>
      <c r="C81" s="141"/>
      <c r="D81" s="153" t="str">
        <f>SUM(D34:D80)</f>
        <v>#REF!</v>
      </c>
      <c r="E81" s="143" t="str">
        <f>AVERAGE(E44:E80)</f>
        <v>#REF!</v>
      </c>
      <c r="F81" s="144">
        <f>COUNTA(#REF!)</f>
        <v>1</v>
      </c>
    </row>
    <row r="82">
      <c r="A82" s="151"/>
      <c r="B82" s="151"/>
      <c r="C82" s="41"/>
    </row>
    <row r="83">
      <c r="A83" s="128"/>
      <c r="B83" s="129" t="s">
        <v>1705</v>
      </c>
      <c r="C83" s="147"/>
      <c r="D83" s="148"/>
      <c r="E83" s="148"/>
      <c r="F83" s="133"/>
    </row>
    <row r="84">
      <c r="A84" s="30"/>
      <c r="B84" s="134" t="s">
        <v>1706</v>
      </c>
      <c r="C84" s="29">
        <v>45950.0</v>
      </c>
      <c r="D84" s="154" t="str">
        <f t="shared" ref="D84:D131" si="7">IF(#REF!="","",IF(#REF!-#REF!&lt;0,"",#REF!-#REF!))</f>
        <v>#REF!</v>
      </c>
      <c r="E84" s="155" t="str">
        <f t="shared" ref="E84:E131" si="8">IF(#REF!="","",IF(#REF!/#REF!&lt;0,"",#REF!/#REF!))</f>
        <v>#REF!</v>
      </c>
      <c r="F84" s="137"/>
    </row>
    <row r="85">
      <c r="A85" s="30"/>
      <c r="B85" s="134" t="s">
        <v>1707</v>
      </c>
      <c r="C85" s="29">
        <v>45950.0</v>
      </c>
      <c r="D85" s="154" t="str">
        <f t="shared" si="7"/>
        <v>#REF!</v>
      </c>
      <c r="E85" s="155" t="str">
        <f t="shared" si="8"/>
        <v>#REF!</v>
      </c>
      <c r="F85" s="137"/>
    </row>
    <row r="86">
      <c r="A86" s="30"/>
      <c r="B86" s="134" t="s">
        <v>1708</v>
      </c>
      <c r="C86" s="29">
        <v>45950.0</v>
      </c>
      <c r="D86" s="154" t="str">
        <f t="shared" si="7"/>
        <v>#REF!</v>
      </c>
      <c r="E86" s="155" t="str">
        <f t="shared" si="8"/>
        <v>#REF!</v>
      </c>
      <c r="F86" s="137"/>
    </row>
    <row r="87">
      <c r="A87" s="30"/>
      <c r="B87" s="134" t="s">
        <v>1709</v>
      </c>
      <c r="C87" s="29">
        <v>45950.0</v>
      </c>
      <c r="D87" s="154" t="str">
        <f t="shared" si="7"/>
        <v>#REF!</v>
      </c>
      <c r="E87" s="155" t="str">
        <f t="shared" si="8"/>
        <v>#REF!</v>
      </c>
      <c r="F87" s="137"/>
    </row>
    <row r="88">
      <c r="A88" s="30"/>
      <c r="B88" s="134" t="s">
        <v>1710</v>
      </c>
      <c r="C88" s="29">
        <v>45950.0</v>
      </c>
      <c r="D88" s="154" t="str">
        <f t="shared" si="7"/>
        <v>#REF!</v>
      </c>
      <c r="E88" s="155" t="str">
        <f t="shared" si="8"/>
        <v>#REF!</v>
      </c>
      <c r="F88" s="137"/>
    </row>
    <row r="89">
      <c r="A89" s="30"/>
      <c r="B89" s="134" t="s">
        <v>1711</v>
      </c>
      <c r="C89" s="29">
        <v>45950.0</v>
      </c>
      <c r="D89" s="154" t="str">
        <f t="shared" si="7"/>
        <v>#REF!</v>
      </c>
      <c r="E89" s="155" t="str">
        <f t="shared" si="8"/>
        <v>#REF!</v>
      </c>
      <c r="F89" s="137"/>
    </row>
    <row r="90">
      <c r="A90" s="30"/>
      <c r="B90" s="134" t="s">
        <v>1712</v>
      </c>
      <c r="C90" s="29">
        <v>45950.0</v>
      </c>
      <c r="D90" s="154" t="str">
        <f t="shared" si="7"/>
        <v>#REF!</v>
      </c>
      <c r="E90" s="155" t="str">
        <f t="shared" si="8"/>
        <v>#REF!</v>
      </c>
      <c r="F90" s="137"/>
    </row>
    <row r="91">
      <c r="A91" s="30"/>
      <c r="B91" s="134" t="s">
        <v>1710</v>
      </c>
      <c r="C91" s="29">
        <v>45950.0</v>
      </c>
      <c r="D91" s="154" t="str">
        <f t="shared" si="7"/>
        <v>#REF!</v>
      </c>
      <c r="E91" s="155" t="str">
        <f t="shared" si="8"/>
        <v>#REF!</v>
      </c>
      <c r="F91" s="137"/>
    </row>
    <row r="92">
      <c r="A92" s="30"/>
      <c r="B92" s="134" t="s">
        <v>1713</v>
      </c>
      <c r="C92" s="29">
        <v>45951.0</v>
      </c>
      <c r="D92" s="154" t="str">
        <f t="shared" si="7"/>
        <v>#REF!</v>
      </c>
      <c r="E92" s="155" t="str">
        <f t="shared" si="8"/>
        <v>#REF!</v>
      </c>
      <c r="F92" s="137"/>
    </row>
    <row r="93">
      <c r="A93" s="30"/>
      <c r="B93" s="134" t="s">
        <v>1714</v>
      </c>
      <c r="C93" s="29">
        <v>45951.0</v>
      </c>
      <c r="D93" s="154" t="str">
        <f t="shared" si="7"/>
        <v>#REF!</v>
      </c>
      <c r="E93" s="155" t="str">
        <f t="shared" si="8"/>
        <v>#REF!</v>
      </c>
      <c r="F93" s="137"/>
    </row>
    <row r="94">
      <c r="A94" s="30"/>
      <c r="B94" s="134" t="s">
        <v>1715</v>
      </c>
      <c r="C94" s="29">
        <v>45951.0</v>
      </c>
      <c r="D94" s="154" t="str">
        <f t="shared" si="7"/>
        <v>#REF!</v>
      </c>
      <c r="E94" s="155" t="str">
        <f t="shared" si="8"/>
        <v>#REF!</v>
      </c>
      <c r="F94" s="137"/>
    </row>
    <row r="95">
      <c r="A95" s="30"/>
      <c r="B95" s="134" t="s">
        <v>1716</v>
      </c>
      <c r="C95" s="29">
        <v>45951.0</v>
      </c>
      <c r="D95" s="154" t="str">
        <f t="shared" si="7"/>
        <v>#REF!</v>
      </c>
      <c r="E95" s="155" t="str">
        <f t="shared" si="8"/>
        <v>#REF!</v>
      </c>
      <c r="F95" s="137"/>
    </row>
    <row r="96">
      <c r="A96" s="30"/>
      <c r="B96" s="134" t="s">
        <v>1717</v>
      </c>
      <c r="C96" s="29">
        <v>45952.0</v>
      </c>
      <c r="D96" s="154" t="str">
        <f t="shared" si="7"/>
        <v>#REF!</v>
      </c>
      <c r="E96" s="155" t="str">
        <f t="shared" si="8"/>
        <v>#REF!</v>
      </c>
      <c r="F96" s="137"/>
    </row>
    <row r="97">
      <c r="A97" s="30"/>
      <c r="B97" s="134" t="s">
        <v>1718</v>
      </c>
      <c r="C97" s="29">
        <v>45952.0</v>
      </c>
      <c r="D97" s="154" t="str">
        <f t="shared" si="7"/>
        <v>#REF!</v>
      </c>
      <c r="E97" s="155" t="str">
        <f t="shared" si="8"/>
        <v>#REF!</v>
      </c>
      <c r="F97" s="137"/>
    </row>
    <row r="98">
      <c r="A98" s="30"/>
      <c r="B98" s="134" t="s">
        <v>1719</v>
      </c>
      <c r="C98" s="29">
        <v>45952.0</v>
      </c>
      <c r="D98" s="154" t="str">
        <f t="shared" si="7"/>
        <v>#REF!</v>
      </c>
      <c r="E98" s="155" t="str">
        <f t="shared" si="8"/>
        <v>#REF!</v>
      </c>
      <c r="F98" s="137"/>
    </row>
    <row r="99">
      <c r="A99" s="30"/>
      <c r="B99" s="134" t="s">
        <v>1720</v>
      </c>
      <c r="C99" s="29">
        <v>45953.0</v>
      </c>
      <c r="D99" s="154" t="str">
        <f t="shared" si="7"/>
        <v>#REF!</v>
      </c>
      <c r="E99" s="155" t="str">
        <f t="shared" si="8"/>
        <v>#REF!</v>
      </c>
      <c r="F99" s="137"/>
    </row>
    <row r="100">
      <c r="A100" s="30"/>
      <c r="B100" s="134" t="s">
        <v>1721</v>
      </c>
      <c r="C100" s="29">
        <v>45953.0</v>
      </c>
      <c r="D100" s="154" t="str">
        <f t="shared" si="7"/>
        <v>#REF!</v>
      </c>
      <c r="E100" s="155" t="str">
        <f t="shared" si="8"/>
        <v>#REF!</v>
      </c>
      <c r="F100" s="137"/>
    </row>
    <row r="101">
      <c r="A101" s="30"/>
      <c r="B101" s="134" t="s">
        <v>1722</v>
      </c>
      <c r="C101" s="29">
        <v>45953.0</v>
      </c>
      <c r="D101" s="154" t="str">
        <f t="shared" si="7"/>
        <v>#REF!</v>
      </c>
      <c r="E101" s="155" t="str">
        <f t="shared" si="8"/>
        <v>#REF!</v>
      </c>
      <c r="F101" s="137"/>
    </row>
    <row r="102">
      <c r="A102" s="30"/>
      <c r="B102" s="134" t="s">
        <v>1723</v>
      </c>
      <c r="C102" s="29">
        <v>45953.0</v>
      </c>
      <c r="D102" s="154" t="str">
        <f t="shared" si="7"/>
        <v>#REF!</v>
      </c>
      <c r="E102" s="155" t="str">
        <f t="shared" si="8"/>
        <v>#REF!</v>
      </c>
      <c r="F102" s="137"/>
    </row>
    <row r="103">
      <c r="A103" s="30"/>
      <c r="B103" s="134" t="s">
        <v>1724</v>
      </c>
      <c r="C103" s="29">
        <v>45953.0</v>
      </c>
      <c r="D103" s="154" t="str">
        <f t="shared" si="7"/>
        <v>#REF!</v>
      </c>
      <c r="E103" s="155" t="str">
        <f t="shared" si="8"/>
        <v>#REF!</v>
      </c>
      <c r="F103" s="137"/>
    </row>
    <row r="104">
      <c r="A104" s="30"/>
      <c r="B104" s="134" t="s">
        <v>1725</v>
      </c>
      <c r="C104" s="29">
        <v>45953.0</v>
      </c>
      <c r="D104" s="154" t="str">
        <f t="shared" si="7"/>
        <v>#REF!</v>
      </c>
      <c r="E104" s="155" t="str">
        <f t="shared" si="8"/>
        <v>#REF!</v>
      </c>
      <c r="F104" s="137"/>
    </row>
    <row r="105">
      <c r="A105" s="30"/>
      <c r="B105" s="134" t="s">
        <v>1726</v>
      </c>
      <c r="C105" s="29">
        <v>45953.0</v>
      </c>
      <c r="D105" s="154" t="str">
        <f t="shared" si="7"/>
        <v>#REF!</v>
      </c>
      <c r="E105" s="155" t="str">
        <f t="shared" si="8"/>
        <v>#REF!</v>
      </c>
      <c r="F105" s="137"/>
    </row>
    <row r="106">
      <c r="A106" s="30"/>
      <c r="B106" s="134" t="s">
        <v>1727</v>
      </c>
      <c r="C106" s="29">
        <v>45954.0</v>
      </c>
      <c r="D106" s="154" t="str">
        <f t="shared" si="7"/>
        <v>#REF!</v>
      </c>
      <c r="E106" s="155" t="str">
        <f t="shared" si="8"/>
        <v>#REF!</v>
      </c>
      <c r="F106" s="137"/>
    </row>
    <row r="107">
      <c r="A107" s="30"/>
      <c r="B107" s="134" t="s">
        <v>1728</v>
      </c>
      <c r="C107" s="29">
        <v>45954.0</v>
      </c>
      <c r="D107" s="154" t="str">
        <f t="shared" si="7"/>
        <v>#REF!</v>
      </c>
      <c r="E107" s="155" t="str">
        <f t="shared" si="8"/>
        <v>#REF!</v>
      </c>
      <c r="F107" s="137"/>
    </row>
    <row r="108">
      <c r="A108" s="30"/>
      <c r="B108" s="134" t="s">
        <v>1729</v>
      </c>
      <c r="C108" s="29">
        <v>45954.0</v>
      </c>
      <c r="D108" s="154" t="str">
        <f t="shared" si="7"/>
        <v>#REF!</v>
      </c>
      <c r="E108" s="155" t="str">
        <f t="shared" si="8"/>
        <v>#REF!</v>
      </c>
      <c r="F108" s="137"/>
    </row>
    <row r="109">
      <c r="A109" s="30"/>
      <c r="B109" s="134" t="s">
        <v>1730</v>
      </c>
      <c r="C109" s="29">
        <v>45955.0</v>
      </c>
      <c r="D109" s="154" t="str">
        <f t="shared" si="7"/>
        <v>#REF!</v>
      </c>
      <c r="E109" s="155" t="str">
        <f t="shared" si="8"/>
        <v>#REF!</v>
      </c>
      <c r="F109" s="137"/>
    </row>
    <row r="110">
      <c r="A110" s="30"/>
      <c r="B110" s="134" t="s">
        <v>1731</v>
      </c>
      <c r="C110" s="29">
        <v>45955.0</v>
      </c>
      <c r="D110" s="154" t="str">
        <f t="shared" si="7"/>
        <v>#REF!</v>
      </c>
      <c r="E110" s="155" t="str">
        <f t="shared" si="8"/>
        <v>#REF!</v>
      </c>
      <c r="F110" s="137"/>
    </row>
    <row r="111">
      <c r="A111" s="30"/>
      <c r="B111" s="134" t="s">
        <v>1732</v>
      </c>
      <c r="C111" s="29">
        <v>45955.0</v>
      </c>
      <c r="D111" s="154" t="str">
        <f t="shared" si="7"/>
        <v>#REF!</v>
      </c>
      <c r="E111" s="155" t="str">
        <f t="shared" si="8"/>
        <v>#REF!</v>
      </c>
      <c r="F111" s="137"/>
    </row>
    <row r="112">
      <c r="A112" s="30"/>
      <c r="B112" s="134" t="s">
        <v>1733</v>
      </c>
      <c r="C112" s="29">
        <v>45955.0</v>
      </c>
      <c r="D112" s="154" t="str">
        <f t="shared" si="7"/>
        <v>#REF!</v>
      </c>
      <c r="E112" s="155" t="str">
        <f t="shared" si="8"/>
        <v>#REF!</v>
      </c>
      <c r="F112" s="137"/>
    </row>
    <row r="113">
      <c r="A113" s="30"/>
      <c r="B113" s="134" t="s">
        <v>1734</v>
      </c>
      <c r="C113" s="29">
        <v>45955.0</v>
      </c>
      <c r="D113" s="154" t="str">
        <f t="shared" si="7"/>
        <v>#REF!</v>
      </c>
      <c r="E113" s="155" t="str">
        <f t="shared" si="8"/>
        <v>#REF!</v>
      </c>
      <c r="F113" s="137"/>
    </row>
    <row r="114">
      <c r="A114" s="30"/>
      <c r="B114" s="134" t="s">
        <v>1735</v>
      </c>
      <c r="C114" s="29">
        <v>45955.0</v>
      </c>
      <c r="D114" s="154" t="str">
        <f t="shared" si="7"/>
        <v>#REF!</v>
      </c>
      <c r="E114" s="155" t="str">
        <f t="shared" si="8"/>
        <v>#REF!</v>
      </c>
      <c r="F114" s="137"/>
    </row>
    <row r="115">
      <c r="A115" s="30"/>
      <c r="B115" s="134" t="s">
        <v>1736</v>
      </c>
      <c r="C115" s="29">
        <v>45955.0</v>
      </c>
      <c r="D115" s="154" t="str">
        <f t="shared" si="7"/>
        <v>#REF!</v>
      </c>
      <c r="E115" s="155" t="str">
        <f t="shared" si="8"/>
        <v>#REF!</v>
      </c>
      <c r="F115" s="137"/>
    </row>
    <row r="116">
      <c r="A116" s="30"/>
      <c r="B116" s="134" t="s">
        <v>1737</v>
      </c>
      <c r="C116" s="29">
        <v>45955.0</v>
      </c>
      <c r="D116" s="154" t="str">
        <f t="shared" si="7"/>
        <v>#REF!</v>
      </c>
      <c r="E116" s="155" t="str">
        <f t="shared" si="8"/>
        <v>#REF!</v>
      </c>
      <c r="F116" s="137"/>
    </row>
    <row r="117">
      <c r="A117" s="30"/>
      <c r="B117" s="134" t="s">
        <v>1738</v>
      </c>
      <c r="C117" s="29">
        <v>45955.0</v>
      </c>
      <c r="D117" s="154" t="str">
        <f t="shared" si="7"/>
        <v>#REF!</v>
      </c>
      <c r="E117" s="155" t="str">
        <f t="shared" si="8"/>
        <v>#REF!</v>
      </c>
      <c r="F117" s="137"/>
    </row>
    <row r="118">
      <c r="A118" s="30"/>
      <c r="B118" s="134" t="s">
        <v>1739</v>
      </c>
      <c r="C118" s="29">
        <v>45955.0</v>
      </c>
      <c r="D118" s="154" t="str">
        <f t="shared" si="7"/>
        <v>#REF!</v>
      </c>
      <c r="E118" s="155" t="str">
        <f t="shared" si="8"/>
        <v>#REF!</v>
      </c>
      <c r="F118" s="137"/>
    </row>
    <row r="119">
      <c r="A119" s="30"/>
      <c r="B119" s="134" t="s">
        <v>1740</v>
      </c>
      <c r="C119" s="29">
        <v>45955.0</v>
      </c>
      <c r="D119" s="154" t="str">
        <f t="shared" si="7"/>
        <v>#REF!</v>
      </c>
      <c r="E119" s="155" t="str">
        <f t="shared" si="8"/>
        <v>#REF!</v>
      </c>
      <c r="F119" s="137"/>
    </row>
    <row r="120">
      <c r="A120" s="30"/>
      <c r="B120" s="134" t="s">
        <v>1741</v>
      </c>
      <c r="C120" s="29">
        <v>45955.0</v>
      </c>
      <c r="D120" s="154" t="str">
        <f t="shared" si="7"/>
        <v>#REF!</v>
      </c>
      <c r="E120" s="155" t="str">
        <f t="shared" si="8"/>
        <v>#REF!</v>
      </c>
      <c r="F120" s="137"/>
    </row>
    <row r="121">
      <c r="A121" s="30"/>
      <c r="B121" s="134" t="s">
        <v>1742</v>
      </c>
      <c r="C121" s="29">
        <v>45955.0</v>
      </c>
      <c r="D121" s="154" t="str">
        <f t="shared" si="7"/>
        <v>#REF!</v>
      </c>
      <c r="E121" s="155" t="str">
        <f t="shared" si="8"/>
        <v>#REF!</v>
      </c>
      <c r="F121" s="137"/>
    </row>
    <row r="122">
      <c r="A122" s="30"/>
      <c r="B122" s="134" t="s">
        <v>1743</v>
      </c>
      <c r="C122" s="29">
        <v>45956.0</v>
      </c>
      <c r="D122" s="154" t="str">
        <f t="shared" si="7"/>
        <v>#REF!</v>
      </c>
      <c r="E122" s="155" t="str">
        <f t="shared" si="8"/>
        <v>#REF!</v>
      </c>
      <c r="F122" s="137"/>
    </row>
    <row r="123">
      <c r="A123" s="30"/>
      <c r="B123" s="134" t="s">
        <v>1744</v>
      </c>
      <c r="C123" s="29">
        <v>45956.0</v>
      </c>
      <c r="D123" s="154" t="str">
        <f t="shared" si="7"/>
        <v>#REF!</v>
      </c>
      <c r="E123" s="155" t="str">
        <f t="shared" si="8"/>
        <v>#REF!</v>
      </c>
      <c r="F123" s="137"/>
    </row>
    <row r="124">
      <c r="A124" s="30"/>
      <c r="B124" s="134" t="s">
        <v>1745</v>
      </c>
      <c r="C124" s="29">
        <v>45956.0</v>
      </c>
      <c r="D124" s="154" t="str">
        <f t="shared" si="7"/>
        <v>#REF!</v>
      </c>
      <c r="E124" s="155" t="str">
        <f t="shared" si="8"/>
        <v>#REF!</v>
      </c>
      <c r="F124" s="137"/>
    </row>
    <row r="125">
      <c r="A125" s="30"/>
      <c r="B125" s="134" t="s">
        <v>1746</v>
      </c>
      <c r="C125" s="29">
        <v>45956.0</v>
      </c>
      <c r="D125" s="154" t="str">
        <f t="shared" si="7"/>
        <v>#REF!</v>
      </c>
      <c r="E125" s="155" t="str">
        <f t="shared" si="8"/>
        <v>#REF!</v>
      </c>
      <c r="F125" s="137"/>
    </row>
    <row r="126">
      <c r="A126" s="30"/>
      <c r="B126" s="134" t="s">
        <v>1747</v>
      </c>
      <c r="C126" s="29">
        <v>45956.0</v>
      </c>
      <c r="D126" s="154" t="str">
        <f t="shared" si="7"/>
        <v>#REF!</v>
      </c>
      <c r="E126" s="155" t="str">
        <f t="shared" si="8"/>
        <v>#REF!</v>
      </c>
      <c r="F126" s="137"/>
    </row>
    <row r="127">
      <c r="A127" s="30"/>
      <c r="B127" s="134" t="s">
        <v>1748</v>
      </c>
      <c r="C127" s="29">
        <v>45956.0</v>
      </c>
      <c r="D127" s="154" t="str">
        <f t="shared" si="7"/>
        <v>#REF!</v>
      </c>
      <c r="E127" s="155" t="str">
        <f t="shared" si="8"/>
        <v>#REF!</v>
      </c>
      <c r="F127" s="137"/>
    </row>
    <row r="128">
      <c r="A128" s="30"/>
      <c r="B128" s="134" t="s">
        <v>1749</v>
      </c>
      <c r="C128" s="29">
        <v>45956.0</v>
      </c>
      <c r="D128" s="154" t="str">
        <f t="shared" si="7"/>
        <v>#REF!</v>
      </c>
      <c r="E128" s="155" t="str">
        <f t="shared" si="8"/>
        <v>#REF!</v>
      </c>
      <c r="F128" s="137"/>
    </row>
    <row r="129">
      <c r="A129" s="30"/>
      <c r="B129" s="134" t="s">
        <v>1750</v>
      </c>
      <c r="C129" s="29">
        <v>45956.0</v>
      </c>
      <c r="D129" s="154" t="str">
        <f t="shared" si="7"/>
        <v>#REF!</v>
      </c>
      <c r="E129" s="155" t="str">
        <f t="shared" si="8"/>
        <v>#REF!</v>
      </c>
      <c r="F129" s="137"/>
    </row>
    <row r="130">
      <c r="A130" s="30"/>
      <c r="B130" s="134" t="s">
        <v>1751</v>
      </c>
      <c r="C130" s="29">
        <v>45956.0</v>
      </c>
      <c r="D130" s="154" t="str">
        <f t="shared" si="7"/>
        <v>#REF!</v>
      </c>
      <c r="E130" s="155" t="str">
        <f t="shared" si="8"/>
        <v>#REF!</v>
      </c>
      <c r="F130" s="137"/>
    </row>
    <row r="131">
      <c r="A131" s="30"/>
      <c r="B131" s="134" t="s">
        <v>1752</v>
      </c>
      <c r="C131" s="29">
        <v>45956.0</v>
      </c>
      <c r="D131" s="154" t="str">
        <f t="shared" si="7"/>
        <v>#REF!</v>
      </c>
      <c r="E131" s="155" t="str">
        <f t="shared" si="8"/>
        <v>#REF!</v>
      </c>
      <c r="F131" s="137"/>
    </row>
    <row r="132">
      <c r="A132" s="139"/>
      <c r="B132" s="140" t="str">
        <f>("TOTAL VENTE SEMAINE 4 : " &amp; COUNTA(#REF!) )</f>
        <v>TOTAL VENTE SEMAINE 4 : 1</v>
      </c>
      <c r="C132" s="141"/>
      <c r="D132" s="156" t="str">
        <f>SUM(D84:D131)</f>
        <v>#REF!</v>
      </c>
      <c r="E132" s="143" t="str">
        <f>AVERAGE(E101:E131)</f>
        <v>#REF!</v>
      </c>
      <c r="F132" s="144">
        <f>COUNTA(#REF!)</f>
        <v>1</v>
      </c>
    </row>
    <row r="133">
      <c r="A133" s="151"/>
      <c r="B133" s="151"/>
      <c r="C133" s="41"/>
    </row>
    <row r="134">
      <c r="A134" s="128"/>
      <c r="B134" s="129" t="s">
        <v>1753</v>
      </c>
      <c r="C134" s="147"/>
      <c r="D134" s="148"/>
      <c r="E134" s="148"/>
      <c r="F134" s="133"/>
    </row>
    <row r="135">
      <c r="A135" s="30"/>
      <c r="B135" s="134" t="s">
        <v>1754</v>
      </c>
      <c r="C135" s="29">
        <v>45957.0</v>
      </c>
      <c r="D135" s="154" t="str">
        <f t="shared" ref="D135:D159" si="9">IF(#REF!="","",IF(#REF!-#REF!&lt;0,"",#REF!-#REF!))</f>
        <v>#REF!</v>
      </c>
      <c r="E135" s="155" t="str">
        <f t="shared" ref="E135:E159" si="10">IF(#REF!="","",IF(#REF!/#REF!&lt;0,"",#REF!/#REF!))</f>
        <v>#REF!</v>
      </c>
      <c r="F135" s="137"/>
    </row>
    <row r="136">
      <c r="A136" s="30"/>
      <c r="B136" s="134" t="s">
        <v>1755</v>
      </c>
      <c r="C136" s="29">
        <v>45958.0</v>
      </c>
      <c r="D136" s="154" t="str">
        <f t="shared" si="9"/>
        <v>#REF!</v>
      </c>
      <c r="E136" s="155" t="str">
        <f t="shared" si="10"/>
        <v>#REF!</v>
      </c>
      <c r="F136" s="137"/>
    </row>
    <row r="137">
      <c r="A137" s="30"/>
      <c r="B137" s="134" t="s">
        <v>1756</v>
      </c>
      <c r="C137" s="29">
        <v>45957.0</v>
      </c>
      <c r="D137" s="154" t="str">
        <f t="shared" si="9"/>
        <v>#REF!</v>
      </c>
      <c r="E137" s="155" t="str">
        <f t="shared" si="10"/>
        <v>#REF!</v>
      </c>
      <c r="F137" s="137"/>
    </row>
    <row r="138">
      <c r="A138" s="30"/>
      <c r="B138" s="134" t="s">
        <v>1757</v>
      </c>
      <c r="C138" s="29">
        <v>45957.0</v>
      </c>
      <c r="D138" s="154" t="str">
        <f t="shared" si="9"/>
        <v>#REF!</v>
      </c>
      <c r="E138" s="155" t="str">
        <f t="shared" si="10"/>
        <v>#REF!</v>
      </c>
      <c r="F138" s="137"/>
    </row>
    <row r="139">
      <c r="A139" s="30"/>
      <c r="B139" s="134" t="s">
        <v>1758</v>
      </c>
      <c r="C139" s="29">
        <v>45959.0</v>
      </c>
      <c r="D139" s="154" t="str">
        <f t="shared" si="9"/>
        <v>#REF!</v>
      </c>
      <c r="E139" s="155" t="str">
        <f t="shared" si="10"/>
        <v>#REF!</v>
      </c>
      <c r="F139" s="137"/>
    </row>
    <row r="140">
      <c r="A140" s="30"/>
      <c r="B140" s="134" t="s">
        <v>1759</v>
      </c>
      <c r="C140" s="29">
        <v>45960.0</v>
      </c>
      <c r="D140" s="154" t="str">
        <f t="shared" si="9"/>
        <v>#REF!</v>
      </c>
      <c r="E140" s="155" t="str">
        <f t="shared" si="10"/>
        <v>#REF!</v>
      </c>
      <c r="F140" s="137"/>
    </row>
    <row r="141">
      <c r="A141" s="30"/>
      <c r="B141" s="134" t="s">
        <v>1760</v>
      </c>
      <c r="C141" s="29">
        <v>45958.0</v>
      </c>
      <c r="D141" s="154" t="str">
        <f t="shared" si="9"/>
        <v>#REF!</v>
      </c>
      <c r="E141" s="155" t="str">
        <f t="shared" si="10"/>
        <v>#REF!</v>
      </c>
      <c r="F141" s="137"/>
    </row>
    <row r="142">
      <c r="A142" s="30"/>
      <c r="B142" s="134" t="s">
        <v>1761</v>
      </c>
      <c r="C142" s="29">
        <v>45960.0</v>
      </c>
      <c r="D142" s="154" t="str">
        <f t="shared" si="9"/>
        <v>#REF!</v>
      </c>
      <c r="E142" s="155" t="str">
        <f t="shared" si="10"/>
        <v>#REF!</v>
      </c>
      <c r="F142" s="137"/>
    </row>
    <row r="143">
      <c r="A143" s="30"/>
      <c r="B143" s="134" t="s">
        <v>1762</v>
      </c>
      <c r="C143" s="29">
        <v>45960.0</v>
      </c>
      <c r="D143" s="154" t="str">
        <f t="shared" si="9"/>
        <v>#REF!</v>
      </c>
      <c r="E143" s="155" t="str">
        <f t="shared" si="10"/>
        <v>#REF!</v>
      </c>
      <c r="F143" s="137"/>
    </row>
    <row r="144">
      <c r="A144" s="30"/>
      <c r="B144" s="134" t="s">
        <v>1763</v>
      </c>
      <c r="C144" s="29">
        <v>45960.0</v>
      </c>
      <c r="D144" s="154" t="str">
        <f t="shared" si="9"/>
        <v>#REF!</v>
      </c>
      <c r="E144" s="155" t="str">
        <f t="shared" si="10"/>
        <v>#REF!</v>
      </c>
      <c r="F144" s="137"/>
    </row>
    <row r="145">
      <c r="A145" s="30"/>
      <c r="B145" s="134" t="s">
        <v>1764</v>
      </c>
      <c r="C145" s="29">
        <v>45959.0</v>
      </c>
      <c r="D145" s="154" t="str">
        <f t="shared" si="9"/>
        <v>#REF!</v>
      </c>
      <c r="E145" s="155" t="str">
        <f t="shared" si="10"/>
        <v>#REF!</v>
      </c>
      <c r="F145" s="137"/>
    </row>
    <row r="146">
      <c r="A146" s="30"/>
      <c r="B146" s="134" t="s">
        <v>1765</v>
      </c>
      <c r="C146" s="29">
        <v>45960.0</v>
      </c>
      <c r="D146" s="154" t="str">
        <f t="shared" si="9"/>
        <v>#REF!</v>
      </c>
      <c r="E146" s="155" t="str">
        <f t="shared" si="10"/>
        <v>#REF!</v>
      </c>
      <c r="F146" s="137"/>
    </row>
    <row r="147">
      <c r="A147" s="30"/>
      <c r="B147" s="134" t="s">
        <v>1766</v>
      </c>
      <c r="C147" s="29">
        <v>45960.0</v>
      </c>
      <c r="D147" s="154" t="str">
        <f t="shared" si="9"/>
        <v>#REF!</v>
      </c>
      <c r="E147" s="155" t="str">
        <f t="shared" si="10"/>
        <v>#REF!</v>
      </c>
      <c r="F147" s="137"/>
    </row>
    <row r="148">
      <c r="A148" s="30"/>
      <c r="B148" s="134" t="s">
        <v>1767</v>
      </c>
      <c r="C148" s="29">
        <v>45960.0</v>
      </c>
      <c r="D148" s="154" t="str">
        <f t="shared" si="9"/>
        <v>#REF!</v>
      </c>
      <c r="E148" s="155" t="str">
        <f t="shared" si="10"/>
        <v>#REF!</v>
      </c>
      <c r="F148" s="137"/>
    </row>
    <row r="149">
      <c r="A149" s="30"/>
      <c r="B149" s="134" t="s">
        <v>1768</v>
      </c>
      <c r="C149" s="29">
        <v>45961.0</v>
      </c>
      <c r="D149" s="154" t="str">
        <f t="shared" si="9"/>
        <v>#REF!</v>
      </c>
      <c r="E149" s="155" t="str">
        <f t="shared" si="10"/>
        <v>#REF!</v>
      </c>
      <c r="F149" s="137"/>
    </row>
    <row r="150">
      <c r="A150" s="30"/>
      <c r="B150" s="134" t="s">
        <v>1769</v>
      </c>
      <c r="C150" s="29">
        <v>45961.0</v>
      </c>
      <c r="D150" s="154" t="str">
        <f t="shared" si="9"/>
        <v>#REF!</v>
      </c>
      <c r="E150" s="155" t="str">
        <f t="shared" si="10"/>
        <v>#REF!</v>
      </c>
      <c r="F150" s="137"/>
    </row>
    <row r="151">
      <c r="A151" s="30"/>
      <c r="B151" s="134" t="s">
        <v>1770</v>
      </c>
      <c r="C151" s="29">
        <v>45961.0</v>
      </c>
      <c r="D151" s="154" t="str">
        <f t="shared" si="9"/>
        <v>#REF!</v>
      </c>
      <c r="E151" s="155" t="str">
        <f t="shared" si="10"/>
        <v>#REF!</v>
      </c>
      <c r="F151" s="137"/>
    </row>
    <row r="152">
      <c r="A152" s="30"/>
      <c r="B152" s="134" t="s">
        <v>1771</v>
      </c>
      <c r="C152" s="29">
        <v>45961.0</v>
      </c>
      <c r="D152" s="154" t="str">
        <f t="shared" si="9"/>
        <v>#REF!</v>
      </c>
      <c r="E152" s="155" t="str">
        <f t="shared" si="10"/>
        <v>#REF!</v>
      </c>
      <c r="F152" s="137"/>
    </row>
    <row r="153">
      <c r="A153" s="30"/>
      <c r="B153" s="134" t="s">
        <v>1772</v>
      </c>
      <c r="C153" s="29">
        <v>45961.0</v>
      </c>
      <c r="D153" s="154" t="str">
        <f t="shared" si="9"/>
        <v>#REF!</v>
      </c>
      <c r="E153" s="155" t="str">
        <f t="shared" si="10"/>
        <v>#REF!</v>
      </c>
      <c r="F153" s="137"/>
    </row>
    <row r="154">
      <c r="A154" s="30"/>
      <c r="B154" s="134" t="s">
        <v>1773</v>
      </c>
      <c r="C154" s="29">
        <v>45961.0</v>
      </c>
      <c r="D154" s="154" t="str">
        <f t="shared" si="9"/>
        <v>#REF!</v>
      </c>
      <c r="E154" s="155" t="str">
        <f t="shared" si="10"/>
        <v>#REF!</v>
      </c>
      <c r="F154" s="137"/>
    </row>
    <row r="155">
      <c r="A155" s="30"/>
      <c r="B155" s="134" t="s">
        <v>1774</v>
      </c>
      <c r="C155" s="29">
        <v>45961.0</v>
      </c>
      <c r="D155" s="154" t="str">
        <f t="shared" si="9"/>
        <v>#REF!</v>
      </c>
      <c r="E155" s="155" t="str">
        <f t="shared" si="10"/>
        <v>#REF!</v>
      </c>
      <c r="F155" s="137"/>
    </row>
    <row r="156">
      <c r="A156" s="30"/>
      <c r="B156" s="134" t="s">
        <v>1775</v>
      </c>
      <c r="C156" s="29">
        <v>45961.0</v>
      </c>
      <c r="D156" s="154" t="str">
        <f t="shared" si="9"/>
        <v>#REF!</v>
      </c>
      <c r="E156" s="155" t="str">
        <f t="shared" si="10"/>
        <v>#REF!</v>
      </c>
      <c r="F156" s="137"/>
    </row>
    <row r="157">
      <c r="A157" s="30"/>
      <c r="B157" s="134" t="s">
        <v>1776</v>
      </c>
      <c r="C157" s="29">
        <v>45961.0</v>
      </c>
      <c r="D157" s="154" t="str">
        <f t="shared" si="9"/>
        <v>#REF!</v>
      </c>
      <c r="E157" s="155" t="str">
        <f t="shared" si="10"/>
        <v>#REF!</v>
      </c>
      <c r="F157" s="137"/>
    </row>
    <row r="158">
      <c r="A158" s="30"/>
      <c r="B158" s="134" t="s">
        <v>1777</v>
      </c>
      <c r="C158" s="29">
        <v>45961.0</v>
      </c>
      <c r="D158" s="154" t="str">
        <f t="shared" si="9"/>
        <v>#REF!</v>
      </c>
      <c r="E158" s="155" t="str">
        <f t="shared" si="10"/>
        <v>#REF!</v>
      </c>
      <c r="F158" s="137"/>
    </row>
    <row r="159">
      <c r="A159" s="30"/>
      <c r="B159" s="134" t="s">
        <v>1778</v>
      </c>
      <c r="C159" s="29">
        <v>45961.0</v>
      </c>
      <c r="D159" s="154" t="str">
        <f t="shared" si="9"/>
        <v>#REF!</v>
      </c>
      <c r="E159" s="155" t="str">
        <f t="shared" si="10"/>
        <v>#REF!</v>
      </c>
      <c r="F159" s="137"/>
    </row>
    <row r="160">
      <c r="A160" s="139"/>
      <c r="B160" s="140" t="str">
        <f>("TOTAL VENTE SEMAINE 5 : " &amp; COUNTA(#REF!) )</f>
        <v>TOTAL VENTE SEMAINE 5 : 1</v>
      </c>
      <c r="C160" s="141"/>
      <c r="D160" s="156" t="str">
        <f>SUM(D135:D159)</f>
        <v>#REF!</v>
      </c>
      <c r="E160" s="143" t="str">
        <f>AVERAGE(E139:E159)</f>
        <v>#REF!</v>
      </c>
      <c r="F160" s="144">
        <f>COUNTA(#REF!)</f>
        <v>1</v>
      </c>
    </row>
    <row r="161">
      <c r="A161" s="151"/>
      <c r="B161" s="151"/>
      <c r="D161" s="157"/>
      <c r="E161" s="158"/>
      <c r="F161" s="151"/>
    </row>
    <row r="162">
      <c r="A162" s="151"/>
      <c r="B162" s="151" t="str">
        <f>("TOTAL VENTE MOIS : " &amp; SUM(F2:F160 ))</f>
        <v>TOTAL VENTE MOIS : 5</v>
      </c>
      <c r="D162" s="157" t="str">
        <f>SUM(D132+D81+D31+D13+D160)</f>
        <v>#REF!</v>
      </c>
      <c r="E162" s="158" t="str">
        <f>AVERAGE(E160,E132,E81,E31,E13)</f>
        <v>#REF!</v>
      </c>
      <c r="F162" s="151">
        <f>COUNTA(#REF!)</f>
        <v>1</v>
      </c>
    </row>
    <row r="163">
      <c r="A163" s="159"/>
      <c r="B163" s="159"/>
      <c r="C163" s="159"/>
      <c r="D163" s="159"/>
      <c r="E163" s="159"/>
      <c r="F163" s="159"/>
    </row>
    <row r="164">
      <c r="A164" s="160"/>
      <c r="B164" s="160"/>
      <c r="C164" s="160"/>
      <c r="D164" s="161" t="str">
        <f t="shared" ref="D164:D408" si="11">IF(#REF!="","",IF(#REF!-#REF!&lt;0,"",#REF!-#REF!))</f>
        <v>#REF!</v>
      </c>
      <c r="E164" s="162" t="str">
        <f t="shared" ref="E164:E296" si="12">IF(#REF!="","",IF(#REF!/#REF!&lt;0,"",#REF!/#REF!))</f>
        <v>#REF!</v>
      </c>
      <c r="F164" s="160"/>
    </row>
    <row r="165">
      <c r="A165" s="160"/>
      <c r="B165" s="160"/>
      <c r="C165" s="160"/>
      <c r="D165" s="161" t="str">
        <f t="shared" si="11"/>
        <v>#REF!</v>
      </c>
      <c r="E165" s="162" t="str">
        <f t="shared" si="12"/>
        <v>#REF!</v>
      </c>
      <c r="F165" s="160"/>
    </row>
    <row r="166">
      <c r="A166" s="160"/>
      <c r="B166" s="160"/>
      <c r="C166" s="160"/>
      <c r="D166" s="161" t="str">
        <f t="shared" si="11"/>
        <v>#REF!</v>
      </c>
      <c r="E166" s="162" t="str">
        <f t="shared" si="12"/>
        <v>#REF!</v>
      </c>
      <c r="F166" s="160"/>
    </row>
    <row r="167">
      <c r="A167" s="160"/>
      <c r="B167" s="160"/>
      <c r="C167" s="160"/>
      <c r="D167" s="161" t="str">
        <f t="shared" si="11"/>
        <v>#REF!</v>
      </c>
      <c r="E167" s="162" t="str">
        <f t="shared" si="12"/>
        <v>#REF!</v>
      </c>
      <c r="F167" s="160"/>
    </row>
    <row r="168">
      <c r="A168" s="160"/>
      <c r="B168" s="160"/>
      <c r="C168" s="160"/>
      <c r="D168" s="161" t="str">
        <f t="shared" si="11"/>
        <v>#REF!</v>
      </c>
      <c r="E168" s="162" t="str">
        <f t="shared" si="12"/>
        <v>#REF!</v>
      </c>
      <c r="F168" s="160"/>
    </row>
    <row r="169">
      <c r="A169" s="160"/>
      <c r="B169" s="160"/>
      <c r="C169" s="160"/>
      <c r="D169" s="161" t="str">
        <f t="shared" si="11"/>
        <v>#REF!</v>
      </c>
      <c r="E169" s="162" t="str">
        <f t="shared" si="12"/>
        <v>#REF!</v>
      </c>
      <c r="F169" s="160"/>
    </row>
    <row r="170">
      <c r="A170" s="160"/>
      <c r="B170" s="160"/>
      <c r="C170" s="160"/>
      <c r="D170" s="161" t="str">
        <f t="shared" si="11"/>
        <v>#REF!</v>
      </c>
      <c r="E170" s="162" t="str">
        <f t="shared" si="12"/>
        <v>#REF!</v>
      </c>
      <c r="F170" s="160"/>
    </row>
    <row r="171">
      <c r="A171" s="160"/>
      <c r="B171" s="160"/>
      <c r="C171" s="160"/>
      <c r="D171" s="161" t="str">
        <f t="shared" si="11"/>
        <v>#REF!</v>
      </c>
      <c r="E171" s="162" t="str">
        <f t="shared" si="12"/>
        <v>#REF!</v>
      </c>
      <c r="F171" s="160"/>
    </row>
    <row r="172">
      <c r="A172" s="160"/>
      <c r="B172" s="160"/>
      <c r="C172" s="160"/>
      <c r="D172" s="161" t="str">
        <f t="shared" si="11"/>
        <v>#REF!</v>
      </c>
      <c r="E172" s="162" t="str">
        <f t="shared" si="12"/>
        <v>#REF!</v>
      </c>
      <c r="F172" s="160"/>
    </row>
    <row r="173">
      <c r="A173" s="160"/>
      <c r="B173" s="160"/>
      <c r="C173" s="160"/>
      <c r="D173" s="161" t="str">
        <f t="shared" si="11"/>
        <v>#REF!</v>
      </c>
      <c r="E173" s="162" t="str">
        <f t="shared" si="12"/>
        <v>#REF!</v>
      </c>
      <c r="F173" s="160"/>
    </row>
    <row r="174">
      <c r="A174" s="160"/>
      <c r="B174" s="160"/>
      <c r="C174" s="160"/>
      <c r="D174" s="161" t="str">
        <f t="shared" si="11"/>
        <v>#REF!</v>
      </c>
      <c r="E174" s="162" t="str">
        <f t="shared" si="12"/>
        <v>#REF!</v>
      </c>
      <c r="F174" s="160"/>
    </row>
    <row r="175">
      <c r="A175" s="160"/>
      <c r="B175" s="160"/>
      <c r="C175" s="160"/>
      <c r="D175" s="161" t="str">
        <f t="shared" si="11"/>
        <v>#REF!</v>
      </c>
      <c r="E175" s="162" t="str">
        <f t="shared" si="12"/>
        <v>#REF!</v>
      </c>
      <c r="F175" s="160"/>
    </row>
    <row r="176">
      <c r="A176" s="160"/>
      <c r="B176" s="160"/>
      <c r="C176" s="160"/>
      <c r="D176" s="161" t="str">
        <f t="shared" si="11"/>
        <v>#REF!</v>
      </c>
      <c r="E176" s="162" t="str">
        <f t="shared" si="12"/>
        <v>#REF!</v>
      </c>
      <c r="F176" s="160"/>
    </row>
    <row r="177">
      <c r="A177" s="160"/>
      <c r="B177" s="160"/>
      <c r="C177" s="160"/>
      <c r="D177" s="161" t="str">
        <f t="shared" si="11"/>
        <v>#REF!</v>
      </c>
      <c r="E177" s="162" t="str">
        <f t="shared" si="12"/>
        <v>#REF!</v>
      </c>
      <c r="F177" s="160"/>
    </row>
    <row r="178">
      <c r="A178" s="160"/>
      <c r="B178" s="160"/>
      <c r="C178" s="160"/>
      <c r="D178" s="161" t="str">
        <f t="shared" si="11"/>
        <v>#REF!</v>
      </c>
      <c r="E178" s="162" t="str">
        <f t="shared" si="12"/>
        <v>#REF!</v>
      </c>
      <c r="F178" s="160"/>
    </row>
    <row r="179">
      <c r="A179" s="160"/>
      <c r="B179" s="160"/>
      <c r="C179" s="160"/>
      <c r="D179" s="161" t="str">
        <f t="shared" si="11"/>
        <v>#REF!</v>
      </c>
      <c r="E179" s="162" t="str">
        <f t="shared" si="12"/>
        <v>#REF!</v>
      </c>
      <c r="F179" s="160"/>
    </row>
    <row r="180">
      <c r="A180" s="160"/>
      <c r="B180" s="160"/>
      <c r="C180" s="160"/>
      <c r="D180" s="161" t="str">
        <f t="shared" si="11"/>
        <v>#REF!</v>
      </c>
      <c r="E180" s="162" t="str">
        <f t="shared" si="12"/>
        <v>#REF!</v>
      </c>
      <c r="F180" s="160"/>
    </row>
    <row r="181">
      <c r="A181" s="160"/>
      <c r="B181" s="160"/>
      <c r="C181" s="160"/>
      <c r="D181" s="161" t="str">
        <f t="shared" si="11"/>
        <v>#REF!</v>
      </c>
      <c r="E181" s="162" t="str">
        <f t="shared" si="12"/>
        <v>#REF!</v>
      </c>
      <c r="F181" s="160"/>
    </row>
    <row r="182">
      <c r="A182" s="160"/>
      <c r="B182" s="160"/>
      <c r="C182" s="160"/>
      <c r="D182" s="161" t="str">
        <f t="shared" si="11"/>
        <v>#REF!</v>
      </c>
      <c r="E182" s="162" t="str">
        <f t="shared" si="12"/>
        <v>#REF!</v>
      </c>
      <c r="F182" s="160"/>
    </row>
    <row r="183">
      <c r="A183" s="160"/>
      <c r="B183" s="160"/>
      <c r="C183" s="160"/>
      <c r="D183" s="161" t="str">
        <f t="shared" si="11"/>
        <v>#REF!</v>
      </c>
      <c r="E183" s="162" t="str">
        <f t="shared" si="12"/>
        <v>#REF!</v>
      </c>
      <c r="F183" s="160"/>
    </row>
    <row r="184">
      <c r="A184" s="160"/>
      <c r="B184" s="160"/>
      <c r="C184" s="160"/>
      <c r="D184" s="161" t="str">
        <f t="shared" si="11"/>
        <v>#REF!</v>
      </c>
      <c r="E184" s="162" t="str">
        <f t="shared" si="12"/>
        <v>#REF!</v>
      </c>
      <c r="F184" s="160"/>
    </row>
    <row r="185">
      <c r="A185" s="160"/>
      <c r="B185" s="160"/>
      <c r="C185" s="160"/>
      <c r="D185" s="161" t="str">
        <f t="shared" si="11"/>
        <v>#REF!</v>
      </c>
      <c r="E185" s="162" t="str">
        <f t="shared" si="12"/>
        <v>#REF!</v>
      </c>
      <c r="F185" s="160"/>
    </row>
    <row r="186">
      <c r="A186" s="160"/>
      <c r="B186" s="160"/>
      <c r="C186" s="160"/>
      <c r="D186" s="161" t="str">
        <f t="shared" si="11"/>
        <v>#REF!</v>
      </c>
      <c r="E186" s="162" t="str">
        <f t="shared" si="12"/>
        <v>#REF!</v>
      </c>
      <c r="F186" s="160"/>
    </row>
    <row r="187">
      <c r="A187" s="160"/>
      <c r="B187" s="160"/>
      <c r="C187" s="160"/>
      <c r="D187" s="161" t="str">
        <f t="shared" si="11"/>
        <v>#REF!</v>
      </c>
      <c r="E187" s="162" t="str">
        <f t="shared" si="12"/>
        <v>#REF!</v>
      </c>
      <c r="F187" s="160"/>
    </row>
    <row r="188">
      <c r="A188" s="160"/>
      <c r="B188" s="160"/>
      <c r="C188" s="160"/>
      <c r="D188" s="161" t="str">
        <f t="shared" si="11"/>
        <v>#REF!</v>
      </c>
      <c r="E188" s="162" t="str">
        <f t="shared" si="12"/>
        <v>#REF!</v>
      </c>
      <c r="F188" s="160"/>
    </row>
    <row r="189">
      <c r="A189" s="160"/>
      <c r="B189" s="160"/>
      <c r="C189" s="160"/>
      <c r="D189" s="161" t="str">
        <f t="shared" si="11"/>
        <v>#REF!</v>
      </c>
      <c r="E189" s="162" t="str">
        <f t="shared" si="12"/>
        <v>#REF!</v>
      </c>
      <c r="F189" s="160"/>
    </row>
    <row r="190">
      <c r="A190" s="160"/>
      <c r="B190" s="160"/>
      <c r="C190" s="160"/>
      <c r="D190" s="161" t="str">
        <f t="shared" si="11"/>
        <v>#REF!</v>
      </c>
      <c r="E190" s="162" t="str">
        <f t="shared" si="12"/>
        <v>#REF!</v>
      </c>
      <c r="F190" s="160"/>
    </row>
    <row r="191">
      <c r="A191" s="160"/>
      <c r="B191" s="160"/>
      <c r="C191" s="160"/>
      <c r="D191" s="161" t="str">
        <f t="shared" si="11"/>
        <v>#REF!</v>
      </c>
      <c r="E191" s="162" t="str">
        <f t="shared" si="12"/>
        <v>#REF!</v>
      </c>
      <c r="F191" s="160"/>
    </row>
    <row r="192">
      <c r="A192" s="160"/>
      <c r="B192" s="160"/>
      <c r="C192" s="160"/>
      <c r="D192" s="161" t="str">
        <f t="shared" si="11"/>
        <v>#REF!</v>
      </c>
      <c r="E192" s="162" t="str">
        <f t="shared" si="12"/>
        <v>#REF!</v>
      </c>
      <c r="F192" s="160"/>
    </row>
    <row r="193">
      <c r="A193" s="160"/>
      <c r="B193" s="160"/>
      <c r="C193" s="160"/>
      <c r="D193" s="161" t="str">
        <f t="shared" si="11"/>
        <v>#REF!</v>
      </c>
      <c r="E193" s="162" t="str">
        <f t="shared" si="12"/>
        <v>#REF!</v>
      </c>
      <c r="F193" s="160"/>
    </row>
    <row r="194">
      <c r="A194" s="160"/>
      <c r="B194" s="160"/>
      <c r="C194" s="160"/>
      <c r="D194" s="161" t="str">
        <f t="shared" si="11"/>
        <v>#REF!</v>
      </c>
      <c r="E194" s="162" t="str">
        <f t="shared" si="12"/>
        <v>#REF!</v>
      </c>
      <c r="F194" s="160"/>
    </row>
    <row r="195">
      <c r="A195" s="160"/>
      <c r="B195" s="160"/>
      <c r="C195" s="160"/>
      <c r="D195" s="161" t="str">
        <f t="shared" si="11"/>
        <v>#REF!</v>
      </c>
      <c r="E195" s="162" t="str">
        <f t="shared" si="12"/>
        <v>#REF!</v>
      </c>
      <c r="F195" s="160"/>
    </row>
    <row r="196">
      <c r="A196" s="160"/>
      <c r="B196" s="160"/>
      <c r="C196" s="160"/>
      <c r="D196" s="161" t="str">
        <f t="shared" si="11"/>
        <v>#REF!</v>
      </c>
      <c r="E196" s="162" t="str">
        <f t="shared" si="12"/>
        <v>#REF!</v>
      </c>
      <c r="F196" s="160"/>
    </row>
    <row r="197">
      <c r="A197" s="160"/>
      <c r="B197" s="160"/>
      <c r="C197" s="160"/>
      <c r="D197" s="161" t="str">
        <f t="shared" si="11"/>
        <v>#REF!</v>
      </c>
      <c r="E197" s="162" t="str">
        <f t="shared" si="12"/>
        <v>#REF!</v>
      </c>
      <c r="F197" s="160"/>
    </row>
    <row r="198">
      <c r="A198" s="160"/>
      <c r="B198" s="160"/>
      <c r="C198" s="160"/>
      <c r="D198" s="161" t="str">
        <f t="shared" si="11"/>
        <v>#REF!</v>
      </c>
      <c r="E198" s="162" t="str">
        <f t="shared" si="12"/>
        <v>#REF!</v>
      </c>
      <c r="F198" s="160"/>
    </row>
    <row r="199">
      <c r="A199" s="160"/>
      <c r="B199" s="160"/>
      <c r="C199" s="160"/>
      <c r="D199" s="161" t="str">
        <f t="shared" si="11"/>
        <v>#REF!</v>
      </c>
      <c r="E199" s="162" t="str">
        <f t="shared" si="12"/>
        <v>#REF!</v>
      </c>
      <c r="F199" s="160"/>
    </row>
    <row r="200">
      <c r="A200" s="160"/>
      <c r="B200" s="160"/>
      <c r="C200" s="160"/>
      <c r="D200" s="161" t="str">
        <f t="shared" si="11"/>
        <v>#REF!</v>
      </c>
      <c r="E200" s="162" t="str">
        <f t="shared" si="12"/>
        <v>#REF!</v>
      </c>
      <c r="F200" s="160"/>
    </row>
    <row r="201">
      <c r="A201" s="160"/>
      <c r="B201" s="160"/>
      <c r="C201" s="160"/>
      <c r="D201" s="161" t="str">
        <f t="shared" si="11"/>
        <v>#REF!</v>
      </c>
      <c r="E201" s="162" t="str">
        <f t="shared" si="12"/>
        <v>#REF!</v>
      </c>
      <c r="F201" s="160"/>
    </row>
    <row r="202">
      <c r="A202" s="160"/>
      <c r="B202" s="160"/>
      <c r="C202" s="160"/>
      <c r="D202" s="161" t="str">
        <f t="shared" si="11"/>
        <v>#REF!</v>
      </c>
      <c r="E202" s="162" t="str">
        <f t="shared" si="12"/>
        <v>#REF!</v>
      </c>
      <c r="F202" s="160"/>
    </row>
    <row r="203">
      <c r="A203" s="160"/>
      <c r="B203" s="160"/>
      <c r="C203" s="160"/>
      <c r="D203" s="161" t="str">
        <f t="shared" si="11"/>
        <v>#REF!</v>
      </c>
      <c r="E203" s="162" t="str">
        <f t="shared" si="12"/>
        <v>#REF!</v>
      </c>
      <c r="F203" s="160"/>
    </row>
    <row r="204">
      <c r="A204" s="160"/>
      <c r="B204" s="160"/>
      <c r="C204" s="160"/>
      <c r="D204" s="161" t="str">
        <f t="shared" si="11"/>
        <v>#REF!</v>
      </c>
      <c r="E204" s="162" t="str">
        <f t="shared" si="12"/>
        <v>#REF!</v>
      </c>
      <c r="F204" s="160"/>
    </row>
    <row r="205">
      <c r="A205" s="160"/>
      <c r="B205" s="160"/>
      <c r="C205" s="160"/>
      <c r="D205" s="161" t="str">
        <f t="shared" si="11"/>
        <v>#REF!</v>
      </c>
      <c r="E205" s="162" t="str">
        <f t="shared" si="12"/>
        <v>#REF!</v>
      </c>
      <c r="F205" s="160"/>
    </row>
    <row r="206">
      <c r="A206" s="160"/>
      <c r="B206" s="160"/>
      <c r="C206" s="160"/>
      <c r="D206" s="161" t="str">
        <f t="shared" si="11"/>
        <v>#REF!</v>
      </c>
      <c r="E206" s="162" t="str">
        <f t="shared" si="12"/>
        <v>#REF!</v>
      </c>
      <c r="F206" s="160"/>
    </row>
    <row r="207">
      <c r="A207" s="160"/>
      <c r="B207" s="160"/>
      <c r="C207" s="160"/>
      <c r="D207" s="161" t="str">
        <f t="shared" si="11"/>
        <v>#REF!</v>
      </c>
      <c r="E207" s="162" t="str">
        <f t="shared" si="12"/>
        <v>#REF!</v>
      </c>
      <c r="F207" s="160"/>
    </row>
    <row r="208">
      <c r="A208" s="160"/>
      <c r="B208" s="160"/>
      <c r="C208" s="160"/>
      <c r="D208" s="161" t="str">
        <f t="shared" si="11"/>
        <v>#REF!</v>
      </c>
      <c r="E208" s="162" t="str">
        <f t="shared" si="12"/>
        <v>#REF!</v>
      </c>
      <c r="F208" s="160"/>
    </row>
    <row r="209">
      <c r="A209" s="160"/>
      <c r="B209" s="160"/>
      <c r="C209" s="160"/>
      <c r="D209" s="161" t="str">
        <f t="shared" si="11"/>
        <v>#REF!</v>
      </c>
      <c r="E209" s="162" t="str">
        <f t="shared" si="12"/>
        <v>#REF!</v>
      </c>
      <c r="F209" s="160"/>
    </row>
    <row r="210">
      <c r="A210" s="160"/>
      <c r="B210" s="160"/>
      <c r="C210" s="160"/>
      <c r="D210" s="161" t="str">
        <f t="shared" si="11"/>
        <v>#REF!</v>
      </c>
      <c r="E210" s="162" t="str">
        <f t="shared" si="12"/>
        <v>#REF!</v>
      </c>
      <c r="F210" s="160"/>
    </row>
    <row r="211">
      <c r="A211" s="160"/>
      <c r="B211" s="160"/>
      <c r="C211" s="160"/>
      <c r="D211" s="161" t="str">
        <f t="shared" si="11"/>
        <v>#REF!</v>
      </c>
      <c r="E211" s="162" t="str">
        <f t="shared" si="12"/>
        <v>#REF!</v>
      </c>
      <c r="F211" s="160"/>
    </row>
    <row r="212">
      <c r="A212" s="160"/>
      <c r="B212" s="160"/>
      <c r="C212" s="160"/>
      <c r="D212" s="161" t="str">
        <f t="shared" si="11"/>
        <v>#REF!</v>
      </c>
      <c r="E212" s="162" t="str">
        <f t="shared" si="12"/>
        <v>#REF!</v>
      </c>
      <c r="F212" s="160"/>
    </row>
    <row r="213">
      <c r="A213" s="160"/>
      <c r="B213" s="160"/>
      <c r="C213" s="160"/>
      <c r="D213" s="161" t="str">
        <f t="shared" si="11"/>
        <v>#REF!</v>
      </c>
      <c r="E213" s="162" t="str">
        <f t="shared" si="12"/>
        <v>#REF!</v>
      </c>
      <c r="F213" s="160"/>
    </row>
    <row r="214">
      <c r="A214" s="160"/>
      <c r="B214" s="160"/>
      <c r="C214" s="160"/>
      <c r="D214" s="161" t="str">
        <f t="shared" si="11"/>
        <v>#REF!</v>
      </c>
      <c r="E214" s="162" t="str">
        <f t="shared" si="12"/>
        <v>#REF!</v>
      </c>
      <c r="F214" s="160"/>
    </row>
    <row r="215">
      <c r="A215" s="160"/>
      <c r="B215" s="160"/>
      <c r="C215" s="160"/>
      <c r="D215" s="161" t="str">
        <f t="shared" si="11"/>
        <v>#REF!</v>
      </c>
      <c r="E215" s="162" t="str">
        <f t="shared" si="12"/>
        <v>#REF!</v>
      </c>
      <c r="F215" s="160"/>
    </row>
    <row r="216">
      <c r="A216" s="160"/>
      <c r="B216" s="160"/>
      <c r="C216" s="160"/>
      <c r="D216" s="161" t="str">
        <f t="shared" si="11"/>
        <v>#REF!</v>
      </c>
      <c r="E216" s="162" t="str">
        <f t="shared" si="12"/>
        <v>#REF!</v>
      </c>
      <c r="F216" s="160"/>
    </row>
    <row r="217">
      <c r="A217" s="160"/>
      <c r="B217" s="160"/>
      <c r="C217" s="160"/>
      <c r="D217" s="161" t="str">
        <f t="shared" si="11"/>
        <v>#REF!</v>
      </c>
      <c r="E217" s="162" t="str">
        <f t="shared" si="12"/>
        <v>#REF!</v>
      </c>
      <c r="F217" s="160"/>
    </row>
    <row r="218">
      <c r="A218" s="160"/>
      <c r="B218" s="160"/>
      <c r="C218" s="160"/>
      <c r="D218" s="161" t="str">
        <f t="shared" si="11"/>
        <v>#REF!</v>
      </c>
      <c r="E218" s="162" t="str">
        <f t="shared" si="12"/>
        <v>#REF!</v>
      </c>
      <c r="F218" s="160"/>
    </row>
    <row r="219">
      <c r="A219" s="160"/>
      <c r="B219" s="160"/>
      <c r="C219" s="160"/>
      <c r="D219" s="161" t="str">
        <f t="shared" si="11"/>
        <v>#REF!</v>
      </c>
      <c r="E219" s="162" t="str">
        <f t="shared" si="12"/>
        <v>#REF!</v>
      </c>
      <c r="F219" s="160"/>
    </row>
    <row r="220">
      <c r="A220" s="160"/>
      <c r="B220" s="160"/>
      <c r="C220" s="160"/>
      <c r="D220" s="161" t="str">
        <f t="shared" si="11"/>
        <v>#REF!</v>
      </c>
      <c r="E220" s="162" t="str">
        <f t="shared" si="12"/>
        <v>#REF!</v>
      </c>
      <c r="F220" s="160"/>
    </row>
    <row r="221">
      <c r="A221" s="160"/>
      <c r="B221" s="160"/>
      <c r="C221" s="160"/>
      <c r="D221" s="161" t="str">
        <f t="shared" si="11"/>
        <v>#REF!</v>
      </c>
      <c r="E221" s="162" t="str">
        <f t="shared" si="12"/>
        <v>#REF!</v>
      </c>
      <c r="F221" s="160"/>
    </row>
    <row r="222">
      <c r="A222" s="160"/>
      <c r="B222" s="160"/>
      <c r="C222" s="160"/>
      <c r="D222" s="161" t="str">
        <f t="shared" si="11"/>
        <v>#REF!</v>
      </c>
      <c r="E222" s="162" t="str">
        <f t="shared" si="12"/>
        <v>#REF!</v>
      </c>
      <c r="F222" s="160"/>
    </row>
    <row r="223">
      <c r="A223" s="160"/>
      <c r="B223" s="160"/>
      <c r="C223" s="160"/>
      <c r="D223" s="161" t="str">
        <f t="shared" si="11"/>
        <v>#REF!</v>
      </c>
      <c r="E223" s="162" t="str">
        <f t="shared" si="12"/>
        <v>#REF!</v>
      </c>
      <c r="F223" s="160"/>
    </row>
    <row r="224">
      <c r="A224" s="160"/>
      <c r="B224" s="160"/>
      <c r="C224" s="160"/>
      <c r="D224" s="161" t="str">
        <f t="shared" si="11"/>
        <v>#REF!</v>
      </c>
      <c r="E224" s="162" t="str">
        <f t="shared" si="12"/>
        <v>#REF!</v>
      </c>
      <c r="F224" s="160"/>
    </row>
    <row r="225">
      <c r="A225" s="160"/>
      <c r="B225" s="160"/>
      <c r="C225" s="160"/>
      <c r="D225" s="161" t="str">
        <f t="shared" si="11"/>
        <v>#REF!</v>
      </c>
      <c r="E225" s="162" t="str">
        <f t="shared" si="12"/>
        <v>#REF!</v>
      </c>
      <c r="F225" s="160"/>
    </row>
    <row r="226">
      <c r="A226" s="160"/>
      <c r="B226" s="160"/>
      <c r="C226" s="160"/>
      <c r="D226" s="161" t="str">
        <f t="shared" si="11"/>
        <v>#REF!</v>
      </c>
      <c r="E226" s="162" t="str">
        <f t="shared" si="12"/>
        <v>#REF!</v>
      </c>
      <c r="F226" s="160"/>
    </row>
    <row r="227">
      <c r="A227" s="160"/>
      <c r="B227" s="160"/>
      <c r="C227" s="160"/>
      <c r="D227" s="161" t="str">
        <f t="shared" si="11"/>
        <v>#REF!</v>
      </c>
      <c r="E227" s="162" t="str">
        <f t="shared" si="12"/>
        <v>#REF!</v>
      </c>
      <c r="F227" s="160"/>
    </row>
    <row r="228">
      <c r="A228" s="160"/>
      <c r="B228" s="160"/>
      <c r="C228" s="160"/>
      <c r="D228" s="161" t="str">
        <f t="shared" si="11"/>
        <v>#REF!</v>
      </c>
      <c r="E228" s="162" t="str">
        <f t="shared" si="12"/>
        <v>#REF!</v>
      </c>
      <c r="F228" s="160"/>
    </row>
    <row r="229">
      <c r="A229" s="160"/>
      <c r="B229" s="160"/>
      <c r="C229" s="160"/>
      <c r="D229" s="161" t="str">
        <f t="shared" si="11"/>
        <v>#REF!</v>
      </c>
      <c r="E229" s="162" t="str">
        <f t="shared" si="12"/>
        <v>#REF!</v>
      </c>
      <c r="F229" s="160"/>
    </row>
    <row r="230">
      <c r="A230" s="160"/>
      <c r="B230" s="160"/>
      <c r="C230" s="160"/>
      <c r="D230" s="161" t="str">
        <f t="shared" si="11"/>
        <v>#REF!</v>
      </c>
      <c r="E230" s="162" t="str">
        <f t="shared" si="12"/>
        <v>#REF!</v>
      </c>
      <c r="F230" s="160"/>
    </row>
    <row r="231">
      <c r="A231" s="160"/>
      <c r="B231" s="160"/>
      <c r="C231" s="160"/>
      <c r="D231" s="161" t="str">
        <f t="shared" si="11"/>
        <v>#REF!</v>
      </c>
      <c r="E231" s="162" t="str">
        <f t="shared" si="12"/>
        <v>#REF!</v>
      </c>
      <c r="F231" s="160"/>
    </row>
    <row r="232">
      <c r="A232" s="160"/>
      <c r="B232" s="160"/>
      <c r="C232" s="160"/>
      <c r="D232" s="161" t="str">
        <f t="shared" si="11"/>
        <v>#REF!</v>
      </c>
      <c r="E232" s="162" t="str">
        <f t="shared" si="12"/>
        <v>#REF!</v>
      </c>
      <c r="F232" s="160"/>
    </row>
    <row r="233">
      <c r="A233" s="160"/>
      <c r="B233" s="160"/>
      <c r="C233" s="160"/>
      <c r="D233" s="161" t="str">
        <f t="shared" si="11"/>
        <v>#REF!</v>
      </c>
      <c r="E233" s="162" t="str">
        <f t="shared" si="12"/>
        <v>#REF!</v>
      </c>
      <c r="F233" s="160"/>
    </row>
    <row r="234">
      <c r="A234" s="160"/>
      <c r="B234" s="160"/>
      <c r="C234" s="160"/>
      <c r="D234" s="161" t="str">
        <f t="shared" si="11"/>
        <v>#REF!</v>
      </c>
      <c r="E234" s="162" t="str">
        <f t="shared" si="12"/>
        <v>#REF!</v>
      </c>
      <c r="F234" s="160"/>
    </row>
    <row r="235">
      <c r="A235" s="160"/>
      <c r="B235" s="160"/>
      <c r="C235" s="160"/>
      <c r="D235" s="161" t="str">
        <f t="shared" si="11"/>
        <v>#REF!</v>
      </c>
      <c r="E235" s="162" t="str">
        <f t="shared" si="12"/>
        <v>#REF!</v>
      </c>
      <c r="F235" s="160"/>
    </row>
    <row r="236">
      <c r="A236" s="160"/>
      <c r="B236" s="160"/>
      <c r="C236" s="160"/>
      <c r="D236" s="161" t="str">
        <f t="shared" si="11"/>
        <v>#REF!</v>
      </c>
      <c r="E236" s="162" t="str">
        <f t="shared" si="12"/>
        <v>#REF!</v>
      </c>
      <c r="F236" s="160"/>
    </row>
    <row r="237">
      <c r="A237" s="160"/>
      <c r="B237" s="160"/>
      <c r="C237" s="160"/>
      <c r="D237" s="161" t="str">
        <f t="shared" si="11"/>
        <v>#REF!</v>
      </c>
      <c r="E237" s="162" t="str">
        <f t="shared" si="12"/>
        <v>#REF!</v>
      </c>
      <c r="F237" s="160"/>
    </row>
    <row r="238">
      <c r="A238" s="160"/>
      <c r="B238" s="160"/>
      <c r="C238" s="160"/>
      <c r="D238" s="161" t="str">
        <f t="shared" si="11"/>
        <v>#REF!</v>
      </c>
      <c r="E238" s="162" t="str">
        <f t="shared" si="12"/>
        <v>#REF!</v>
      </c>
      <c r="F238" s="160"/>
    </row>
    <row r="239">
      <c r="A239" s="160"/>
      <c r="B239" s="160"/>
      <c r="C239" s="160"/>
      <c r="D239" s="161" t="str">
        <f t="shared" si="11"/>
        <v>#REF!</v>
      </c>
      <c r="E239" s="162" t="str">
        <f t="shared" si="12"/>
        <v>#REF!</v>
      </c>
      <c r="F239" s="160"/>
    </row>
    <row r="240">
      <c r="A240" s="160"/>
      <c r="B240" s="160"/>
      <c r="C240" s="160"/>
      <c r="D240" s="161" t="str">
        <f t="shared" si="11"/>
        <v>#REF!</v>
      </c>
      <c r="E240" s="162" t="str">
        <f t="shared" si="12"/>
        <v>#REF!</v>
      </c>
      <c r="F240" s="160"/>
    </row>
    <row r="241">
      <c r="A241" s="160"/>
      <c r="B241" s="160"/>
      <c r="C241" s="160"/>
      <c r="D241" s="161" t="str">
        <f t="shared" si="11"/>
        <v>#REF!</v>
      </c>
      <c r="E241" s="162" t="str">
        <f t="shared" si="12"/>
        <v>#REF!</v>
      </c>
      <c r="F241" s="160"/>
    </row>
    <row r="242">
      <c r="A242" s="160"/>
      <c r="B242" s="160"/>
      <c r="C242" s="160"/>
      <c r="D242" s="161" t="str">
        <f t="shared" si="11"/>
        <v>#REF!</v>
      </c>
      <c r="E242" s="162" t="str">
        <f t="shared" si="12"/>
        <v>#REF!</v>
      </c>
      <c r="F242" s="160"/>
    </row>
    <row r="243">
      <c r="A243" s="160"/>
      <c r="B243" s="160"/>
      <c r="C243" s="160"/>
      <c r="D243" s="161" t="str">
        <f t="shared" si="11"/>
        <v>#REF!</v>
      </c>
      <c r="E243" s="162" t="str">
        <f t="shared" si="12"/>
        <v>#REF!</v>
      </c>
      <c r="F243" s="160"/>
    </row>
    <row r="244">
      <c r="A244" s="160"/>
      <c r="B244" s="160"/>
      <c r="C244" s="160"/>
      <c r="D244" s="161" t="str">
        <f t="shared" si="11"/>
        <v>#REF!</v>
      </c>
      <c r="E244" s="162" t="str">
        <f t="shared" si="12"/>
        <v>#REF!</v>
      </c>
      <c r="F244" s="160"/>
    </row>
    <row r="245">
      <c r="A245" s="160"/>
      <c r="B245" s="160"/>
      <c r="C245" s="160"/>
      <c r="D245" s="161" t="str">
        <f t="shared" si="11"/>
        <v>#REF!</v>
      </c>
      <c r="E245" s="162" t="str">
        <f t="shared" si="12"/>
        <v>#REF!</v>
      </c>
      <c r="F245" s="160"/>
    </row>
    <row r="246">
      <c r="A246" s="160"/>
      <c r="B246" s="160"/>
      <c r="C246" s="160"/>
      <c r="D246" s="161" t="str">
        <f t="shared" si="11"/>
        <v>#REF!</v>
      </c>
      <c r="E246" s="162" t="str">
        <f t="shared" si="12"/>
        <v>#REF!</v>
      </c>
      <c r="F246" s="160"/>
    </row>
    <row r="247">
      <c r="A247" s="160"/>
      <c r="B247" s="160"/>
      <c r="C247" s="160"/>
      <c r="D247" s="161" t="str">
        <f t="shared" si="11"/>
        <v>#REF!</v>
      </c>
      <c r="E247" s="162" t="str">
        <f t="shared" si="12"/>
        <v>#REF!</v>
      </c>
      <c r="F247" s="160"/>
    </row>
    <row r="248">
      <c r="A248" s="160"/>
      <c r="B248" s="160"/>
      <c r="C248" s="160"/>
      <c r="D248" s="161" t="str">
        <f t="shared" si="11"/>
        <v>#REF!</v>
      </c>
      <c r="E248" s="162" t="str">
        <f t="shared" si="12"/>
        <v>#REF!</v>
      </c>
      <c r="F248" s="160"/>
    </row>
    <row r="249">
      <c r="A249" s="160"/>
      <c r="B249" s="160"/>
      <c r="C249" s="160"/>
      <c r="D249" s="161" t="str">
        <f t="shared" si="11"/>
        <v>#REF!</v>
      </c>
      <c r="E249" s="162" t="str">
        <f t="shared" si="12"/>
        <v>#REF!</v>
      </c>
      <c r="F249" s="160"/>
    </row>
    <row r="250">
      <c r="A250" s="160"/>
      <c r="B250" s="160"/>
      <c r="C250" s="160"/>
      <c r="D250" s="161" t="str">
        <f t="shared" si="11"/>
        <v>#REF!</v>
      </c>
      <c r="E250" s="162" t="str">
        <f t="shared" si="12"/>
        <v>#REF!</v>
      </c>
      <c r="F250" s="160"/>
    </row>
    <row r="251">
      <c r="A251" s="160"/>
      <c r="B251" s="160"/>
      <c r="C251" s="160"/>
      <c r="D251" s="161" t="str">
        <f t="shared" si="11"/>
        <v>#REF!</v>
      </c>
      <c r="E251" s="162" t="str">
        <f t="shared" si="12"/>
        <v>#REF!</v>
      </c>
      <c r="F251" s="160"/>
    </row>
    <row r="252">
      <c r="A252" s="160"/>
      <c r="B252" s="160"/>
      <c r="C252" s="160"/>
      <c r="D252" s="161" t="str">
        <f t="shared" si="11"/>
        <v>#REF!</v>
      </c>
      <c r="E252" s="162" t="str">
        <f t="shared" si="12"/>
        <v>#REF!</v>
      </c>
      <c r="F252" s="160"/>
    </row>
    <row r="253">
      <c r="A253" s="160"/>
      <c r="B253" s="160"/>
      <c r="C253" s="160"/>
      <c r="D253" s="161" t="str">
        <f t="shared" si="11"/>
        <v>#REF!</v>
      </c>
      <c r="E253" s="162" t="str">
        <f t="shared" si="12"/>
        <v>#REF!</v>
      </c>
      <c r="F253" s="160"/>
    </row>
    <row r="254">
      <c r="A254" s="160"/>
      <c r="B254" s="160"/>
      <c r="C254" s="160"/>
      <c r="D254" s="161" t="str">
        <f t="shared" si="11"/>
        <v>#REF!</v>
      </c>
      <c r="E254" s="162" t="str">
        <f t="shared" si="12"/>
        <v>#REF!</v>
      </c>
      <c r="F254" s="160"/>
    </row>
    <row r="255">
      <c r="A255" s="160"/>
      <c r="B255" s="160"/>
      <c r="C255" s="160"/>
      <c r="D255" s="161" t="str">
        <f t="shared" si="11"/>
        <v>#REF!</v>
      </c>
      <c r="E255" s="162" t="str">
        <f t="shared" si="12"/>
        <v>#REF!</v>
      </c>
      <c r="F255" s="160"/>
    </row>
    <row r="256">
      <c r="A256" s="160"/>
      <c r="B256" s="160"/>
      <c r="C256" s="160"/>
      <c r="D256" s="161" t="str">
        <f t="shared" si="11"/>
        <v>#REF!</v>
      </c>
      <c r="E256" s="162" t="str">
        <f t="shared" si="12"/>
        <v>#REF!</v>
      </c>
      <c r="F256" s="160"/>
    </row>
    <row r="257">
      <c r="A257" s="160"/>
      <c r="B257" s="160"/>
      <c r="C257" s="160"/>
      <c r="D257" s="161" t="str">
        <f t="shared" si="11"/>
        <v>#REF!</v>
      </c>
      <c r="E257" s="162" t="str">
        <f t="shared" si="12"/>
        <v>#REF!</v>
      </c>
      <c r="F257" s="160"/>
    </row>
    <row r="258">
      <c r="A258" s="160"/>
      <c r="B258" s="160"/>
      <c r="C258" s="160"/>
      <c r="D258" s="161" t="str">
        <f t="shared" si="11"/>
        <v>#REF!</v>
      </c>
      <c r="E258" s="162" t="str">
        <f t="shared" si="12"/>
        <v>#REF!</v>
      </c>
      <c r="F258" s="160"/>
    </row>
    <row r="259">
      <c r="A259" s="160"/>
      <c r="B259" s="160"/>
      <c r="C259" s="160"/>
      <c r="D259" s="161" t="str">
        <f t="shared" si="11"/>
        <v>#REF!</v>
      </c>
      <c r="E259" s="162" t="str">
        <f t="shared" si="12"/>
        <v>#REF!</v>
      </c>
      <c r="F259" s="160"/>
    </row>
    <row r="260">
      <c r="A260" s="160"/>
      <c r="B260" s="160"/>
      <c r="C260" s="160"/>
      <c r="D260" s="161" t="str">
        <f t="shared" si="11"/>
        <v>#REF!</v>
      </c>
      <c r="E260" s="162" t="str">
        <f t="shared" si="12"/>
        <v>#REF!</v>
      </c>
      <c r="F260" s="160"/>
    </row>
    <row r="261">
      <c r="A261" s="160"/>
      <c r="B261" s="160"/>
      <c r="C261" s="160"/>
      <c r="D261" s="161" t="str">
        <f t="shared" si="11"/>
        <v>#REF!</v>
      </c>
      <c r="E261" s="162" t="str">
        <f t="shared" si="12"/>
        <v>#REF!</v>
      </c>
      <c r="F261" s="160"/>
    </row>
    <row r="262">
      <c r="A262" s="160"/>
      <c r="B262" s="160"/>
      <c r="C262" s="160"/>
      <c r="D262" s="161" t="str">
        <f t="shared" si="11"/>
        <v>#REF!</v>
      </c>
      <c r="E262" s="162" t="str">
        <f t="shared" si="12"/>
        <v>#REF!</v>
      </c>
      <c r="F262" s="160"/>
    </row>
    <row r="263">
      <c r="A263" s="160"/>
      <c r="B263" s="160"/>
      <c r="C263" s="160"/>
      <c r="D263" s="161" t="str">
        <f t="shared" si="11"/>
        <v>#REF!</v>
      </c>
      <c r="E263" s="162" t="str">
        <f t="shared" si="12"/>
        <v>#REF!</v>
      </c>
      <c r="F263" s="160"/>
    </row>
    <row r="264">
      <c r="A264" s="160"/>
      <c r="B264" s="160"/>
      <c r="C264" s="160"/>
      <c r="D264" s="161" t="str">
        <f t="shared" si="11"/>
        <v>#REF!</v>
      </c>
      <c r="E264" s="162" t="str">
        <f t="shared" si="12"/>
        <v>#REF!</v>
      </c>
      <c r="F264" s="160"/>
    </row>
    <row r="265">
      <c r="A265" s="160"/>
      <c r="B265" s="160"/>
      <c r="C265" s="160"/>
      <c r="D265" s="161" t="str">
        <f t="shared" si="11"/>
        <v>#REF!</v>
      </c>
      <c r="E265" s="162" t="str">
        <f t="shared" si="12"/>
        <v>#REF!</v>
      </c>
      <c r="F265" s="160"/>
    </row>
    <row r="266">
      <c r="A266" s="160"/>
      <c r="B266" s="160"/>
      <c r="C266" s="160"/>
      <c r="D266" s="161" t="str">
        <f t="shared" si="11"/>
        <v>#REF!</v>
      </c>
      <c r="E266" s="162" t="str">
        <f t="shared" si="12"/>
        <v>#REF!</v>
      </c>
      <c r="F266" s="160"/>
    </row>
    <row r="267">
      <c r="A267" s="160"/>
      <c r="B267" s="160"/>
      <c r="C267" s="160"/>
      <c r="D267" s="161" t="str">
        <f t="shared" si="11"/>
        <v>#REF!</v>
      </c>
      <c r="E267" s="162" t="str">
        <f t="shared" si="12"/>
        <v>#REF!</v>
      </c>
      <c r="F267" s="160"/>
    </row>
    <row r="268">
      <c r="A268" s="160"/>
      <c r="B268" s="160"/>
      <c r="C268" s="160"/>
      <c r="D268" s="161" t="str">
        <f t="shared" si="11"/>
        <v>#REF!</v>
      </c>
      <c r="E268" s="162" t="str">
        <f t="shared" si="12"/>
        <v>#REF!</v>
      </c>
      <c r="F268" s="160"/>
    </row>
    <row r="269">
      <c r="A269" s="160"/>
      <c r="B269" s="160"/>
      <c r="C269" s="160"/>
      <c r="D269" s="161" t="str">
        <f t="shared" si="11"/>
        <v>#REF!</v>
      </c>
      <c r="E269" s="162" t="str">
        <f t="shared" si="12"/>
        <v>#REF!</v>
      </c>
      <c r="F269" s="160"/>
    </row>
    <row r="270">
      <c r="A270" s="160"/>
      <c r="B270" s="160"/>
      <c r="C270" s="160"/>
      <c r="D270" s="161" t="str">
        <f t="shared" si="11"/>
        <v>#REF!</v>
      </c>
      <c r="E270" s="162" t="str">
        <f t="shared" si="12"/>
        <v>#REF!</v>
      </c>
      <c r="F270" s="160"/>
    </row>
    <row r="271">
      <c r="A271" s="160"/>
      <c r="B271" s="160"/>
      <c r="C271" s="160"/>
      <c r="D271" s="161" t="str">
        <f t="shared" si="11"/>
        <v>#REF!</v>
      </c>
      <c r="E271" s="162" t="str">
        <f t="shared" si="12"/>
        <v>#REF!</v>
      </c>
      <c r="F271" s="160"/>
    </row>
    <row r="272">
      <c r="A272" s="160"/>
      <c r="B272" s="160"/>
      <c r="C272" s="160"/>
      <c r="D272" s="161" t="str">
        <f t="shared" si="11"/>
        <v>#REF!</v>
      </c>
      <c r="E272" s="162" t="str">
        <f t="shared" si="12"/>
        <v>#REF!</v>
      </c>
      <c r="F272" s="160"/>
    </row>
    <row r="273">
      <c r="A273" s="160"/>
      <c r="B273" s="160"/>
      <c r="C273" s="160"/>
      <c r="D273" s="161" t="str">
        <f t="shared" si="11"/>
        <v>#REF!</v>
      </c>
      <c r="E273" s="162" t="str">
        <f t="shared" si="12"/>
        <v>#REF!</v>
      </c>
      <c r="F273" s="160"/>
    </row>
    <row r="274">
      <c r="A274" s="160"/>
      <c r="B274" s="160"/>
      <c r="C274" s="160"/>
      <c r="D274" s="161" t="str">
        <f t="shared" si="11"/>
        <v>#REF!</v>
      </c>
      <c r="E274" s="162" t="str">
        <f t="shared" si="12"/>
        <v>#REF!</v>
      </c>
      <c r="F274" s="160"/>
    </row>
    <row r="275">
      <c r="A275" s="160"/>
      <c r="B275" s="160"/>
      <c r="C275" s="160"/>
      <c r="D275" s="161" t="str">
        <f t="shared" si="11"/>
        <v>#REF!</v>
      </c>
      <c r="E275" s="162" t="str">
        <f t="shared" si="12"/>
        <v>#REF!</v>
      </c>
      <c r="F275" s="160"/>
    </row>
    <row r="276">
      <c r="A276" s="160"/>
      <c r="B276" s="160"/>
      <c r="C276" s="160"/>
      <c r="D276" s="161" t="str">
        <f t="shared" si="11"/>
        <v>#REF!</v>
      </c>
      <c r="E276" s="162" t="str">
        <f t="shared" si="12"/>
        <v>#REF!</v>
      </c>
      <c r="F276" s="160"/>
    </row>
    <row r="277">
      <c r="A277" s="160"/>
      <c r="B277" s="160"/>
      <c r="C277" s="160"/>
      <c r="D277" s="161" t="str">
        <f t="shared" si="11"/>
        <v>#REF!</v>
      </c>
      <c r="E277" s="162" t="str">
        <f t="shared" si="12"/>
        <v>#REF!</v>
      </c>
      <c r="F277" s="160"/>
    </row>
    <row r="278">
      <c r="A278" s="160"/>
      <c r="B278" s="160"/>
      <c r="C278" s="160"/>
      <c r="D278" s="161" t="str">
        <f t="shared" si="11"/>
        <v>#REF!</v>
      </c>
      <c r="E278" s="162" t="str">
        <f t="shared" si="12"/>
        <v>#REF!</v>
      </c>
      <c r="F278" s="160"/>
    </row>
    <row r="279">
      <c r="A279" s="160"/>
      <c r="B279" s="160"/>
      <c r="C279" s="160"/>
      <c r="D279" s="161" t="str">
        <f t="shared" si="11"/>
        <v>#REF!</v>
      </c>
      <c r="E279" s="162" t="str">
        <f t="shared" si="12"/>
        <v>#REF!</v>
      </c>
      <c r="F279" s="160"/>
    </row>
    <row r="280">
      <c r="A280" s="160"/>
      <c r="B280" s="160"/>
      <c r="C280" s="160"/>
      <c r="D280" s="161" t="str">
        <f t="shared" si="11"/>
        <v>#REF!</v>
      </c>
      <c r="E280" s="162" t="str">
        <f t="shared" si="12"/>
        <v>#REF!</v>
      </c>
      <c r="F280" s="160"/>
    </row>
    <row r="281">
      <c r="A281" s="160"/>
      <c r="B281" s="160"/>
      <c r="C281" s="160"/>
      <c r="D281" s="161" t="str">
        <f t="shared" si="11"/>
        <v>#REF!</v>
      </c>
      <c r="E281" s="162" t="str">
        <f t="shared" si="12"/>
        <v>#REF!</v>
      </c>
      <c r="F281" s="160"/>
    </row>
    <row r="282">
      <c r="A282" s="160"/>
      <c r="B282" s="160"/>
      <c r="C282" s="160"/>
      <c r="D282" s="161" t="str">
        <f t="shared" si="11"/>
        <v>#REF!</v>
      </c>
      <c r="E282" s="162" t="str">
        <f t="shared" si="12"/>
        <v>#REF!</v>
      </c>
      <c r="F282" s="160"/>
    </row>
    <row r="283">
      <c r="A283" s="160"/>
      <c r="B283" s="160"/>
      <c r="C283" s="160"/>
      <c r="D283" s="161" t="str">
        <f t="shared" si="11"/>
        <v>#REF!</v>
      </c>
      <c r="E283" s="162" t="str">
        <f t="shared" si="12"/>
        <v>#REF!</v>
      </c>
      <c r="F283" s="160"/>
    </row>
    <row r="284">
      <c r="A284" s="160"/>
      <c r="B284" s="160"/>
      <c r="C284" s="160"/>
      <c r="D284" s="161" t="str">
        <f t="shared" si="11"/>
        <v>#REF!</v>
      </c>
      <c r="E284" s="162" t="str">
        <f t="shared" si="12"/>
        <v>#REF!</v>
      </c>
      <c r="F284" s="160"/>
    </row>
    <row r="285">
      <c r="A285" s="160"/>
      <c r="B285" s="160"/>
      <c r="C285" s="160"/>
      <c r="D285" s="161" t="str">
        <f t="shared" si="11"/>
        <v>#REF!</v>
      </c>
      <c r="E285" s="162" t="str">
        <f t="shared" si="12"/>
        <v>#REF!</v>
      </c>
      <c r="F285" s="160"/>
    </row>
    <row r="286">
      <c r="A286" s="160"/>
      <c r="B286" s="160"/>
      <c r="C286" s="160"/>
      <c r="D286" s="161" t="str">
        <f t="shared" si="11"/>
        <v>#REF!</v>
      </c>
      <c r="E286" s="162" t="str">
        <f t="shared" si="12"/>
        <v>#REF!</v>
      </c>
      <c r="F286" s="160"/>
    </row>
    <row r="287">
      <c r="A287" s="160"/>
      <c r="B287" s="160"/>
      <c r="C287" s="160"/>
      <c r="D287" s="161" t="str">
        <f t="shared" si="11"/>
        <v>#REF!</v>
      </c>
      <c r="E287" s="162" t="str">
        <f t="shared" si="12"/>
        <v>#REF!</v>
      </c>
      <c r="F287" s="160"/>
    </row>
    <row r="288">
      <c r="A288" s="160"/>
      <c r="B288" s="160"/>
      <c r="C288" s="160"/>
      <c r="D288" s="161" t="str">
        <f t="shared" si="11"/>
        <v>#REF!</v>
      </c>
      <c r="E288" s="162" t="str">
        <f t="shared" si="12"/>
        <v>#REF!</v>
      </c>
      <c r="F288" s="160"/>
    </row>
    <row r="289">
      <c r="A289" s="160"/>
      <c r="B289" s="160"/>
      <c r="C289" s="160"/>
      <c r="D289" s="161" t="str">
        <f t="shared" si="11"/>
        <v>#REF!</v>
      </c>
      <c r="E289" s="162" t="str">
        <f t="shared" si="12"/>
        <v>#REF!</v>
      </c>
      <c r="F289" s="160"/>
    </row>
    <row r="290">
      <c r="A290" s="160"/>
      <c r="B290" s="160"/>
      <c r="C290" s="160"/>
      <c r="D290" s="161" t="str">
        <f t="shared" si="11"/>
        <v>#REF!</v>
      </c>
      <c r="E290" s="162" t="str">
        <f t="shared" si="12"/>
        <v>#REF!</v>
      </c>
      <c r="F290" s="160"/>
    </row>
    <row r="291">
      <c r="A291" s="160"/>
      <c r="B291" s="160"/>
      <c r="C291" s="160"/>
      <c r="D291" s="161" t="str">
        <f t="shared" si="11"/>
        <v>#REF!</v>
      </c>
      <c r="E291" s="162" t="str">
        <f t="shared" si="12"/>
        <v>#REF!</v>
      </c>
      <c r="F291" s="160"/>
    </row>
    <row r="292">
      <c r="A292" s="160"/>
      <c r="B292" s="160"/>
      <c r="C292" s="160"/>
      <c r="D292" s="161" t="str">
        <f t="shared" si="11"/>
        <v>#REF!</v>
      </c>
      <c r="E292" s="162" t="str">
        <f t="shared" si="12"/>
        <v>#REF!</v>
      </c>
      <c r="F292" s="160"/>
    </row>
    <row r="293">
      <c r="A293" s="160"/>
      <c r="B293" s="160"/>
      <c r="C293" s="160"/>
      <c r="D293" s="161" t="str">
        <f t="shared" si="11"/>
        <v>#REF!</v>
      </c>
      <c r="E293" s="162" t="str">
        <f t="shared" si="12"/>
        <v>#REF!</v>
      </c>
      <c r="F293" s="160"/>
    </row>
    <row r="294">
      <c r="A294" s="160"/>
      <c r="B294" s="160"/>
      <c r="C294" s="160"/>
      <c r="D294" s="161" t="str">
        <f t="shared" si="11"/>
        <v>#REF!</v>
      </c>
      <c r="E294" s="162" t="str">
        <f t="shared" si="12"/>
        <v>#REF!</v>
      </c>
      <c r="F294" s="160"/>
    </row>
    <row r="295">
      <c r="A295" s="160"/>
      <c r="B295" s="160"/>
      <c r="C295" s="160"/>
      <c r="D295" s="161" t="str">
        <f t="shared" si="11"/>
        <v>#REF!</v>
      </c>
      <c r="E295" s="162" t="str">
        <f t="shared" si="12"/>
        <v>#REF!</v>
      </c>
      <c r="F295" s="160"/>
    </row>
    <row r="296">
      <c r="A296" s="160"/>
      <c r="B296" s="160"/>
      <c r="C296" s="160"/>
      <c r="D296" s="161" t="str">
        <f t="shared" si="11"/>
        <v>#REF!</v>
      </c>
      <c r="E296" s="162" t="str">
        <f t="shared" si="12"/>
        <v>#REF!</v>
      </c>
      <c r="F296" s="160"/>
    </row>
    <row r="297">
      <c r="A297" s="160"/>
      <c r="B297" s="160"/>
      <c r="C297" s="160"/>
      <c r="D297" s="161" t="str">
        <f t="shared" si="11"/>
        <v>#REF!</v>
      </c>
      <c r="E297" s="160"/>
      <c r="F297" s="160"/>
    </row>
    <row r="298">
      <c r="A298" s="160"/>
      <c r="B298" s="160"/>
      <c r="C298" s="160"/>
      <c r="D298" s="161" t="str">
        <f t="shared" si="11"/>
        <v>#REF!</v>
      </c>
      <c r="E298" s="160"/>
      <c r="F298" s="160"/>
    </row>
    <row r="299">
      <c r="A299" s="160"/>
      <c r="B299" s="160"/>
      <c r="C299" s="160"/>
      <c r="D299" s="161" t="str">
        <f t="shared" si="11"/>
        <v>#REF!</v>
      </c>
      <c r="E299" s="160"/>
      <c r="F299" s="160"/>
    </row>
    <row r="300">
      <c r="A300" s="160"/>
      <c r="B300" s="160"/>
      <c r="C300" s="160"/>
      <c r="D300" s="161" t="str">
        <f t="shared" si="11"/>
        <v>#REF!</v>
      </c>
      <c r="E300" s="160"/>
      <c r="F300" s="160"/>
    </row>
    <row r="301">
      <c r="A301" s="160"/>
      <c r="B301" s="160"/>
      <c r="C301" s="160"/>
      <c r="D301" s="161" t="str">
        <f t="shared" si="11"/>
        <v>#REF!</v>
      </c>
      <c r="E301" s="160"/>
      <c r="F301" s="160"/>
    </row>
    <row r="302">
      <c r="A302" s="160"/>
      <c r="B302" s="160"/>
      <c r="C302" s="160"/>
      <c r="D302" s="161" t="str">
        <f t="shared" si="11"/>
        <v>#REF!</v>
      </c>
      <c r="E302" s="160"/>
      <c r="F302" s="160"/>
    </row>
    <row r="303">
      <c r="A303" s="160"/>
      <c r="B303" s="160"/>
      <c r="C303" s="160"/>
      <c r="D303" s="161" t="str">
        <f t="shared" si="11"/>
        <v>#REF!</v>
      </c>
      <c r="E303" s="160"/>
      <c r="F303" s="160"/>
    </row>
    <row r="304">
      <c r="A304" s="160"/>
      <c r="B304" s="160"/>
      <c r="C304" s="160"/>
      <c r="D304" s="161" t="str">
        <f t="shared" si="11"/>
        <v>#REF!</v>
      </c>
      <c r="E304" s="160"/>
      <c r="F304" s="160"/>
    </row>
    <row r="305">
      <c r="A305" s="160"/>
      <c r="B305" s="160"/>
      <c r="C305" s="160"/>
      <c r="D305" s="161" t="str">
        <f t="shared" si="11"/>
        <v>#REF!</v>
      </c>
      <c r="E305" s="160"/>
      <c r="F305" s="160"/>
    </row>
    <row r="306">
      <c r="A306" s="160"/>
      <c r="B306" s="160"/>
      <c r="C306" s="160"/>
      <c r="D306" s="161" t="str">
        <f t="shared" si="11"/>
        <v>#REF!</v>
      </c>
      <c r="E306" s="160"/>
      <c r="F306" s="160"/>
    </row>
    <row r="307">
      <c r="A307" s="160"/>
      <c r="B307" s="160"/>
      <c r="C307" s="160"/>
      <c r="D307" s="161" t="str">
        <f t="shared" si="11"/>
        <v>#REF!</v>
      </c>
      <c r="E307" s="160"/>
      <c r="F307" s="160"/>
    </row>
    <row r="308">
      <c r="A308" s="160"/>
      <c r="B308" s="160"/>
      <c r="C308" s="160"/>
      <c r="D308" s="161" t="str">
        <f t="shared" si="11"/>
        <v>#REF!</v>
      </c>
      <c r="E308" s="160"/>
      <c r="F308" s="160"/>
    </row>
    <row r="309">
      <c r="A309" s="160"/>
      <c r="B309" s="160"/>
      <c r="C309" s="160"/>
      <c r="D309" s="161" t="str">
        <f t="shared" si="11"/>
        <v>#REF!</v>
      </c>
      <c r="E309" s="160"/>
      <c r="F309" s="160"/>
    </row>
    <row r="310">
      <c r="A310" s="160"/>
      <c r="B310" s="160"/>
      <c r="C310" s="160"/>
      <c r="D310" s="161" t="str">
        <f t="shared" si="11"/>
        <v>#REF!</v>
      </c>
      <c r="E310" s="160"/>
      <c r="F310" s="160"/>
    </row>
    <row r="311">
      <c r="A311" s="160"/>
      <c r="B311" s="160"/>
      <c r="C311" s="160"/>
      <c r="D311" s="161" t="str">
        <f t="shared" si="11"/>
        <v>#REF!</v>
      </c>
      <c r="E311" s="160"/>
      <c r="F311" s="160"/>
    </row>
    <row r="312">
      <c r="A312" s="160"/>
      <c r="B312" s="160"/>
      <c r="C312" s="160"/>
      <c r="D312" s="161" t="str">
        <f t="shared" si="11"/>
        <v>#REF!</v>
      </c>
      <c r="E312" s="160"/>
      <c r="F312" s="160"/>
    </row>
    <row r="313">
      <c r="A313" s="160"/>
      <c r="B313" s="160"/>
      <c r="C313" s="160"/>
      <c r="D313" s="161" t="str">
        <f t="shared" si="11"/>
        <v>#REF!</v>
      </c>
      <c r="E313" s="160"/>
      <c r="F313" s="160"/>
    </row>
    <row r="314">
      <c r="A314" s="160"/>
      <c r="B314" s="160"/>
      <c r="C314" s="160"/>
      <c r="D314" s="161" t="str">
        <f t="shared" si="11"/>
        <v>#REF!</v>
      </c>
      <c r="E314" s="160"/>
      <c r="F314" s="160"/>
    </row>
    <row r="315">
      <c r="A315" s="160"/>
      <c r="B315" s="160"/>
      <c r="C315" s="160"/>
      <c r="D315" s="161" t="str">
        <f t="shared" si="11"/>
        <v>#REF!</v>
      </c>
      <c r="E315" s="160"/>
      <c r="F315" s="160"/>
    </row>
    <row r="316">
      <c r="A316" s="160"/>
      <c r="B316" s="160"/>
      <c r="C316" s="160"/>
      <c r="D316" s="161" t="str">
        <f t="shared" si="11"/>
        <v>#REF!</v>
      </c>
      <c r="E316" s="160"/>
      <c r="F316" s="160"/>
    </row>
    <row r="317">
      <c r="A317" s="160"/>
      <c r="B317" s="160"/>
      <c r="C317" s="160"/>
      <c r="D317" s="161" t="str">
        <f t="shared" si="11"/>
        <v>#REF!</v>
      </c>
      <c r="E317" s="160"/>
      <c r="F317" s="160"/>
    </row>
    <row r="318">
      <c r="A318" s="160"/>
      <c r="B318" s="160"/>
      <c r="C318" s="160"/>
      <c r="D318" s="161" t="str">
        <f t="shared" si="11"/>
        <v>#REF!</v>
      </c>
      <c r="E318" s="160"/>
      <c r="F318" s="160"/>
    </row>
    <row r="319">
      <c r="A319" s="160"/>
      <c r="B319" s="160"/>
      <c r="C319" s="160"/>
      <c r="D319" s="161" t="str">
        <f t="shared" si="11"/>
        <v>#REF!</v>
      </c>
      <c r="E319" s="160"/>
      <c r="F319" s="160"/>
    </row>
    <row r="320">
      <c r="A320" s="160"/>
      <c r="B320" s="160"/>
      <c r="C320" s="160"/>
      <c r="D320" s="161" t="str">
        <f t="shared" si="11"/>
        <v>#REF!</v>
      </c>
      <c r="E320" s="160"/>
      <c r="F320" s="160"/>
    </row>
    <row r="321">
      <c r="A321" s="160"/>
      <c r="B321" s="160"/>
      <c r="C321" s="160"/>
      <c r="D321" s="161" t="str">
        <f t="shared" si="11"/>
        <v>#REF!</v>
      </c>
      <c r="E321" s="160"/>
      <c r="F321" s="160"/>
    </row>
    <row r="322">
      <c r="A322" s="160"/>
      <c r="B322" s="160"/>
      <c r="C322" s="160"/>
      <c r="D322" s="161" t="str">
        <f t="shared" si="11"/>
        <v>#REF!</v>
      </c>
      <c r="E322" s="160"/>
      <c r="F322" s="160"/>
    </row>
    <row r="323">
      <c r="A323" s="160"/>
      <c r="B323" s="160"/>
      <c r="C323" s="160"/>
      <c r="D323" s="161" t="str">
        <f t="shared" si="11"/>
        <v>#REF!</v>
      </c>
      <c r="E323" s="160"/>
      <c r="F323" s="160"/>
    </row>
    <row r="324">
      <c r="A324" s="160"/>
      <c r="B324" s="160"/>
      <c r="C324" s="160"/>
      <c r="D324" s="161" t="str">
        <f t="shared" si="11"/>
        <v>#REF!</v>
      </c>
      <c r="E324" s="160"/>
      <c r="F324" s="160"/>
    </row>
    <row r="325">
      <c r="A325" s="160"/>
      <c r="B325" s="160"/>
      <c r="C325" s="160"/>
      <c r="D325" s="161" t="str">
        <f t="shared" si="11"/>
        <v>#REF!</v>
      </c>
      <c r="E325" s="160"/>
      <c r="F325" s="160"/>
    </row>
    <row r="326">
      <c r="A326" s="160"/>
      <c r="B326" s="160"/>
      <c r="C326" s="160"/>
      <c r="D326" s="161" t="str">
        <f t="shared" si="11"/>
        <v>#REF!</v>
      </c>
      <c r="E326" s="160"/>
      <c r="F326" s="160"/>
    </row>
    <row r="327">
      <c r="A327" s="160"/>
      <c r="B327" s="160"/>
      <c r="C327" s="160"/>
      <c r="D327" s="161" t="str">
        <f t="shared" si="11"/>
        <v>#REF!</v>
      </c>
      <c r="E327" s="160"/>
      <c r="F327" s="160"/>
    </row>
    <row r="328">
      <c r="A328" s="160"/>
      <c r="B328" s="160"/>
      <c r="C328" s="160"/>
      <c r="D328" s="161" t="str">
        <f t="shared" si="11"/>
        <v>#REF!</v>
      </c>
      <c r="E328" s="160"/>
      <c r="F328" s="160"/>
    </row>
    <row r="329">
      <c r="A329" s="160"/>
      <c r="B329" s="160"/>
      <c r="C329" s="160"/>
      <c r="D329" s="161" t="str">
        <f t="shared" si="11"/>
        <v>#REF!</v>
      </c>
      <c r="E329" s="160"/>
      <c r="F329" s="160"/>
    </row>
    <row r="330">
      <c r="A330" s="160"/>
      <c r="B330" s="160"/>
      <c r="C330" s="160"/>
      <c r="D330" s="161" t="str">
        <f t="shared" si="11"/>
        <v>#REF!</v>
      </c>
      <c r="E330" s="160"/>
      <c r="F330" s="160"/>
    </row>
    <row r="331">
      <c r="A331" s="160"/>
      <c r="B331" s="160"/>
      <c r="C331" s="160"/>
      <c r="D331" s="161" t="str">
        <f t="shared" si="11"/>
        <v>#REF!</v>
      </c>
      <c r="E331" s="160"/>
      <c r="F331" s="160"/>
    </row>
    <row r="332">
      <c r="A332" s="160"/>
      <c r="B332" s="160"/>
      <c r="C332" s="160"/>
      <c r="D332" s="161" t="str">
        <f t="shared" si="11"/>
        <v>#REF!</v>
      </c>
      <c r="E332" s="160"/>
      <c r="F332" s="160"/>
    </row>
    <row r="333">
      <c r="A333" s="160"/>
      <c r="B333" s="160"/>
      <c r="C333" s="160"/>
      <c r="D333" s="161" t="str">
        <f t="shared" si="11"/>
        <v>#REF!</v>
      </c>
      <c r="E333" s="160"/>
      <c r="F333" s="160"/>
    </row>
    <row r="334">
      <c r="A334" s="160"/>
      <c r="B334" s="160"/>
      <c r="C334" s="160"/>
      <c r="D334" s="161" t="str">
        <f t="shared" si="11"/>
        <v>#REF!</v>
      </c>
      <c r="E334" s="160"/>
      <c r="F334" s="160"/>
    </row>
    <row r="335">
      <c r="A335" s="160"/>
      <c r="B335" s="160"/>
      <c r="C335" s="160"/>
      <c r="D335" s="161" t="str">
        <f t="shared" si="11"/>
        <v>#REF!</v>
      </c>
      <c r="E335" s="160"/>
      <c r="F335" s="160"/>
    </row>
    <row r="336">
      <c r="A336" s="160"/>
      <c r="B336" s="160"/>
      <c r="C336" s="160"/>
      <c r="D336" s="161" t="str">
        <f t="shared" si="11"/>
        <v>#REF!</v>
      </c>
      <c r="E336" s="160"/>
      <c r="F336" s="160"/>
    </row>
    <row r="337">
      <c r="A337" s="160"/>
      <c r="B337" s="160"/>
      <c r="C337" s="160"/>
      <c r="D337" s="161" t="str">
        <f t="shared" si="11"/>
        <v>#REF!</v>
      </c>
      <c r="E337" s="160"/>
      <c r="F337" s="160"/>
    </row>
    <row r="338">
      <c r="A338" s="160"/>
      <c r="B338" s="160"/>
      <c r="C338" s="160"/>
      <c r="D338" s="161" t="str">
        <f t="shared" si="11"/>
        <v>#REF!</v>
      </c>
      <c r="E338" s="160"/>
      <c r="F338" s="160"/>
    </row>
    <row r="339">
      <c r="A339" s="160"/>
      <c r="B339" s="160"/>
      <c r="C339" s="160"/>
      <c r="D339" s="161" t="str">
        <f t="shared" si="11"/>
        <v>#REF!</v>
      </c>
      <c r="E339" s="160"/>
      <c r="F339" s="160"/>
    </row>
    <row r="340">
      <c r="A340" s="160"/>
      <c r="B340" s="160"/>
      <c r="C340" s="160"/>
      <c r="D340" s="161" t="str">
        <f t="shared" si="11"/>
        <v>#REF!</v>
      </c>
      <c r="E340" s="160"/>
      <c r="F340" s="160"/>
    </row>
    <row r="341">
      <c r="A341" s="160"/>
      <c r="B341" s="160"/>
      <c r="C341" s="160"/>
      <c r="D341" s="161" t="str">
        <f t="shared" si="11"/>
        <v>#REF!</v>
      </c>
      <c r="E341" s="160"/>
      <c r="F341" s="160"/>
    </row>
    <row r="342">
      <c r="A342" s="160"/>
      <c r="B342" s="160"/>
      <c r="C342" s="160"/>
      <c r="D342" s="161" t="str">
        <f t="shared" si="11"/>
        <v>#REF!</v>
      </c>
      <c r="E342" s="160"/>
      <c r="F342" s="160"/>
    </row>
    <row r="343">
      <c r="A343" s="160"/>
      <c r="B343" s="160"/>
      <c r="C343" s="160"/>
      <c r="D343" s="161" t="str">
        <f t="shared" si="11"/>
        <v>#REF!</v>
      </c>
      <c r="E343" s="160"/>
      <c r="F343" s="160"/>
    </row>
    <row r="344">
      <c r="A344" s="160"/>
      <c r="B344" s="160"/>
      <c r="C344" s="160"/>
      <c r="D344" s="161" t="str">
        <f t="shared" si="11"/>
        <v>#REF!</v>
      </c>
      <c r="E344" s="160"/>
      <c r="F344" s="160"/>
    </row>
    <row r="345">
      <c r="A345" s="160"/>
      <c r="B345" s="160"/>
      <c r="C345" s="160"/>
      <c r="D345" s="161" t="str">
        <f t="shared" si="11"/>
        <v>#REF!</v>
      </c>
      <c r="E345" s="160"/>
      <c r="F345" s="160"/>
    </row>
    <row r="346">
      <c r="A346" s="160"/>
      <c r="B346" s="160"/>
      <c r="C346" s="160"/>
      <c r="D346" s="161" t="str">
        <f t="shared" si="11"/>
        <v>#REF!</v>
      </c>
      <c r="E346" s="160"/>
      <c r="F346" s="160"/>
    </row>
    <row r="347">
      <c r="A347" s="160"/>
      <c r="B347" s="160"/>
      <c r="C347" s="160"/>
      <c r="D347" s="161" t="str">
        <f t="shared" si="11"/>
        <v>#REF!</v>
      </c>
      <c r="E347" s="160"/>
      <c r="F347" s="160"/>
    </row>
    <row r="348">
      <c r="A348" s="160"/>
      <c r="B348" s="160"/>
      <c r="C348" s="160"/>
      <c r="D348" s="161" t="str">
        <f t="shared" si="11"/>
        <v>#REF!</v>
      </c>
      <c r="E348" s="160"/>
      <c r="F348" s="160"/>
    </row>
    <row r="349">
      <c r="A349" s="160"/>
      <c r="B349" s="160"/>
      <c r="C349" s="160"/>
      <c r="D349" s="161" t="str">
        <f t="shared" si="11"/>
        <v>#REF!</v>
      </c>
      <c r="E349" s="160"/>
      <c r="F349" s="160"/>
    </row>
    <row r="350">
      <c r="A350" s="160"/>
      <c r="B350" s="160"/>
      <c r="C350" s="160"/>
      <c r="D350" s="161" t="str">
        <f t="shared" si="11"/>
        <v>#REF!</v>
      </c>
      <c r="E350" s="160"/>
      <c r="F350" s="160"/>
    </row>
    <row r="351">
      <c r="A351" s="160"/>
      <c r="B351" s="160"/>
      <c r="C351" s="160"/>
      <c r="D351" s="161" t="str">
        <f t="shared" si="11"/>
        <v>#REF!</v>
      </c>
      <c r="E351" s="160"/>
      <c r="F351" s="160"/>
    </row>
    <row r="352">
      <c r="A352" s="160"/>
      <c r="B352" s="160"/>
      <c r="C352" s="160"/>
      <c r="D352" s="161" t="str">
        <f t="shared" si="11"/>
        <v>#REF!</v>
      </c>
      <c r="E352" s="160"/>
      <c r="F352" s="160"/>
    </row>
    <row r="353">
      <c r="A353" s="160"/>
      <c r="B353" s="160"/>
      <c r="C353" s="160"/>
      <c r="D353" s="161" t="str">
        <f t="shared" si="11"/>
        <v>#REF!</v>
      </c>
      <c r="E353" s="160"/>
      <c r="F353" s="160"/>
    </row>
    <row r="354">
      <c r="A354" s="160"/>
      <c r="B354" s="160"/>
      <c r="C354" s="160"/>
      <c r="D354" s="161" t="str">
        <f t="shared" si="11"/>
        <v>#REF!</v>
      </c>
      <c r="E354" s="160"/>
      <c r="F354" s="160"/>
    </row>
    <row r="355">
      <c r="A355" s="160"/>
      <c r="B355" s="160"/>
      <c r="C355" s="160"/>
      <c r="D355" s="161" t="str">
        <f t="shared" si="11"/>
        <v>#REF!</v>
      </c>
      <c r="E355" s="160"/>
      <c r="F355" s="160"/>
    </row>
    <row r="356">
      <c r="A356" s="160"/>
      <c r="B356" s="160"/>
      <c r="C356" s="160"/>
      <c r="D356" s="161" t="str">
        <f t="shared" si="11"/>
        <v>#REF!</v>
      </c>
      <c r="E356" s="160"/>
      <c r="F356" s="160"/>
    </row>
    <row r="357">
      <c r="A357" s="160"/>
      <c r="B357" s="160"/>
      <c r="C357" s="160"/>
      <c r="D357" s="161" t="str">
        <f t="shared" si="11"/>
        <v>#REF!</v>
      </c>
      <c r="E357" s="160"/>
      <c r="F357" s="160"/>
    </row>
    <row r="358">
      <c r="A358" s="160"/>
      <c r="B358" s="160"/>
      <c r="C358" s="160"/>
      <c r="D358" s="161" t="str">
        <f t="shared" si="11"/>
        <v>#REF!</v>
      </c>
      <c r="E358" s="160"/>
      <c r="F358" s="160"/>
    </row>
    <row r="359">
      <c r="A359" s="160"/>
      <c r="B359" s="160"/>
      <c r="C359" s="160"/>
      <c r="D359" s="161" t="str">
        <f t="shared" si="11"/>
        <v>#REF!</v>
      </c>
      <c r="E359" s="160"/>
      <c r="F359" s="160"/>
    </row>
    <row r="360">
      <c r="A360" s="160"/>
      <c r="B360" s="160"/>
      <c r="C360" s="160"/>
      <c r="D360" s="161" t="str">
        <f t="shared" si="11"/>
        <v>#REF!</v>
      </c>
      <c r="E360" s="160"/>
      <c r="F360" s="160"/>
    </row>
    <row r="361">
      <c r="A361" s="160"/>
      <c r="B361" s="160"/>
      <c r="C361" s="160"/>
      <c r="D361" s="161" t="str">
        <f t="shared" si="11"/>
        <v>#REF!</v>
      </c>
      <c r="E361" s="160"/>
      <c r="F361" s="160"/>
    </row>
    <row r="362">
      <c r="A362" s="160"/>
      <c r="B362" s="160"/>
      <c r="C362" s="160"/>
      <c r="D362" s="161" t="str">
        <f t="shared" si="11"/>
        <v>#REF!</v>
      </c>
      <c r="E362" s="160"/>
      <c r="F362" s="160"/>
    </row>
    <row r="363">
      <c r="A363" s="160"/>
      <c r="B363" s="160"/>
      <c r="C363" s="160"/>
      <c r="D363" s="161" t="str">
        <f t="shared" si="11"/>
        <v>#REF!</v>
      </c>
      <c r="E363" s="160"/>
      <c r="F363" s="160"/>
    </row>
    <row r="364">
      <c r="A364" s="160"/>
      <c r="B364" s="160"/>
      <c r="C364" s="160"/>
      <c r="D364" s="161" t="str">
        <f t="shared" si="11"/>
        <v>#REF!</v>
      </c>
      <c r="E364" s="160"/>
      <c r="F364" s="160"/>
    </row>
    <row r="365">
      <c r="A365" s="160"/>
      <c r="B365" s="160"/>
      <c r="C365" s="160"/>
      <c r="D365" s="161" t="str">
        <f t="shared" si="11"/>
        <v>#REF!</v>
      </c>
      <c r="E365" s="160"/>
      <c r="F365" s="160"/>
    </row>
    <row r="366">
      <c r="A366" s="160"/>
      <c r="B366" s="160"/>
      <c r="C366" s="160"/>
      <c r="D366" s="161" t="str">
        <f t="shared" si="11"/>
        <v>#REF!</v>
      </c>
      <c r="E366" s="160"/>
      <c r="F366" s="160"/>
    </row>
    <row r="367">
      <c r="A367" s="160"/>
      <c r="B367" s="160"/>
      <c r="C367" s="160"/>
      <c r="D367" s="161" t="str">
        <f t="shared" si="11"/>
        <v>#REF!</v>
      </c>
      <c r="E367" s="160"/>
      <c r="F367" s="160"/>
    </row>
    <row r="368">
      <c r="A368" s="160"/>
      <c r="B368" s="160"/>
      <c r="C368" s="160"/>
      <c r="D368" s="161" t="str">
        <f t="shared" si="11"/>
        <v>#REF!</v>
      </c>
      <c r="E368" s="160"/>
      <c r="F368" s="160"/>
    </row>
    <row r="369">
      <c r="A369" s="160"/>
      <c r="B369" s="160"/>
      <c r="C369" s="160"/>
      <c r="D369" s="161" t="str">
        <f t="shared" si="11"/>
        <v>#REF!</v>
      </c>
      <c r="E369" s="160"/>
      <c r="F369" s="160"/>
    </row>
    <row r="370">
      <c r="A370" s="160"/>
      <c r="B370" s="160"/>
      <c r="C370" s="160"/>
      <c r="D370" s="161" t="str">
        <f t="shared" si="11"/>
        <v>#REF!</v>
      </c>
      <c r="E370" s="160"/>
      <c r="F370" s="160"/>
    </row>
    <row r="371">
      <c r="A371" s="160"/>
      <c r="B371" s="160"/>
      <c r="C371" s="160"/>
      <c r="D371" s="161" t="str">
        <f t="shared" si="11"/>
        <v>#REF!</v>
      </c>
      <c r="E371" s="160"/>
      <c r="F371" s="160"/>
    </row>
    <row r="372">
      <c r="A372" s="160"/>
      <c r="B372" s="160"/>
      <c r="C372" s="160"/>
      <c r="D372" s="161" t="str">
        <f t="shared" si="11"/>
        <v>#REF!</v>
      </c>
      <c r="E372" s="160"/>
      <c r="F372" s="160"/>
    </row>
    <row r="373">
      <c r="A373" s="160"/>
      <c r="B373" s="160"/>
      <c r="C373" s="160"/>
      <c r="D373" s="161" t="str">
        <f t="shared" si="11"/>
        <v>#REF!</v>
      </c>
      <c r="E373" s="160"/>
      <c r="F373" s="160"/>
    </row>
    <row r="374">
      <c r="A374" s="160"/>
      <c r="B374" s="160"/>
      <c r="C374" s="160"/>
      <c r="D374" s="161" t="str">
        <f t="shared" si="11"/>
        <v>#REF!</v>
      </c>
      <c r="E374" s="160"/>
      <c r="F374" s="160"/>
    </row>
    <row r="375">
      <c r="A375" s="160"/>
      <c r="B375" s="160"/>
      <c r="C375" s="160"/>
      <c r="D375" s="161" t="str">
        <f t="shared" si="11"/>
        <v>#REF!</v>
      </c>
      <c r="E375" s="160"/>
      <c r="F375" s="160"/>
    </row>
    <row r="376">
      <c r="A376" s="160"/>
      <c r="B376" s="160"/>
      <c r="C376" s="160"/>
      <c r="D376" s="161" t="str">
        <f t="shared" si="11"/>
        <v>#REF!</v>
      </c>
      <c r="E376" s="160"/>
      <c r="F376" s="160"/>
    </row>
    <row r="377">
      <c r="A377" s="160"/>
      <c r="B377" s="160"/>
      <c r="C377" s="160"/>
      <c r="D377" s="161" t="str">
        <f t="shared" si="11"/>
        <v>#REF!</v>
      </c>
      <c r="E377" s="160"/>
      <c r="F377" s="160"/>
    </row>
    <row r="378">
      <c r="A378" s="160"/>
      <c r="B378" s="160"/>
      <c r="C378" s="160"/>
      <c r="D378" s="161" t="str">
        <f t="shared" si="11"/>
        <v>#REF!</v>
      </c>
      <c r="E378" s="160"/>
      <c r="F378" s="160"/>
    </row>
    <row r="379">
      <c r="A379" s="160"/>
      <c r="B379" s="160"/>
      <c r="C379" s="160"/>
      <c r="D379" s="161" t="str">
        <f t="shared" si="11"/>
        <v>#REF!</v>
      </c>
      <c r="E379" s="160"/>
      <c r="F379" s="160"/>
    </row>
    <row r="380">
      <c r="A380" s="160"/>
      <c r="B380" s="160"/>
      <c r="C380" s="160"/>
      <c r="D380" s="161" t="str">
        <f t="shared" si="11"/>
        <v>#REF!</v>
      </c>
      <c r="E380" s="160"/>
      <c r="F380" s="160"/>
    </row>
    <row r="381">
      <c r="A381" s="160"/>
      <c r="B381" s="160"/>
      <c r="C381" s="160"/>
      <c r="D381" s="161" t="str">
        <f t="shared" si="11"/>
        <v>#REF!</v>
      </c>
      <c r="E381" s="160"/>
      <c r="F381" s="160"/>
    </row>
    <row r="382">
      <c r="A382" s="160"/>
      <c r="B382" s="160"/>
      <c r="C382" s="160"/>
      <c r="D382" s="161" t="str">
        <f t="shared" si="11"/>
        <v>#REF!</v>
      </c>
      <c r="E382" s="160"/>
      <c r="F382" s="160"/>
    </row>
    <row r="383">
      <c r="A383" s="160"/>
      <c r="B383" s="160"/>
      <c r="C383" s="160"/>
      <c r="D383" s="161" t="str">
        <f t="shared" si="11"/>
        <v>#REF!</v>
      </c>
      <c r="E383" s="160"/>
      <c r="F383" s="160"/>
    </row>
    <row r="384">
      <c r="A384" s="160"/>
      <c r="B384" s="160"/>
      <c r="C384" s="160"/>
      <c r="D384" s="161" t="str">
        <f t="shared" si="11"/>
        <v>#REF!</v>
      </c>
      <c r="E384" s="160"/>
      <c r="F384" s="160"/>
    </row>
    <row r="385">
      <c r="A385" s="160"/>
      <c r="B385" s="160"/>
      <c r="C385" s="160"/>
      <c r="D385" s="161" t="str">
        <f t="shared" si="11"/>
        <v>#REF!</v>
      </c>
      <c r="E385" s="160"/>
      <c r="F385" s="160"/>
    </row>
    <row r="386">
      <c r="A386" s="160"/>
      <c r="B386" s="160"/>
      <c r="C386" s="160"/>
      <c r="D386" s="161" t="str">
        <f t="shared" si="11"/>
        <v>#REF!</v>
      </c>
      <c r="E386" s="160"/>
      <c r="F386" s="160"/>
    </row>
    <row r="387">
      <c r="A387" s="160"/>
      <c r="B387" s="160"/>
      <c r="C387" s="160"/>
      <c r="D387" s="161" t="str">
        <f t="shared" si="11"/>
        <v>#REF!</v>
      </c>
      <c r="E387" s="160"/>
      <c r="F387" s="160"/>
    </row>
    <row r="388">
      <c r="A388" s="160"/>
      <c r="B388" s="160"/>
      <c r="C388" s="160"/>
      <c r="D388" s="161" t="str">
        <f t="shared" si="11"/>
        <v>#REF!</v>
      </c>
      <c r="E388" s="160"/>
      <c r="F388" s="160"/>
    </row>
    <row r="389">
      <c r="A389" s="160"/>
      <c r="B389" s="160"/>
      <c r="C389" s="160"/>
      <c r="D389" s="161" t="str">
        <f t="shared" si="11"/>
        <v>#REF!</v>
      </c>
      <c r="E389" s="160"/>
      <c r="F389" s="160"/>
    </row>
    <row r="390">
      <c r="A390" s="160"/>
      <c r="B390" s="160"/>
      <c r="C390" s="160"/>
      <c r="D390" s="161" t="str">
        <f t="shared" si="11"/>
        <v>#REF!</v>
      </c>
      <c r="E390" s="160"/>
      <c r="F390" s="160"/>
    </row>
    <row r="391">
      <c r="A391" s="160"/>
      <c r="B391" s="160"/>
      <c r="C391" s="160"/>
      <c r="D391" s="161" t="str">
        <f t="shared" si="11"/>
        <v>#REF!</v>
      </c>
      <c r="E391" s="160"/>
      <c r="F391" s="160"/>
    </row>
    <row r="392">
      <c r="A392" s="160"/>
      <c r="B392" s="160"/>
      <c r="C392" s="160"/>
      <c r="D392" s="161" t="str">
        <f t="shared" si="11"/>
        <v>#REF!</v>
      </c>
      <c r="E392" s="160"/>
      <c r="F392" s="160"/>
    </row>
    <row r="393">
      <c r="A393" s="160"/>
      <c r="B393" s="160"/>
      <c r="C393" s="160"/>
      <c r="D393" s="161" t="str">
        <f t="shared" si="11"/>
        <v>#REF!</v>
      </c>
      <c r="E393" s="160"/>
      <c r="F393" s="160"/>
    </row>
    <row r="394">
      <c r="A394" s="160"/>
      <c r="B394" s="160"/>
      <c r="C394" s="160"/>
      <c r="D394" s="161" t="str">
        <f t="shared" si="11"/>
        <v>#REF!</v>
      </c>
      <c r="E394" s="160"/>
      <c r="F394" s="160"/>
    </row>
    <row r="395">
      <c r="A395" s="160"/>
      <c r="B395" s="160"/>
      <c r="C395" s="160"/>
      <c r="D395" s="161" t="str">
        <f t="shared" si="11"/>
        <v>#REF!</v>
      </c>
      <c r="E395" s="160"/>
      <c r="F395" s="160"/>
    </row>
    <row r="396">
      <c r="A396" s="160"/>
      <c r="B396" s="160"/>
      <c r="C396" s="160"/>
      <c r="D396" s="161" t="str">
        <f t="shared" si="11"/>
        <v>#REF!</v>
      </c>
      <c r="E396" s="160"/>
      <c r="F396" s="160"/>
    </row>
    <row r="397">
      <c r="A397" s="160"/>
      <c r="B397" s="160"/>
      <c r="C397" s="160"/>
      <c r="D397" s="161" t="str">
        <f t="shared" si="11"/>
        <v>#REF!</v>
      </c>
      <c r="E397" s="160"/>
      <c r="F397" s="160"/>
    </row>
    <row r="398">
      <c r="A398" s="160"/>
      <c r="B398" s="160"/>
      <c r="C398" s="160"/>
      <c r="D398" s="161" t="str">
        <f t="shared" si="11"/>
        <v>#REF!</v>
      </c>
      <c r="E398" s="160"/>
      <c r="F398" s="160"/>
    </row>
    <row r="399">
      <c r="A399" s="160"/>
      <c r="B399" s="160"/>
      <c r="C399" s="160"/>
      <c r="D399" s="161" t="str">
        <f t="shared" si="11"/>
        <v>#REF!</v>
      </c>
      <c r="E399" s="160"/>
      <c r="F399" s="160"/>
    </row>
    <row r="400">
      <c r="A400" s="160"/>
      <c r="B400" s="160"/>
      <c r="C400" s="160"/>
      <c r="D400" s="161" t="str">
        <f t="shared" si="11"/>
        <v>#REF!</v>
      </c>
      <c r="E400" s="160"/>
      <c r="F400" s="160"/>
    </row>
    <row r="401">
      <c r="A401" s="160"/>
      <c r="B401" s="160"/>
      <c r="C401" s="160"/>
      <c r="D401" s="161" t="str">
        <f t="shared" si="11"/>
        <v>#REF!</v>
      </c>
      <c r="E401" s="160"/>
      <c r="F401" s="160"/>
    </row>
    <row r="402">
      <c r="A402" s="160"/>
      <c r="B402" s="160"/>
      <c r="C402" s="160"/>
      <c r="D402" s="161" t="str">
        <f t="shared" si="11"/>
        <v>#REF!</v>
      </c>
      <c r="E402" s="160"/>
      <c r="F402" s="160"/>
    </row>
    <row r="403">
      <c r="A403" s="160"/>
      <c r="B403" s="160"/>
      <c r="C403" s="160"/>
      <c r="D403" s="161" t="str">
        <f t="shared" si="11"/>
        <v>#REF!</v>
      </c>
      <c r="E403" s="160"/>
      <c r="F403" s="160"/>
    </row>
    <row r="404">
      <c r="A404" s="160"/>
      <c r="B404" s="160"/>
      <c r="C404" s="160"/>
      <c r="D404" s="161" t="str">
        <f t="shared" si="11"/>
        <v>#REF!</v>
      </c>
      <c r="E404" s="160"/>
      <c r="F404" s="160"/>
    </row>
    <row r="405">
      <c r="A405" s="160"/>
      <c r="B405" s="160"/>
      <c r="C405" s="160"/>
      <c r="D405" s="161" t="str">
        <f t="shared" si="11"/>
        <v>#REF!</v>
      </c>
      <c r="E405" s="160"/>
      <c r="F405" s="160"/>
    </row>
    <row r="406">
      <c r="A406" s="160"/>
      <c r="B406" s="160"/>
      <c r="C406" s="160"/>
      <c r="D406" s="161" t="str">
        <f t="shared" si="11"/>
        <v>#REF!</v>
      </c>
      <c r="E406" s="160"/>
      <c r="F406" s="160"/>
    </row>
    <row r="407">
      <c r="A407" s="160"/>
      <c r="B407" s="160"/>
      <c r="C407" s="160"/>
      <c r="D407" s="161" t="str">
        <f t="shared" si="11"/>
        <v>#REF!</v>
      </c>
      <c r="E407" s="160"/>
      <c r="F407" s="160"/>
    </row>
    <row r="408">
      <c r="A408" s="160"/>
      <c r="B408" s="160"/>
      <c r="C408" s="160"/>
      <c r="D408" s="161" t="str">
        <f t="shared" si="11"/>
        <v>#REF!</v>
      </c>
      <c r="E408" s="160"/>
      <c r="F408" s="160"/>
    </row>
    <row r="409">
      <c r="A409" s="160"/>
      <c r="B409" s="160"/>
      <c r="C409" s="160"/>
      <c r="D409" s="161"/>
      <c r="E409" s="160"/>
      <c r="F409" s="160"/>
    </row>
    <row r="410">
      <c r="A410" s="160"/>
      <c r="B410" s="160"/>
      <c r="C410" s="160"/>
      <c r="D410" s="161"/>
      <c r="E410" s="160"/>
      <c r="F410" s="160"/>
    </row>
    <row r="411">
      <c r="A411" s="160"/>
      <c r="B411" s="160"/>
      <c r="C411" s="160"/>
      <c r="D411" s="161"/>
      <c r="E411" s="160"/>
      <c r="F411" s="160"/>
    </row>
    <row r="412">
      <c r="A412" s="160"/>
      <c r="B412" s="160"/>
      <c r="C412" s="160"/>
      <c r="D412" s="161"/>
      <c r="E412" s="160"/>
      <c r="F412" s="160"/>
    </row>
    <row r="413">
      <c r="A413" s="160"/>
      <c r="B413" s="160"/>
      <c r="C413" s="160"/>
      <c r="D413" s="161"/>
      <c r="E413" s="160"/>
      <c r="F413" s="160"/>
    </row>
    <row r="414">
      <c r="A414" s="160"/>
      <c r="B414" s="160"/>
      <c r="C414" s="160"/>
      <c r="D414" s="161"/>
      <c r="E414" s="160"/>
      <c r="F414" s="160"/>
    </row>
    <row r="415">
      <c r="A415" s="160"/>
      <c r="B415" s="160"/>
      <c r="C415" s="160"/>
      <c r="D415" s="161"/>
      <c r="E415" s="160"/>
      <c r="F415" s="160"/>
    </row>
    <row r="416">
      <c r="A416" s="160"/>
      <c r="B416" s="160"/>
      <c r="C416" s="160"/>
      <c r="D416" s="161"/>
      <c r="E416" s="160"/>
      <c r="F416" s="160"/>
    </row>
    <row r="417">
      <c r="A417" s="160"/>
      <c r="B417" s="160"/>
      <c r="C417" s="160"/>
      <c r="D417" s="161"/>
      <c r="E417" s="160"/>
      <c r="F417" s="160"/>
    </row>
    <row r="418">
      <c r="A418" s="160"/>
      <c r="B418" s="160"/>
      <c r="C418" s="160"/>
      <c r="D418" s="161"/>
      <c r="E418" s="160"/>
      <c r="F418" s="160"/>
    </row>
    <row r="419">
      <c r="A419" s="160"/>
      <c r="B419" s="160"/>
      <c r="C419" s="160"/>
      <c r="D419" s="161"/>
      <c r="E419" s="160"/>
      <c r="F419" s="160"/>
    </row>
    <row r="420">
      <c r="A420" s="160"/>
      <c r="B420" s="160"/>
      <c r="C420" s="160"/>
      <c r="D420" s="161"/>
      <c r="E420" s="160"/>
      <c r="F420" s="160"/>
    </row>
    <row r="421">
      <c r="A421" s="160"/>
      <c r="B421" s="160"/>
      <c r="C421" s="160"/>
      <c r="D421" s="161"/>
      <c r="E421" s="160"/>
      <c r="F421" s="160"/>
    </row>
    <row r="422">
      <c r="A422" s="160"/>
      <c r="B422" s="160"/>
      <c r="C422" s="160"/>
      <c r="D422" s="161"/>
      <c r="E422" s="160"/>
      <c r="F422" s="160"/>
    </row>
    <row r="423">
      <c r="A423" s="160"/>
      <c r="B423" s="160"/>
      <c r="C423" s="160"/>
      <c r="D423" s="161"/>
      <c r="E423" s="160"/>
      <c r="F423" s="160"/>
    </row>
    <row r="424">
      <c r="A424" s="160"/>
      <c r="B424" s="160"/>
      <c r="C424" s="160"/>
      <c r="D424" s="161"/>
      <c r="E424" s="160"/>
      <c r="F424" s="160"/>
    </row>
    <row r="425">
      <c r="A425" s="160"/>
      <c r="B425" s="160"/>
      <c r="C425" s="160"/>
      <c r="D425" s="161"/>
      <c r="E425" s="160"/>
      <c r="F425" s="160"/>
    </row>
    <row r="426">
      <c r="A426" s="160"/>
      <c r="B426" s="160"/>
      <c r="C426" s="160"/>
      <c r="D426" s="161"/>
      <c r="E426" s="160"/>
      <c r="F426" s="160"/>
    </row>
    <row r="427">
      <c r="A427" s="160"/>
      <c r="B427" s="160"/>
      <c r="C427" s="160"/>
      <c r="D427" s="161"/>
      <c r="E427" s="160"/>
      <c r="F427" s="160"/>
    </row>
    <row r="428">
      <c r="A428" s="160"/>
      <c r="B428" s="160"/>
      <c r="C428" s="160"/>
      <c r="D428" s="161"/>
      <c r="E428" s="160"/>
      <c r="F428" s="160"/>
    </row>
    <row r="429">
      <c r="A429" s="160"/>
      <c r="B429" s="160"/>
      <c r="C429" s="160"/>
      <c r="D429" s="161"/>
      <c r="E429" s="160"/>
      <c r="F429" s="160"/>
    </row>
    <row r="430">
      <c r="A430" s="160"/>
      <c r="B430" s="160"/>
      <c r="C430" s="160"/>
      <c r="D430" s="161"/>
      <c r="E430" s="160"/>
      <c r="F430" s="160"/>
    </row>
    <row r="431">
      <c r="A431" s="160"/>
      <c r="B431" s="160"/>
      <c r="C431" s="160"/>
      <c r="D431" s="161"/>
      <c r="E431" s="160"/>
      <c r="F431" s="160"/>
    </row>
    <row r="432">
      <c r="A432" s="160"/>
      <c r="B432" s="160"/>
      <c r="C432" s="160"/>
      <c r="D432" s="161"/>
      <c r="E432" s="160"/>
      <c r="F432" s="160"/>
    </row>
    <row r="433">
      <c r="A433" s="160"/>
      <c r="B433" s="160"/>
      <c r="C433" s="160"/>
      <c r="D433" s="161"/>
      <c r="E433" s="160"/>
      <c r="F433" s="160"/>
    </row>
    <row r="434">
      <c r="A434" s="160"/>
      <c r="B434" s="160"/>
      <c r="C434" s="160"/>
      <c r="D434" s="161"/>
      <c r="E434" s="160"/>
      <c r="F434" s="160"/>
    </row>
    <row r="435">
      <c r="A435" s="160"/>
      <c r="B435" s="160"/>
      <c r="C435" s="160"/>
      <c r="D435" s="161"/>
      <c r="E435" s="160"/>
      <c r="F435" s="160"/>
    </row>
    <row r="436">
      <c r="A436" s="160"/>
      <c r="B436" s="160"/>
      <c r="C436" s="160"/>
      <c r="D436" s="161"/>
      <c r="E436" s="160"/>
      <c r="F436" s="160"/>
    </row>
    <row r="437">
      <c r="A437" s="160"/>
      <c r="B437" s="160"/>
      <c r="C437" s="160"/>
      <c r="D437" s="161"/>
      <c r="E437" s="160"/>
      <c r="F437" s="160"/>
    </row>
    <row r="438">
      <c r="A438" s="160"/>
      <c r="B438" s="160"/>
      <c r="C438" s="160"/>
      <c r="D438" s="161"/>
      <c r="E438" s="160"/>
      <c r="F438" s="160"/>
    </row>
    <row r="439">
      <c r="A439" s="160"/>
      <c r="B439" s="160"/>
      <c r="C439" s="160"/>
      <c r="D439" s="161"/>
      <c r="E439" s="160"/>
      <c r="F439" s="160"/>
    </row>
    <row r="440">
      <c r="A440" s="160"/>
      <c r="B440" s="160"/>
      <c r="C440" s="160"/>
      <c r="D440" s="161"/>
      <c r="E440" s="160"/>
      <c r="F440" s="160"/>
    </row>
    <row r="441">
      <c r="A441" s="160"/>
      <c r="B441" s="160"/>
      <c r="C441" s="160"/>
      <c r="D441" s="161"/>
      <c r="E441" s="160"/>
      <c r="F441" s="160"/>
    </row>
    <row r="442">
      <c r="A442" s="160"/>
      <c r="B442" s="160"/>
      <c r="C442" s="160"/>
      <c r="D442" s="161"/>
      <c r="E442" s="160"/>
      <c r="F442" s="160"/>
    </row>
    <row r="443">
      <c r="A443" s="160"/>
      <c r="B443" s="160"/>
      <c r="C443" s="160"/>
      <c r="D443" s="161"/>
      <c r="E443" s="160"/>
      <c r="F443" s="160"/>
    </row>
    <row r="444">
      <c r="A444" s="160"/>
      <c r="B444" s="160"/>
      <c r="C444" s="160"/>
      <c r="D444" s="161"/>
      <c r="E444" s="160"/>
      <c r="F444" s="160"/>
    </row>
    <row r="445">
      <c r="A445" s="160"/>
      <c r="B445" s="160"/>
      <c r="C445" s="160"/>
      <c r="D445" s="161"/>
      <c r="E445" s="160"/>
      <c r="F445" s="160"/>
    </row>
    <row r="446">
      <c r="A446" s="160"/>
      <c r="B446" s="160"/>
      <c r="C446" s="160"/>
      <c r="D446" s="161"/>
      <c r="E446" s="160"/>
      <c r="F446" s="160"/>
    </row>
    <row r="447">
      <c r="A447" s="160"/>
      <c r="B447" s="160"/>
      <c r="C447" s="160"/>
      <c r="D447" s="161"/>
      <c r="E447" s="160"/>
      <c r="F447" s="160"/>
    </row>
    <row r="448">
      <c r="A448" s="160"/>
      <c r="B448" s="160"/>
      <c r="C448" s="160"/>
      <c r="D448" s="161"/>
      <c r="E448" s="160"/>
      <c r="F448" s="160"/>
    </row>
    <row r="449">
      <c r="A449" s="160"/>
      <c r="B449" s="160"/>
      <c r="C449" s="160"/>
      <c r="D449" s="161"/>
      <c r="E449" s="160"/>
      <c r="F449" s="160"/>
    </row>
    <row r="450">
      <c r="A450" s="160"/>
      <c r="B450" s="160"/>
      <c r="C450" s="160"/>
      <c r="D450" s="161"/>
      <c r="E450" s="160"/>
      <c r="F450" s="160"/>
    </row>
    <row r="451">
      <c r="A451" s="160"/>
      <c r="B451" s="160"/>
      <c r="C451" s="160"/>
      <c r="D451" s="161"/>
      <c r="E451" s="160"/>
      <c r="F451" s="160"/>
    </row>
    <row r="452">
      <c r="A452" s="160"/>
      <c r="B452" s="160"/>
      <c r="C452" s="160"/>
      <c r="D452" s="161"/>
      <c r="E452" s="160"/>
      <c r="F452" s="160"/>
    </row>
    <row r="453">
      <c r="A453" s="160"/>
      <c r="B453" s="160"/>
      <c r="C453" s="160"/>
      <c r="D453" s="161"/>
      <c r="E453" s="160"/>
      <c r="F453" s="160"/>
    </row>
    <row r="454">
      <c r="A454" s="160"/>
      <c r="B454" s="160"/>
      <c r="C454" s="160"/>
      <c r="D454" s="161"/>
      <c r="E454" s="160"/>
      <c r="F454" s="160"/>
    </row>
    <row r="455">
      <c r="A455" s="160"/>
      <c r="B455" s="160"/>
      <c r="C455" s="160"/>
      <c r="D455" s="161"/>
      <c r="E455" s="160"/>
      <c r="F455" s="160"/>
    </row>
    <row r="456">
      <c r="A456" s="160"/>
      <c r="B456" s="160"/>
      <c r="C456" s="160"/>
      <c r="D456" s="161"/>
      <c r="E456" s="160"/>
      <c r="F456" s="160"/>
    </row>
    <row r="457">
      <c r="A457" s="160"/>
      <c r="B457" s="160"/>
      <c r="C457" s="160"/>
      <c r="D457" s="161"/>
      <c r="E457" s="160"/>
      <c r="F457" s="160"/>
    </row>
    <row r="458">
      <c r="A458" s="160"/>
      <c r="B458" s="160"/>
      <c r="C458" s="160"/>
      <c r="D458" s="161"/>
      <c r="E458" s="160"/>
      <c r="F458" s="160"/>
    </row>
    <row r="459">
      <c r="A459" s="160"/>
      <c r="B459" s="160"/>
      <c r="C459" s="160"/>
      <c r="D459" s="161"/>
      <c r="E459" s="160"/>
      <c r="F459" s="160"/>
    </row>
    <row r="460">
      <c r="A460" s="160"/>
      <c r="B460" s="160"/>
      <c r="C460" s="160"/>
      <c r="D460" s="161"/>
      <c r="E460" s="160"/>
      <c r="F460" s="160"/>
    </row>
    <row r="461">
      <c r="A461" s="160"/>
      <c r="B461" s="160"/>
      <c r="C461" s="160"/>
      <c r="D461" s="161"/>
      <c r="E461" s="160"/>
      <c r="F461" s="160"/>
    </row>
    <row r="462">
      <c r="A462" s="160"/>
      <c r="B462" s="160"/>
      <c r="C462" s="160"/>
      <c r="D462" s="161"/>
      <c r="E462" s="160"/>
      <c r="F462" s="160"/>
    </row>
    <row r="463">
      <c r="A463" s="160"/>
      <c r="B463" s="160"/>
      <c r="C463" s="160"/>
      <c r="D463" s="161"/>
      <c r="E463" s="160"/>
      <c r="F463" s="160"/>
    </row>
    <row r="464">
      <c r="A464" s="160"/>
      <c r="B464" s="160"/>
      <c r="C464" s="160"/>
      <c r="D464" s="161"/>
      <c r="E464" s="160"/>
      <c r="F464" s="160"/>
    </row>
    <row r="465">
      <c r="A465" s="160"/>
      <c r="B465" s="160"/>
      <c r="C465" s="160"/>
      <c r="D465" s="161"/>
      <c r="E465" s="160"/>
      <c r="F465" s="160"/>
    </row>
    <row r="466">
      <c r="A466" s="160"/>
      <c r="B466" s="160"/>
      <c r="C466" s="160"/>
      <c r="D466" s="161"/>
      <c r="E466" s="160"/>
      <c r="F466" s="160"/>
    </row>
    <row r="467">
      <c r="A467" s="160"/>
      <c r="B467" s="160"/>
      <c r="C467" s="160"/>
      <c r="D467" s="161"/>
      <c r="E467" s="160"/>
      <c r="F467" s="160"/>
    </row>
    <row r="468">
      <c r="A468" s="160"/>
      <c r="B468" s="160"/>
      <c r="C468" s="160"/>
      <c r="D468" s="161"/>
      <c r="E468" s="160"/>
      <c r="F468" s="160"/>
    </row>
    <row r="469">
      <c r="A469" s="160"/>
      <c r="B469" s="160"/>
      <c r="C469" s="160"/>
      <c r="D469" s="161"/>
      <c r="E469" s="160"/>
      <c r="F469" s="160"/>
    </row>
    <row r="470">
      <c r="A470" s="160"/>
      <c r="B470" s="160"/>
      <c r="C470" s="160"/>
      <c r="D470" s="161"/>
      <c r="E470" s="160"/>
      <c r="F470" s="160"/>
    </row>
    <row r="471">
      <c r="A471" s="160"/>
      <c r="B471" s="160"/>
      <c r="C471" s="160"/>
      <c r="D471" s="161"/>
      <c r="E471" s="160"/>
      <c r="F471" s="160"/>
    </row>
    <row r="472">
      <c r="A472" s="160"/>
      <c r="B472" s="160"/>
      <c r="C472" s="160"/>
      <c r="D472" s="161"/>
      <c r="E472" s="160"/>
      <c r="F472" s="160"/>
    </row>
    <row r="473">
      <c r="A473" s="160"/>
      <c r="B473" s="160"/>
      <c r="C473" s="160"/>
      <c r="D473" s="161"/>
      <c r="E473" s="160"/>
      <c r="F473" s="160"/>
    </row>
    <row r="474">
      <c r="A474" s="160"/>
      <c r="B474" s="160"/>
      <c r="C474" s="160"/>
      <c r="D474" s="161"/>
      <c r="E474" s="160"/>
      <c r="F474" s="160"/>
    </row>
    <row r="475">
      <c r="A475" s="160"/>
      <c r="B475" s="160"/>
      <c r="C475" s="160"/>
      <c r="D475" s="161"/>
      <c r="E475" s="160"/>
      <c r="F475" s="160"/>
    </row>
    <row r="476">
      <c r="A476" s="160"/>
      <c r="B476" s="160"/>
      <c r="C476" s="160"/>
      <c r="D476" s="161"/>
      <c r="E476" s="160"/>
      <c r="F476" s="160"/>
    </row>
    <row r="477">
      <c r="A477" s="160"/>
      <c r="B477" s="160"/>
      <c r="C477" s="160"/>
      <c r="D477" s="161"/>
      <c r="E477" s="160"/>
      <c r="F477" s="160"/>
    </row>
    <row r="478">
      <c r="A478" s="160"/>
      <c r="B478" s="160"/>
      <c r="C478" s="160"/>
      <c r="D478" s="161"/>
      <c r="E478" s="160"/>
      <c r="F478" s="160"/>
    </row>
    <row r="479">
      <c r="A479" s="160"/>
      <c r="B479" s="160"/>
      <c r="C479" s="160"/>
      <c r="D479" s="161"/>
      <c r="E479" s="160"/>
      <c r="F479" s="160"/>
    </row>
    <row r="480">
      <c r="A480" s="160"/>
      <c r="B480" s="160"/>
      <c r="C480" s="160"/>
      <c r="D480" s="161"/>
      <c r="E480" s="160"/>
      <c r="F480" s="160"/>
    </row>
    <row r="481">
      <c r="A481" s="160"/>
      <c r="B481" s="160"/>
      <c r="C481" s="160"/>
      <c r="D481" s="161"/>
      <c r="E481" s="160"/>
      <c r="F481" s="160"/>
    </row>
    <row r="482">
      <c r="A482" s="160"/>
      <c r="B482" s="160"/>
      <c r="C482" s="160"/>
      <c r="D482" s="161"/>
      <c r="E482" s="160"/>
      <c r="F482" s="160"/>
    </row>
    <row r="483">
      <c r="A483" s="160"/>
      <c r="B483" s="160"/>
      <c r="C483" s="160"/>
      <c r="D483" s="161"/>
      <c r="E483" s="160"/>
      <c r="F483" s="160"/>
    </row>
    <row r="484">
      <c r="A484" s="160"/>
      <c r="B484" s="160"/>
      <c r="C484" s="160"/>
      <c r="D484" s="161"/>
      <c r="E484" s="160"/>
      <c r="F484" s="160"/>
    </row>
    <row r="485">
      <c r="A485" s="160"/>
      <c r="B485" s="160"/>
      <c r="C485" s="160"/>
      <c r="D485" s="161"/>
      <c r="E485" s="160"/>
      <c r="F485" s="160"/>
    </row>
    <row r="486">
      <c r="A486" s="160"/>
      <c r="B486" s="160"/>
      <c r="C486" s="160"/>
      <c r="D486" s="161"/>
      <c r="E486" s="160"/>
      <c r="F486" s="160"/>
    </row>
    <row r="487">
      <c r="A487" s="160"/>
      <c r="B487" s="160"/>
      <c r="C487" s="160"/>
      <c r="D487" s="161"/>
      <c r="E487" s="160"/>
      <c r="F487" s="160"/>
    </row>
    <row r="488">
      <c r="A488" s="160"/>
      <c r="B488" s="160"/>
      <c r="C488" s="160"/>
      <c r="D488" s="161"/>
      <c r="E488" s="160"/>
      <c r="F488" s="160"/>
    </row>
    <row r="489">
      <c r="A489" s="160"/>
      <c r="B489" s="160"/>
      <c r="C489" s="160"/>
      <c r="D489" s="161"/>
      <c r="E489" s="160"/>
      <c r="F489" s="160"/>
    </row>
    <row r="490">
      <c r="A490" s="160"/>
      <c r="B490" s="160"/>
      <c r="C490" s="160"/>
      <c r="D490" s="161"/>
      <c r="E490" s="160"/>
      <c r="F490" s="160"/>
    </row>
    <row r="491">
      <c r="A491" s="160"/>
      <c r="B491" s="160"/>
      <c r="C491" s="160"/>
      <c r="D491" s="161"/>
      <c r="E491" s="160"/>
      <c r="F491" s="160"/>
    </row>
    <row r="492">
      <c r="A492" s="160"/>
      <c r="B492" s="160"/>
      <c r="C492" s="160"/>
      <c r="D492" s="161"/>
      <c r="E492" s="160"/>
      <c r="F492" s="160"/>
    </row>
    <row r="493">
      <c r="A493" s="160"/>
      <c r="B493" s="160"/>
      <c r="C493" s="160"/>
      <c r="D493" s="161"/>
      <c r="E493" s="160"/>
      <c r="F493" s="160"/>
    </row>
    <row r="494">
      <c r="A494" s="160"/>
      <c r="B494" s="160"/>
      <c r="C494" s="160"/>
      <c r="D494" s="161"/>
      <c r="E494" s="160"/>
      <c r="F494" s="160"/>
    </row>
    <row r="495">
      <c r="A495" s="160"/>
      <c r="B495" s="160"/>
      <c r="C495" s="160"/>
      <c r="D495" s="161"/>
      <c r="E495" s="160"/>
      <c r="F495" s="160"/>
    </row>
    <row r="496">
      <c r="A496" s="160"/>
      <c r="B496" s="160"/>
      <c r="C496" s="160"/>
      <c r="D496" s="161"/>
      <c r="E496" s="160"/>
      <c r="F496" s="160"/>
    </row>
    <row r="497">
      <c r="A497" s="160"/>
      <c r="B497" s="160"/>
      <c r="C497" s="160"/>
      <c r="D497" s="161"/>
      <c r="E497" s="160"/>
      <c r="F497" s="160"/>
    </row>
    <row r="498">
      <c r="A498" s="160"/>
      <c r="B498" s="160"/>
      <c r="C498" s="160"/>
      <c r="D498" s="161"/>
      <c r="E498" s="160"/>
      <c r="F498" s="160"/>
    </row>
    <row r="499">
      <c r="A499" s="160"/>
      <c r="B499" s="160"/>
      <c r="C499" s="160"/>
      <c r="D499" s="161"/>
      <c r="E499" s="160"/>
      <c r="F499" s="160"/>
    </row>
    <row r="500">
      <c r="A500" s="160"/>
      <c r="B500" s="160"/>
      <c r="C500" s="160"/>
      <c r="D500" s="161"/>
      <c r="E500" s="160"/>
      <c r="F500" s="160"/>
    </row>
    <row r="501">
      <c r="A501" s="160"/>
      <c r="B501" s="160"/>
      <c r="C501" s="160"/>
      <c r="D501" s="161"/>
      <c r="E501" s="160"/>
      <c r="F501" s="160"/>
    </row>
    <row r="502">
      <c r="A502" s="160"/>
      <c r="B502" s="160"/>
      <c r="C502" s="160"/>
      <c r="D502" s="161"/>
      <c r="E502" s="160"/>
      <c r="F502" s="160"/>
    </row>
    <row r="503">
      <c r="A503" s="160"/>
      <c r="B503" s="160"/>
      <c r="C503" s="160"/>
      <c r="D503" s="161"/>
      <c r="E503" s="160"/>
      <c r="F503" s="160"/>
    </row>
    <row r="504">
      <c r="A504" s="160"/>
      <c r="B504" s="160"/>
      <c r="C504" s="160"/>
      <c r="D504" s="161"/>
      <c r="E504" s="160"/>
      <c r="F504" s="160"/>
    </row>
    <row r="505">
      <c r="A505" s="160"/>
      <c r="B505" s="160"/>
      <c r="C505" s="160"/>
      <c r="D505" s="161"/>
      <c r="E505" s="160"/>
      <c r="F505" s="160"/>
    </row>
    <row r="506">
      <c r="A506" s="160"/>
      <c r="B506" s="160"/>
      <c r="C506" s="160"/>
      <c r="D506" s="161"/>
      <c r="E506" s="160"/>
      <c r="F506" s="160"/>
    </row>
    <row r="507">
      <c r="A507" s="160"/>
      <c r="B507" s="160"/>
      <c r="C507" s="160"/>
      <c r="D507" s="161"/>
      <c r="E507" s="160"/>
      <c r="F507" s="160"/>
    </row>
    <row r="508">
      <c r="A508" s="160"/>
      <c r="B508" s="160"/>
      <c r="C508" s="160"/>
      <c r="D508" s="161"/>
      <c r="E508" s="160"/>
      <c r="F508" s="160"/>
    </row>
    <row r="509">
      <c r="A509" s="160"/>
      <c r="B509" s="160"/>
      <c r="C509" s="160"/>
      <c r="D509" s="161"/>
      <c r="E509" s="160"/>
      <c r="F509" s="160"/>
    </row>
    <row r="510">
      <c r="A510" s="160"/>
      <c r="B510" s="160"/>
      <c r="C510" s="160"/>
      <c r="D510" s="161"/>
      <c r="E510" s="160"/>
      <c r="F510" s="160"/>
    </row>
    <row r="511">
      <c r="A511" s="160"/>
      <c r="B511" s="160"/>
      <c r="C511" s="160"/>
      <c r="D511" s="161"/>
      <c r="E511" s="160"/>
      <c r="F511" s="160"/>
    </row>
    <row r="512">
      <c r="A512" s="160"/>
      <c r="B512" s="160"/>
      <c r="C512" s="160"/>
      <c r="D512" s="161"/>
      <c r="E512" s="160"/>
      <c r="F512" s="160"/>
    </row>
    <row r="513">
      <c r="A513" s="160"/>
      <c r="B513" s="160"/>
      <c r="C513" s="160"/>
      <c r="D513" s="161"/>
      <c r="E513" s="160"/>
      <c r="F513" s="160"/>
    </row>
    <row r="514">
      <c r="A514" s="160"/>
      <c r="B514" s="160"/>
      <c r="C514" s="160"/>
      <c r="D514" s="161"/>
      <c r="E514" s="160"/>
      <c r="F514" s="160"/>
    </row>
    <row r="515">
      <c r="A515" s="160"/>
      <c r="B515" s="160"/>
      <c r="C515" s="160"/>
      <c r="D515" s="161"/>
      <c r="E515" s="160"/>
      <c r="F515" s="160"/>
    </row>
    <row r="516">
      <c r="A516" s="160"/>
      <c r="B516" s="160"/>
      <c r="C516" s="160"/>
      <c r="D516" s="161"/>
      <c r="E516" s="160"/>
      <c r="F516" s="160"/>
    </row>
    <row r="517">
      <c r="A517" s="160"/>
      <c r="B517" s="160"/>
      <c r="C517" s="160"/>
      <c r="D517" s="161"/>
      <c r="E517" s="160"/>
      <c r="F517" s="160"/>
    </row>
    <row r="518">
      <c r="A518" s="160"/>
      <c r="B518" s="160"/>
      <c r="C518" s="160"/>
      <c r="D518" s="161"/>
      <c r="E518" s="160"/>
      <c r="F518" s="160"/>
    </row>
    <row r="519">
      <c r="A519" s="160"/>
      <c r="B519" s="160"/>
      <c r="C519" s="160"/>
      <c r="D519" s="161"/>
      <c r="E519" s="160"/>
      <c r="F519" s="160"/>
    </row>
    <row r="520">
      <c r="A520" s="160"/>
      <c r="B520" s="160"/>
      <c r="C520" s="160"/>
      <c r="D520" s="161"/>
      <c r="E520" s="160"/>
      <c r="F520" s="160"/>
    </row>
    <row r="521">
      <c r="A521" s="160"/>
      <c r="B521" s="160"/>
      <c r="C521" s="160"/>
      <c r="D521" s="161"/>
      <c r="E521" s="160"/>
      <c r="F521" s="160"/>
    </row>
    <row r="522">
      <c r="A522" s="160"/>
      <c r="B522" s="160"/>
      <c r="C522" s="160"/>
      <c r="D522" s="161"/>
      <c r="E522" s="160"/>
      <c r="F522" s="160"/>
    </row>
    <row r="523">
      <c r="A523" s="160"/>
      <c r="B523" s="160"/>
      <c r="C523" s="160"/>
      <c r="D523" s="161"/>
      <c r="E523" s="160"/>
      <c r="F523" s="160"/>
    </row>
    <row r="524">
      <c r="A524" s="160"/>
      <c r="B524" s="160"/>
      <c r="C524" s="160"/>
      <c r="D524" s="161"/>
      <c r="E524" s="160"/>
      <c r="F524" s="160"/>
    </row>
    <row r="525">
      <c r="A525" s="160"/>
      <c r="B525" s="160"/>
      <c r="C525" s="160"/>
      <c r="D525" s="161"/>
      <c r="E525" s="160"/>
      <c r="F525" s="160"/>
    </row>
    <row r="526">
      <c r="A526" s="160"/>
      <c r="B526" s="160"/>
      <c r="C526" s="160"/>
      <c r="D526" s="161"/>
      <c r="E526" s="160"/>
      <c r="F526" s="160"/>
    </row>
    <row r="527">
      <c r="A527" s="160"/>
      <c r="B527" s="160"/>
      <c r="C527" s="160"/>
      <c r="D527" s="161"/>
      <c r="E527" s="160"/>
      <c r="F527" s="160"/>
    </row>
    <row r="528">
      <c r="A528" s="160"/>
      <c r="B528" s="160"/>
      <c r="C528" s="160"/>
      <c r="D528" s="161"/>
      <c r="E528" s="160"/>
      <c r="F528" s="160"/>
    </row>
    <row r="529">
      <c r="A529" s="160"/>
      <c r="B529" s="160"/>
      <c r="C529" s="160"/>
      <c r="D529" s="161"/>
      <c r="E529" s="160"/>
      <c r="F529" s="160"/>
    </row>
    <row r="530">
      <c r="A530" s="160"/>
      <c r="B530" s="160"/>
      <c r="C530" s="160"/>
      <c r="D530" s="161"/>
      <c r="E530" s="160"/>
      <c r="F530" s="160"/>
    </row>
    <row r="531">
      <c r="A531" s="160"/>
      <c r="B531" s="160"/>
      <c r="C531" s="160"/>
      <c r="D531" s="161"/>
      <c r="E531" s="160"/>
      <c r="F531" s="160"/>
    </row>
    <row r="532">
      <c r="A532" s="160"/>
      <c r="B532" s="160"/>
      <c r="C532" s="160"/>
      <c r="D532" s="161"/>
      <c r="E532" s="160"/>
      <c r="F532" s="160"/>
    </row>
    <row r="533">
      <c r="A533" s="160"/>
      <c r="B533" s="160"/>
      <c r="C533" s="160"/>
      <c r="D533" s="161"/>
      <c r="E533" s="160"/>
      <c r="F533" s="160"/>
    </row>
    <row r="534">
      <c r="A534" s="160"/>
      <c r="B534" s="160"/>
      <c r="C534" s="160"/>
      <c r="D534" s="161"/>
      <c r="E534" s="160"/>
      <c r="F534" s="160"/>
    </row>
    <row r="535">
      <c r="A535" s="160"/>
      <c r="B535" s="160"/>
      <c r="C535" s="160"/>
      <c r="D535" s="161"/>
      <c r="E535" s="160"/>
      <c r="F535" s="160"/>
    </row>
    <row r="536">
      <c r="A536" s="160"/>
      <c r="B536" s="160"/>
      <c r="C536" s="160"/>
      <c r="D536" s="161"/>
      <c r="E536" s="160"/>
      <c r="F536" s="160"/>
    </row>
    <row r="537">
      <c r="A537" s="160"/>
      <c r="B537" s="160"/>
      <c r="C537" s="160"/>
      <c r="D537" s="161"/>
      <c r="E537" s="160"/>
      <c r="F537" s="160"/>
    </row>
    <row r="538">
      <c r="A538" s="160"/>
      <c r="B538" s="160"/>
      <c r="C538" s="160"/>
      <c r="D538" s="161"/>
      <c r="E538" s="160"/>
      <c r="F538" s="160"/>
    </row>
    <row r="539">
      <c r="A539" s="160"/>
      <c r="B539" s="160"/>
      <c r="C539" s="160"/>
      <c r="D539" s="161"/>
      <c r="E539" s="160"/>
      <c r="F539" s="160"/>
    </row>
    <row r="540">
      <c r="A540" s="160"/>
      <c r="B540" s="160"/>
      <c r="C540" s="160"/>
      <c r="D540" s="161"/>
      <c r="E540" s="160"/>
      <c r="F540" s="160"/>
    </row>
    <row r="541">
      <c r="A541" s="160"/>
      <c r="B541" s="160"/>
      <c r="C541" s="160"/>
      <c r="D541" s="161"/>
      <c r="E541" s="160"/>
      <c r="F541" s="160"/>
    </row>
    <row r="542">
      <c r="A542" s="160"/>
      <c r="B542" s="160"/>
      <c r="C542" s="160"/>
      <c r="D542" s="160"/>
      <c r="E542" s="160"/>
      <c r="F542" s="160"/>
    </row>
    <row r="543">
      <c r="A543" s="160"/>
      <c r="B543" s="160"/>
      <c r="C543" s="160"/>
      <c r="D543" s="160"/>
      <c r="E543" s="160"/>
      <c r="F543" s="160"/>
    </row>
    <row r="544">
      <c r="A544" s="160"/>
      <c r="B544" s="160"/>
      <c r="C544" s="160"/>
      <c r="D544" s="160"/>
      <c r="E544" s="160"/>
      <c r="F544" s="160"/>
    </row>
    <row r="545">
      <c r="A545" s="160"/>
      <c r="B545" s="160"/>
      <c r="C545" s="160"/>
      <c r="D545" s="160"/>
      <c r="E545" s="160"/>
      <c r="F545" s="160"/>
    </row>
    <row r="546">
      <c r="A546" s="160"/>
      <c r="B546" s="160"/>
      <c r="C546" s="160"/>
      <c r="D546" s="160"/>
      <c r="E546" s="160"/>
      <c r="F546" s="160"/>
    </row>
    <row r="547">
      <c r="A547" s="160"/>
      <c r="B547" s="160"/>
      <c r="C547" s="160"/>
      <c r="D547" s="160"/>
      <c r="E547" s="160"/>
      <c r="F547" s="160"/>
    </row>
    <row r="548">
      <c r="A548" s="160"/>
      <c r="B548" s="160"/>
      <c r="C548" s="160"/>
      <c r="D548" s="160"/>
      <c r="E548" s="160"/>
      <c r="F548" s="160"/>
    </row>
    <row r="549">
      <c r="A549" s="160"/>
      <c r="B549" s="160"/>
      <c r="C549" s="160"/>
      <c r="D549" s="160"/>
      <c r="E549" s="160"/>
      <c r="F549" s="160"/>
    </row>
    <row r="550">
      <c r="A550" s="160"/>
      <c r="B550" s="160"/>
      <c r="C550" s="160"/>
      <c r="D550" s="160"/>
      <c r="E550" s="160"/>
      <c r="F550" s="160"/>
    </row>
    <row r="551">
      <c r="A551" s="160"/>
      <c r="B551" s="160"/>
      <c r="C551" s="160"/>
      <c r="D551" s="160"/>
      <c r="E551" s="160"/>
      <c r="F551" s="160"/>
    </row>
    <row r="552">
      <c r="A552" s="160"/>
      <c r="B552" s="160"/>
      <c r="C552" s="160"/>
      <c r="D552" s="160"/>
      <c r="E552" s="160"/>
      <c r="F552" s="160"/>
    </row>
    <row r="553">
      <c r="A553" s="160"/>
      <c r="B553" s="160"/>
      <c r="C553" s="160"/>
      <c r="D553" s="160"/>
      <c r="E553" s="160"/>
      <c r="F553" s="160"/>
    </row>
    <row r="554">
      <c r="A554" s="160"/>
      <c r="B554" s="160"/>
      <c r="C554" s="160"/>
      <c r="D554" s="160"/>
      <c r="E554" s="160"/>
      <c r="F554" s="160"/>
    </row>
    <row r="555">
      <c r="A555" s="160"/>
      <c r="B555" s="160"/>
      <c r="C555" s="160"/>
      <c r="D555" s="160"/>
      <c r="E555" s="160"/>
      <c r="F555" s="160"/>
    </row>
    <row r="556">
      <c r="A556" s="160"/>
      <c r="B556" s="160"/>
      <c r="C556" s="160"/>
      <c r="D556" s="160"/>
      <c r="E556" s="160"/>
      <c r="F556" s="160"/>
    </row>
    <row r="557">
      <c r="A557" s="160"/>
      <c r="B557" s="160"/>
      <c r="C557" s="160"/>
      <c r="D557" s="160"/>
      <c r="E557" s="160"/>
      <c r="F557" s="160"/>
    </row>
    <row r="558">
      <c r="A558" s="160"/>
      <c r="B558" s="160"/>
      <c r="C558" s="160"/>
      <c r="D558" s="160"/>
      <c r="E558" s="160"/>
      <c r="F558" s="160"/>
    </row>
    <row r="559">
      <c r="A559" s="160"/>
      <c r="B559" s="160"/>
      <c r="C559" s="160"/>
      <c r="D559" s="160"/>
      <c r="E559" s="160"/>
      <c r="F559" s="160"/>
    </row>
    <row r="560">
      <c r="A560" s="160"/>
      <c r="B560" s="160"/>
      <c r="C560" s="160"/>
      <c r="D560" s="160"/>
      <c r="E560" s="160"/>
      <c r="F560" s="160"/>
    </row>
    <row r="561">
      <c r="A561" s="160"/>
      <c r="B561" s="160"/>
      <c r="C561" s="160"/>
      <c r="D561" s="160"/>
      <c r="E561" s="160"/>
      <c r="F561" s="160"/>
    </row>
    <row r="562">
      <c r="A562" s="160"/>
      <c r="B562" s="160"/>
      <c r="C562" s="160"/>
      <c r="D562" s="160"/>
      <c r="E562" s="160"/>
      <c r="F562" s="160"/>
    </row>
    <row r="563">
      <c r="A563" s="160"/>
      <c r="B563" s="160"/>
      <c r="C563" s="160"/>
      <c r="D563" s="160"/>
      <c r="E563" s="160"/>
      <c r="F563" s="160"/>
    </row>
    <row r="564">
      <c r="A564" s="160"/>
      <c r="B564" s="160"/>
      <c r="C564" s="160"/>
      <c r="D564" s="160"/>
      <c r="E564" s="160"/>
      <c r="F564" s="160"/>
    </row>
    <row r="565">
      <c r="A565" s="160"/>
      <c r="B565" s="160"/>
      <c r="C565" s="160"/>
      <c r="D565" s="160"/>
      <c r="E565" s="160"/>
      <c r="F565" s="160"/>
    </row>
    <row r="566">
      <c r="A566" s="160"/>
      <c r="B566" s="160"/>
      <c r="C566" s="160"/>
      <c r="D566" s="160"/>
      <c r="E566" s="160"/>
      <c r="F566" s="160"/>
    </row>
    <row r="567">
      <c r="A567" s="160"/>
      <c r="B567" s="160"/>
      <c r="C567" s="160"/>
      <c r="D567" s="160"/>
      <c r="E567" s="160"/>
      <c r="F567" s="160"/>
    </row>
    <row r="568">
      <c r="A568" s="160"/>
      <c r="B568" s="160"/>
      <c r="C568" s="160"/>
      <c r="D568" s="160"/>
      <c r="E568" s="160"/>
      <c r="F568" s="160"/>
    </row>
    <row r="569">
      <c r="A569" s="160"/>
      <c r="B569" s="160"/>
      <c r="C569" s="160"/>
      <c r="D569" s="160"/>
      <c r="E569" s="160"/>
      <c r="F569" s="160"/>
    </row>
    <row r="570">
      <c r="A570" s="160"/>
      <c r="B570" s="160"/>
      <c r="C570" s="160"/>
      <c r="D570" s="160"/>
      <c r="E570" s="160"/>
      <c r="F570" s="160"/>
    </row>
    <row r="571">
      <c r="A571" s="160"/>
      <c r="B571" s="160"/>
      <c r="C571" s="160"/>
      <c r="D571" s="160"/>
      <c r="E571" s="160"/>
      <c r="F571" s="160"/>
    </row>
    <row r="572">
      <c r="A572" s="160"/>
      <c r="B572" s="160"/>
      <c r="C572" s="160"/>
      <c r="D572" s="160"/>
      <c r="E572" s="160"/>
      <c r="F572" s="160"/>
    </row>
    <row r="573">
      <c r="A573" s="160"/>
      <c r="B573" s="160"/>
      <c r="C573" s="160"/>
      <c r="D573" s="160"/>
      <c r="E573" s="160"/>
      <c r="F573" s="160"/>
    </row>
    <row r="574">
      <c r="A574" s="160"/>
      <c r="B574" s="160"/>
      <c r="C574" s="160"/>
      <c r="D574" s="160"/>
      <c r="E574" s="160"/>
      <c r="F574" s="160"/>
    </row>
    <row r="575">
      <c r="A575" s="160"/>
      <c r="B575" s="160"/>
      <c r="C575" s="160"/>
      <c r="D575" s="160"/>
      <c r="E575" s="160"/>
      <c r="F575" s="160"/>
    </row>
    <row r="576">
      <c r="A576" s="160"/>
      <c r="B576" s="160"/>
      <c r="C576" s="160"/>
      <c r="D576" s="160"/>
      <c r="E576" s="160"/>
      <c r="F576" s="160"/>
    </row>
    <row r="577">
      <c r="A577" s="160"/>
      <c r="B577" s="160"/>
      <c r="C577" s="160"/>
      <c r="D577" s="160"/>
      <c r="E577" s="160"/>
      <c r="F577" s="160"/>
    </row>
    <row r="578">
      <c r="A578" s="160"/>
      <c r="B578" s="160"/>
      <c r="C578" s="160"/>
      <c r="D578" s="160"/>
      <c r="E578" s="160"/>
      <c r="F578" s="160"/>
    </row>
    <row r="579">
      <c r="A579" s="160"/>
      <c r="B579" s="160"/>
      <c r="C579" s="160"/>
      <c r="D579" s="160"/>
      <c r="E579" s="160"/>
      <c r="F579" s="160"/>
    </row>
    <row r="580">
      <c r="A580" s="160"/>
      <c r="B580" s="160"/>
      <c r="C580" s="160"/>
      <c r="D580" s="160"/>
      <c r="E580" s="160"/>
      <c r="F580" s="160"/>
    </row>
    <row r="581">
      <c r="A581" s="160"/>
      <c r="B581" s="160"/>
      <c r="C581" s="160"/>
      <c r="D581" s="160"/>
      <c r="E581" s="160"/>
      <c r="F581" s="160"/>
    </row>
    <row r="582">
      <c r="A582" s="160"/>
      <c r="B582" s="160"/>
      <c r="C582" s="160"/>
      <c r="D582" s="160"/>
      <c r="E582" s="160"/>
      <c r="F582" s="160"/>
    </row>
    <row r="583">
      <c r="A583" s="160"/>
      <c r="B583" s="160"/>
      <c r="C583" s="160"/>
      <c r="D583" s="160"/>
      <c r="E583" s="160"/>
      <c r="F583" s="160"/>
    </row>
    <row r="584">
      <c r="A584" s="160"/>
      <c r="B584" s="160"/>
      <c r="C584" s="160"/>
      <c r="D584" s="160"/>
      <c r="E584" s="160"/>
      <c r="F584" s="160"/>
    </row>
    <row r="585">
      <c r="A585" s="160"/>
      <c r="B585" s="160"/>
      <c r="C585" s="160"/>
      <c r="D585" s="160"/>
      <c r="E585" s="160"/>
      <c r="F585" s="160"/>
    </row>
    <row r="586">
      <c r="A586" s="160"/>
      <c r="B586" s="160"/>
      <c r="C586" s="160"/>
      <c r="D586" s="160"/>
      <c r="E586" s="160"/>
      <c r="F586" s="160"/>
    </row>
    <row r="587">
      <c r="A587" s="160"/>
      <c r="B587" s="160"/>
      <c r="C587" s="160"/>
      <c r="D587" s="160"/>
      <c r="E587" s="160"/>
      <c r="F587" s="160"/>
    </row>
    <row r="588">
      <c r="A588" s="160"/>
      <c r="B588" s="160"/>
      <c r="C588" s="160"/>
      <c r="D588" s="160"/>
      <c r="E588" s="160"/>
      <c r="F588" s="160"/>
    </row>
    <row r="589">
      <c r="A589" s="160"/>
      <c r="B589" s="160"/>
      <c r="C589" s="160"/>
      <c r="D589" s="160"/>
      <c r="E589" s="160"/>
      <c r="F589" s="160"/>
    </row>
    <row r="590">
      <c r="A590" s="160"/>
      <c r="B590" s="160"/>
      <c r="C590" s="160"/>
      <c r="D590" s="160"/>
      <c r="E590" s="160"/>
      <c r="F590" s="160"/>
    </row>
    <row r="591">
      <c r="A591" s="160"/>
      <c r="B591" s="160"/>
      <c r="C591" s="160"/>
      <c r="D591" s="160"/>
      <c r="E591" s="160"/>
      <c r="F591" s="160"/>
    </row>
    <row r="592">
      <c r="A592" s="160"/>
      <c r="B592" s="160"/>
      <c r="C592" s="160"/>
      <c r="D592" s="160"/>
      <c r="E592" s="160"/>
      <c r="F592" s="160"/>
    </row>
    <row r="593">
      <c r="A593" s="160"/>
      <c r="B593" s="160"/>
      <c r="C593" s="160"/>
      <c r="D593" s="160"/>
      <c r="E593" s="160"/>
      <c r="F593" s="160"/>
    </row>
    <row r="594">
      <c r="A594" s="160"/>
      <c r="B594" s="160"/>
      <c r="C594" s="160"/>
      <c r="D594" s="160"/>
      <c r="E594" s="160"/>
      <c r="F594" s="160"/>
    </row>
    <row r="595">
      <c r="A595" s="160"/>
      <c r="B595" s="160"/>
      <c r="C595" s="160"/>
      <c r="D595" s="160"/>
      <c r="E595" s="160"/>
      <c r="F595" s="160"/>
    </row>
    <row r="596">
      <c r="A596" s="160"/>
      <c r="B596" s="160"/>
      <c r="C596" s="160"/>
      <c r="D596" s="160"/>
      <c r="E596" s="160"/>
      <c r="F596" s="160"/>
    </row>
    <row r="597">
      <c r="A597" s="160"/>
      <c r="B597" s="160"/>
      <c r="C597" s="160"/>
      <c r="D597" s="160"/>
      <c r="E597" s="160"/>
      <c r="F597" s="160"/>
    </row>
    <row r="598">
      <c r="A598" s="160"/>
      <c r="B598" s="160"/>
      <c r="C598" s="160"/>
      <c r="D598" s="160"/>
      <c r="E598" s="160"/>
      <c r="F598" s="160"/>
    </row>
    <row r="599">
      <c r="A599" s="160"/>
      <c r="B599" s="160"/>
      <c r="C599" s="160"/>
      <c r="D599" s="160"/>
      <c r="E599" s="160"/>
      <c r="F599" s="160"/>
    </row>
    <row r="600">
      <c r="A600" s="160"/>
      <c r="B600" s="160"/>
      <c r="C600" s="160"/>
      <c r="D600" s="160"/>
      <c r="E600" s="160"/>
      <c r="F600" s="160"/>
    </row>
    <row r="601">
      <c r="A601" s="160"/>
      <c r="B601" s="160"/>
      <c r="C601" s="160"/>
      <c r="D601" s="160"/>
      <c r="E601" s="160"/>
      <c r="F601" s="160"/>
    </row>
    <row r="602">
      <c r="A602" s="160"/>
      <c r="B602" s="160"/>
      <c r="C602" s="160"/>
      <c r="D602" s="160"/>
      <c r="E602" s="160"/>
      <c r="F602" s="160"/>
    </row>
    <row r="603">
      <c r="A603" s="160"/>
      <c r="B603" s="160"/>
      <c r="C603" s="160"/>
      <c r="D603" s="160"/>
      <c r="E603" s="160"/>
      <c r="F603" s="160"/>
    </row>
    <row r="604">
      <c r="A604" s="160"/>
      <c r="B604" s="160"/>
      <c r="C604" s="160"/>
      <c r="D604" s="160"/>
      <c r="E604" s="160"/>
      <c r="F604" s="160"/>
    </row>
    <row r="605">
      <c r="A605" s="160"/>
      <c r="B605" s="160"/>
      <c r="C605" s="160"/>
      <c r="D605" s="160"/>
      <c r="E605" s="160"/>
      <c r="F605" s="160"/>
    </row>
    <row r="606">
      <c r="A606" s="160"/>
      <c r="B606" s="160"/>
      <c r="C606" s="160"/>
      <c r="D606" s="160"/>
      <c r="E606" s="160"/>
      <c r="F606" s="160"/>
    </row>
    <row r="607">
      <c r="A607" s="160"/>
      <c r="B607" s="160"/>
      <c r="C607" s="160"/>
      <c r="D607" s="160"/>
      <c r="E607" s="160"/>
      <c r="F607" s="160"/>
    </row>
    <row r="608">
      <c r="A608" s="160"/>
      <c r="B608" s="160"/>
      <c r="C608" s="160"/>
      <c r="D608" s="160"/>
      <c r="E608" s="160"/>
      <c r="F608" s="160"/>
    </row>
    <row r="609">
      <c r="A609" s="160"/>
      <c r="B609" s="160"/>
      <c r="C609" s="160"/>
      <c r="D609" s="160"/>
      <c r="E609" s="160"/>
      <c r="F609" s="160"/>
    </row>
    <row r="610">
      <c r="A610" s="160"/>
      <c r="B610" s="160"/>
      <c r="C610" s="160"/>
      <c r="D610" s="160"/>
      <c r="E610" s="160"/>
      <c r="F610" s="160"/>
    </row>
    <row r="611">
      <c r="A611" s="160"/>
      <c r="B611" s="160"/>
      <c r="C611" s="160"/>
      <c r="D611" s="160"/>
      <c r="E611" s="160"/>
      <c r="F611" s="160"/>
    </row>
    <row r="612">
      <c r="A612" s="160"/>
      <c r="B612" s="160"/>
      <c r="C612" s="160"/>
      <c r="D612" s="160"/>
      <c r="E612" s="160"/>
      <c r="F612" s="160"/>
    </row>
    <row r="613">
      <c r="A613" s="160"/>
      <c r="B613" s="160"/>
      <c r="C613" s="160"/>
      <c r="D613" s="160"/>
      <c r="E613" s="160"/>
      <c r="F613" s="160"/>
    </row>
    <row r="614">
      <c r="A614" s="160"/>
      <c r="B614" s="160"/>
      <c r="C614" s="160"/>
      <c r="D614" s="160"/>
      <c r="E614" s="160"/>
      <c r="F614" s="160"/>
    </row>
    <row r="615">
      <c r="A615" s="160"/>
      <c r="B615" s="160"/>
      <c r="C615" s="160"/>
      <c r="D615" s="160"/>
      <c r="E615" s="160"/>
      <c r="F615" s="160"/>
    </row>
    <row r="616">
      <c r="A616" s="160"/>
      <c r="B616" s="160"/>
      <c r="C616" s="160"/>
      <c r="D616" s="160"/>
      <c r="E616" s="160"/>
      <c r="F616" s="160"/>
    </row>
    <row r="617">
      <c r="A617" s="160"/>
      <c r="B617" s="160"/>
      <c r="C617" s="160"/>
      <c r="D617" s="160"/>
      <c r="E617" s="160"/>
      <c r="F617" s="160"/>
    </row>
    <row r="618">
      <c r="A618" s="160"/>
      <c r="B618" s="160"/>
      <c r="C618" s="160"/>
      <c r="D618" s="160"/>
      <c r="E618" s="160"/>
      <c r="F618" s="160"/>
    </row>
    <row r="619">
      <c r="A619" s="160"/>
      <c r="B619" s="160"/>
      <c r="C619" s="160"/>
      <c r="D619" s="160"/>
      <c r="E619" s="160"/>
      <c r="F619" s="160"/>
    </row>
    <row r="620">
      <c r="A620" s="160"/>
      <c r="B620" s="160"/>
      <c r="C620" s="160"/>
      <c r="D620" s="160"/>
      <c r="E620" s="160"/>
      <c r="F620" s="160"/>
    </row>
    <row r="621">
      <c r="A621" s="160"/>
      <c r="B621" s="160"/>
      <c r="C621" s="160"/>
      <c r="D621" s="160"/>
      <c r="E621" s="160"/>
      <c r="F621" s="160"/>
    </row>
    <row r="622">
      <c r="A622" s="160"/>
      <c r="B622" s="160"/>
      <c r="C622" s="160"/>
      <c r="D622" s="160"/>
      <c r="E622" s="160"/>
      <c r="F622" s="160"/>
    </row>
    <row r="623">
      <c r="A623" s="160"/>
      <c r="B623" s="160"/>
      <c r="C623" s="160"/>
      <c r="D623" s="160"/>
      <c r="E623" s="160"/>
      <c r="F623" s="160"/>
    </row>
    <row r="624">
      <c r="A624" s="160"/>
      <c r="B624" s="160"/>
      <c r="C624" s="160"/>
      <c r="D624" s="160"/>
      <c r="E624" s="160"/>
      <c r="F624" s="160"/>
    </row>
    <row r="625">
      <c r="A625" s="160"/>
      <c r="B625" s="160"/>
      <c r="C625" s="160"/>
      <c r="D625" s="160"/>
      <c r="E625" s="160"/>
      <c r="F625" s="160"/>
    </row>
    <row r="626">
      <c r="A626" s="160"/>
      <c r="B626" s="160"/>
      <c r="C626" s="160"/>
      <c r="D626" s="160"/>
      <c r="E626" s="160"/>
      <c r="F626" s="160"/>
    </row>
    <row r="627">
      <c r="A627" s="160"/>
      <c r="B627" s="160"/>
      <c r="C627" s="160"/>
      <c r="D627" s="160"/>
      <c r="E627" s="160"/>
      <c r="F627" s="160"/>
    </row>
    <row r="628">
      <c r="A628" s="160"/>
      <c r="B628" s="160"/>
      <c r="C628" s="160"/>
      <c r="D628" s="160"/>
      <c r="E628" s="160"/>
      <c r="F628" s="160"/>
    </row>
    <row r="629">
      <c r="A629" s="160"/>
      <c r="B629" s="160"/>
      <c r="C629" s="160"/>
      <c r="D629" s="160"/>
      <c r="E629" s="160"/>
      <c r="F629" s="160"/>
    </row>
    <row r="630">
      <c r="A630" s="160"/>
      <c r="B630" s="160"/>
      <c r="C630" s="160"/>
      <c r="D630" s="160"/>
      <c r="E630" s="160"/>
      <c r="F630" s="160"/>
    </row>
    <row r="631">
      <c r="A631" s="160"/>
      <c r="B631" s="160"/>
      <c r="C631" s="160"/>
      <c r="D631" s="160"/>
      <c r="E631" s="160"/>
      <c r="F631" s="160"/>
    </row>
    <row r="632">
      <c r="A632" s="160"/>
      <c r="B632" s="160"/>
      <c r="C632" s="160"/>
      <c r="D632" s="160"/>
      <c r="E632" s="160"/>
      <c r="F632" s="160"/>
    </row>
    <row r="633">
      <c r="A633" s="160"/>
      <c r="B633" s="160"/>
      <c r="C633" s="160"/>
      <c r="D633" s="160"/>
      <c r="E633" s="160"/>
      <c r="F633" s="160"/>
    </row>
    <row r="634">
      <c r="A634" s="160"/>
      <c r="B634" s="160"/>
      <c r="C634" s="160"/>
      <c r="D634" s="160"/>
      <c r="E634" s="160"/>
      <c r="F634" s="160"/>
    </row>
    <row r="635">
      <c r="A635" s="160"/>
      <c r="B635" s="160"/>
      <c r="C635" s="160"/>
      <c r="D635" s="160"/>
      <c r="E635" s="160"/>
      <c r="F635" s="160"/>
    </row>
    <row r="636">
      <c r="A636" s="160"/>
      <c r="B636" s="160"/>
      <c r="C636" s="160"/>
      <c r="D636" s="160"/>
      <c r="E636" s="160"/>
      <c r="F636" s="160"/>
    </row>
    <row r="637">
      <c r="A637" s="160"/>
      <c r="B637" s="160"/>
      <c r="C637" s="160"/>
      <c r="D637" s="160"/>
      <c r="E637" s="160"/>
      <c r="F637" s="160"/>
    </row>
    <row r="638">
      <c r="A638" s="160"/>
      <c r="B638" s="160"/>
      <c r="C638" s="160"/>
      <c r="D638" s="160"/>
      <c r="E638" s="160"/>
      <c r="F638" s="160"/>
    </row>
    <row r="639">
      <c r="A639" s="160"/>
      <c r="B639" s="160"/>
      <c r="C639" s="160"/>
      <c r="D639" s="160"/>
      <c r="E639" s="160"/>
      <c r="F639" s="160"/>
    </row>
    <row r="640">
      <c r="A640" s="160"/>
      <c r="B640" s="160"/>
      <c r="C640" s="160"/>
      <c r="D640" s="160"/>
      <c r="E640" s="160"/>
      <c r="F640" s="160"/>
    </row>
    <row r="641">
      <c r="A641" s="160"/>
      <c r="B641" s="160"/>
      <c r="C641" s="160"/>
      <c r="D641" s="160"/>
      <c r="E641" s="160"/>
      <c r="F641" s="160"/>
    </row>
    <row r="642">
      <c r="A642" s="160"/>
      <c r="B642" s="160"/>
      <c r="C642" s="160"/>
      <c r="D642" s="160"/>
      <c r="E642" s="160"/>
      <c r="F642" s="160"/>
    </row>
    <row r="643">
      <c r="A643" s="160"/>
      <c r="B643" s="160"/>
      <c r="C643" s="160"/>
      <c r="D643" s="160"/>
      <c r="E643" s="160"/>
      <c r="F643" s="160"/>
    </row>
    <row r="644">
      <c r="A644" s="160"/>
      <c r="B644" s="160"/>
      <c r="C644" s="160"/>
      <c r="D644" s="160"/>
      <c r="E644" s="160"/>
      <c r="F644" s="160"/>
    </row>
    <row r="645">
      <c r="A645" s="160"/>
      <c r="B645" s="160"/>
      <c r="C645" s="160"/>
      <c r="D645" s="160"/>
      <c r="E645" s="160"/>
      <c r="F645" s="160"/>
    </row>
    <row r="646">
      <c r="A646" s="160"/>
      <c r="B646" s="160"/>
      <c r="C646" s="160"/>
      <c r="D646" s="160"/>
      <c r="E646" s="160"/>
      <c r="F646" s="160"/>
    </row>
    <row r="647">
      <c r="A647" s="160"/>
      <c r="B647" s="160"/>
      <c r="C647" s="160"/>
      <c r="D647" s="160"/>
      <c r="E647" s="160"/>
      <c r="F647" s="160"/>
    </row>
    <row r="648">
      <c r="A648" s="160"/>
      <c r="B648" s="160"/>
      <c r="C648" s="160"/>
      <c r="D648" s="160"/>
      <c r="E648" s="160"/>
      <c r="F648" s="160"/>
    </row>
    <row r="649">
      <c r="A649" s="160"/>
      <c r="B649" s="160"/>
      <c r="C649" s="160"/>
      <c r="D649" s="160"/>
      <c r="E649" s="160"/>
      <c r="F649" s="160"/>
    </row>
    <row r="650">
      <c r="A650" s="160"/>
      <c r="B650" s="160"/>
      <c r="C650" s="160"/>
      <c r="D650" s="160"/>
      <c r="E650" s="160"/>
      <c r="F650" s="160"/>
    </row>
    <row r="651">
      <c r="A651" s="160"/>
      <c r="B651" s="160"/>
      <c r="C651" s="160"/>
      <c r="D651" s="160"/>
      <c r="E651" s="160"/>
      <c r="F651" s="160"/>
    </row>
    <row r="652">
      <c r="A652" s="160"/>
      <c r="B652" s="160"/>
      <c r="C652" s="160"/>
      <c r="D652" s="160"/>
      <c r="E652" s="160"/>
      <c r="F652" s="160"/>
    </row>
    <row r="653">
      <c r="A653" s="160"/>
      <c r="B653" s="160"/>
      <c r="C653" s="160"/>
      <c r="D653" s="160"/>
      <c r="E653" s="160"/>
      <c r="F653" s="160"/>
    </row>
    <row r="654">
      <c r="A654" s="160"/>
      <c r="B654" s="160"/>
      <c r="C654" s="160"/>
      <c r="D654" s="160"/>
      <c r="E654" s="160"/>
      <c r="F654" s="160"/>
    </row>
    <row r="655">
      <c r="A655" s="160"/>
      <c r="B655" s="160"/>
      <c r="C655" s="160"/>
      <c r="D655" s="160"/>
      <c r="E655" s="160"/>
      <c r="F655" s="160"/>
    </row>
    <row r="656">
      <c r="A656" s="160"/>
      <c r="B656" s="160"/>
      <c r="C656" s="160"/>
      <c r="D656" s="160"/>
      <c r="E656" s="160"/>
      <c r="F656" s="160"/>
    </row>
    <row r="657">
      <c r="A657" s="160"/>
      <c r="B657" s="160"/>
      <c r="C657" s="160"/>
      <c r="D657" s="160"/>
      <c r="E657" s="160"/>
      <c r="F657" s="160"/>
    </row>
    <row r="658">
      <c r="A658" s="160"/>
      <c r="B658" s="160"/>
      <c r="C658" s="160"/>
      <c r="D658" s="160"/>
      <c r="E658" s="160"/>
      <c r="F658" s="160"/>
    </row>
    <row r="659">
      <c r="A659" s="160"/>
      <c r="B659" s="160"/>
      <c r="C659" s="160"/>
      <c r="D659" s="160"/>
      <c r="E659" s="160"/>
      <c r="F659" s="160"/>
    </row>
    <row r="660">
      <c r="A660" s="160"/>
      <c r="B660" s="160"/>
      <c r="C660" s="160"/>
      <c r="D660" s="160"/>
      <c r="E660" s="160"/>
      <c r="F660" s="160"/>
    </row>
    <row r="661">
      <c r="A661" s="160"/>
      <c r="B661" s="160"/>
      <c r="C661" s="160"/>
      <c r="D661" s="160"/>
      <c r="E661" s="160"/>
      <c r="F661" s="160"/>
    </row>
    <row r="662">
      <c r="A662" s="160"/>
      <c r="B662" s="160"/>
      <c r="C662" s="160"/>
      <c r="D662" s="160"/>
      <c r="E662" s="160"/>
      <c r="F662" s="160"/>
    </row>
    <row r="663">
      <c r="A663" s="160"/>
      <c r="B663" s="160"/>
      <c r="C663" s="160"/>
      <c r="D663" s="160"/>
      <c r="E663" s="160"/>
      <c r="F663" s="160"/>
    </row>
    <row r="664">
      <c r="A664" s="160"/>
      <c r="B664" s="160"/>
      <c r="C664" s="160"/>
      <c r="D664" s="160"/>
      <c r="E664" s="160"/>
      <c r="F664" s="160"/>
    </row>
    <row r="665">
      <c r="A665" s="160"/>
      <c r="B665" s="160"/>
      <c r="C665" s="160"/>
      <c r="D665" s="160"/>
      <c r="E665" s="160"/>
      <c r="F665" s="160"/>
    </row>
    <row r="666">
      <c r="A666" s="160"/>
      <c r="B666" s="160"/>
      <c r="C666" s="160"/>
      <c r="D666" s="160"/>
      <c r="E666" s="160"/>
      <c r="F666" s="160"/>
    </row>
    <row r="667">
      <c r="A667" s="160"/>
      <c r="B667" s="160"/>
      <c r="C667" s="160"/>
      <c r="D667" s="160"/>
      <c r="E667" s="160"/>
      <c r="F667" s="160"/>
    </row>
    <row r="668">
      <c r="A668" s="160"/>
      <c r="B668" s="160"/>
      <c r="C668" s="160"/>
      <c r="D668" s="160"/>
      <c r="E668" s="160"/>
      <c r="F668" s="160"/>
    </row>
    <row r="669">
      <c r="A669" s="160"/>
      <c r="B669" s="160"/>
      <c r="C669" s="160"/>
      <c r="D669" s="160"/>
      <c r="E669" s="160"/>
      <c r="F669" s="160"/>
    </row>
    <row r="670">
      <c r="A670" s="160"/>
      <c r="B670" s="160"/>
      <c r="C670" s="160"/>
      <c r="D670" s="160"/>
      <c r="E670" s="160"/>
      <c r="F670" s="160"/>
    </row>
    <row r="671">
      <c r="A671" s="160"/>
      <c r="B671" s="160"/>
      <c r="C671" s="160"/>
      <c r="D671" s="160"/>
      <c r="E671" s="160"/>
      <c r="F671" s="160"/>
    </row>
    <row r="672">
      <c r="A672" s="160"/>
      <c r="B672" s="160"/>
      <c r="C672" s="160"/>
      <c r="D672" s="160"/>
      <c r="E672" s="160"/>
      <c r="F672" s="160"/>
    </row>
    <row r="673">
      <c r="A673" s="160"/>
      <c r="B673" s="160"/>
      <c r="C673" s="160"/>
      <c r="D673" s="160"/>
      <c r="E673" s="160"/>
      <c r="F673" s="160"/>
    </row>
    <row r="674">
      <c r="A674" s="160"/>
      <c r="B674" s="160"/>
      <c r="C674" s="160"/>
      <c r="D674" s="160"/>
      <c r="E674" s="160"/>
      <c r="F674" s="160"/>
    </row>
    <row r="675">
      <c r="A675" s="160"/>
      <c r="B675" s="160"/>
      <c r="C675" s="160"/>
      <c r="D675" s="160"/>
      <c r="E675" s="160"/>
      <c r="F675" s="160"/>
    </row>
    <row r="676">
      <c r="A676" s="160"/>
      <c r="B676" s="160"/>
      <c r="C676" s="160"/>
      <c r="D676" s="160"/>
      <c r="E676" s="160"/>
      <c r="F676" s="160"/>
    </row>
    <row r="677">
      <c r="A677" s="160"/>
      <c r="B677" s="160"/>
      <c r="C677" s="160"/>
      <c r="D677" s="160"/>
      <c r="E677" s="160"/>
      <c r="F677" s="160"/>
    </row>
    <row r="678">
      <c r="A678" s="160"/>
      <c r="B678" s="160"/>
      <c r="C678" s="160"/>
      <c r="D678" s="160"/>
      <c r="E678" s="160"/>
      <c r="F678" s="160"/>
    </row>
    <row r="679">
      <c r="A679" s="160"/>
      <c r="B679" s="160"/>
      <c r="C679" s="160"/>
      <c r="D679" s="160"/>
      <c r="E679" s="160"/>
      <c r="F679" s="160"/>
    </row>
    <row r="680">
      <c r="A680" s="160"/>
      <c r="B680" s="160"/>
      <c r="C680" s="160"/>
      <c r="D680" s="160"/>
      <c r="E680" s="160"/>
      <c r="F680" s="160"/>
    </row>
    <row r="681">
      <c r="A681" s="160"/>
      <c r="B681" s="160"/>
      <c r="C681" s="160"/>
      <c r="D681" s="160"/>
      <c r="E681" s="160"/>
      <c r="F681" s="160"/>
    </row>
    <row r="682">
      <c r="A682" s="160"/>
      <c r="B682" s="160"/>
      <c r="C682" s="160"/>
      <c r="D682" s="160"/>
      <c r="E682" s="160"/>
      <c r="F682" s="160"/>
    </row>
    <row r="683">
      <c r="A683" s="160"/>
      <c r="B683" s="160"/>
      <c r="C683" s="160"/>
      <c r="D683" s="160"/>
      <c r="E683" s="160"/>
      <c r="F683" s="160"/>
    </row>
    <row r="684">
      <c r="A684" s="160"/>
      <c r="B684" s="160"/>
      <c r="C684" s="160"/>
      <c r="D684" s="160"/>
      <c r="E684" s="160"/>
      <c r="F684" s="160"/>
    </row>
    <row r="685">
      <c r="A685" s="160"/>
      <c r="B685" s="160"/>
      <c r="C685" s="160"/>
      <c r="D685" s="160"/>
      <c r="E685" s="160"/>
      <c r="F685" s="160"/>
    </row>
    <row r="686">
      <c r="A686" s="160"/>
      <c r="B686" s="160"/>
      <c r="C686" s="160"/>
      <c r="D686" s="160"/>
      <c r="E686" s="160"/>
      <c r="F686" s="160"/>
    </row>
    <row r="687">
      <c r="A687" s="160"/>
      <c r="B687" s="160"/>
      <c r="C687" s="160"/>
      <c r="D687" s="160"/>
      <c r="E687" s="160"/>
      <c r="F687" s="160"/>
    </row>
    <row r="688">
      <c r="A688" s="160"/>
      <c r="B688" s="160"/>
      <c r="C688" s="160"/>
      <c r="D688" s="160"/>
      <c r="E688" s="160"/>
      <c r="F688" s="160"/>
    </row>
    <row r="689">
      <c r="A689" s="160"/>
      <c r="B689" s="160"/>
      <c r="C689" s="160"/>
      <c r="D689" s="160"/>
      <c r="E689" s="160"/>
      <c r="F689" s="160"/>
    </row>
    <row r="690">
      <c r="A690" s="160"/>
      <c r="B690" s="160"/>
      <c r="C690" s="160"/>
      <c r="D690" s="160"/>
      <c r="E690" s="160"/>
      <c r="F690" s="160"/>
    </row>
    <row r="691">
      <c r="A691" s="160"/>
      <c r="B691" s="160"/>
      <c r="C691" s="160"/>
      <c r="D691" s="160"/>
      <c r="E691" s="160"/>
      <c r="F691" s="160"/>
    </row>
    <row r="692">
      <c r="A692" s="160"/>
      <c r="B692" s="160"/>
      <c r="C692" s="160"/>
      <c r="D692" s="160"/>
      <c r="E692" s="160"/>
      <c r="F692" s="160"/>
    </row>
    <row r="693">
      <c r="A693" s="160"/>
      <c r="B693" s="160"/>
      <c r="C693" s="160"/>
      <c r="D693" s="160"/>
      <c r="E693" s="160"/>
      <c r="F693" s="160"/>
    </row>
    <row r="694">
      <c r="A694" s="160"/>
      <c r="B694" s="160"/>
      <c r="C694" s="160"/>
      <c r="D694" s="160"/>
      <c r="E694" s="160"/>
      <c r="F694" s="160"/>
    </row>
    <row r="695">
      <c r="A695" s="160"/>
      <c r="B695" s="160"/>
      <c r="C695" s="160"/>
      <c r="D695" s="160"/>
      <c r="E695" s="160"/>
      <c r="F695" s="160"/>
    </row>
    <row r="696">
      <c r="A696" s="160"/>
      <c r="B696" s="160"/>
      <c r="C696" s="160"/>
      <c r="D696" s="160"/>
      <c r="E696" s="160"/>
      <c r="F696" s="160"/>
    </row>
    <row r="697">
      <c r="A697" s="160"/>
      <c r="B697" s="160"/>
      <c r="C697" s="160"/>
      <c r="D697" s="160"/>
      <c r="E697" s="160"/>
      <c r="F697" s="160"/>
    </row>
    <row r="698">
      <c r="A698" s="160"/>
      <c r="B698" s="160"/>
      <c r="C698" s="160"/>
      <c r="D698" s="160"/>
      <c r="E698" s="160"/>
      <c r="F698" s="160"/>
    </row>
    <row r="699">
      <c r="A699" s="160"/>
      <c r="B699" s="160"/>
      <c r="C699" s="160"/>
      <c r="D699" s="160"/>
      <c r="E699" s="160"/>
      <c r="F699" s="160"/>
    </row>
    <row r="700">
      <c r="A700" s="160"/>
      <c r="B700" s="160"/>
      <c r="C700" s="160"/>
      <c r="D700" s="160"/>
      <c r="E700" s="160"/>
      <c r="F700" s="160"/>
    </row>
    <row r="701">
      <c r="A701" s="160"/>
      <c r="B701" s="160"/>
      <c r="C701" s="160"/>
      <c r="D701" s="160"/>
      <c r="E701" s="160"/>
      <c r="F701" s="160"/>
    </row>
    <row r="702">
      <c r="A702" s="160"/>
      <c r="B702" s="160"/>
      <c r="C702" s="160"/>
      <c r="D702" s="160"/>
      <c r="E702" s="160"/>
      <c r="F702" s="160"/>
    </row>
    <row r="703">
      <c r="A703" s="160"/>
      <c r="B703" s="160"/>
      <c r="C703" s="160"/>
      <c r="D703" s="160"/>
      <c r="E703" s="160"/>
      <c r="F703" s="160"/>
    </row>
    <row r="704">
      <c r="A704" s="160"/>
      <c r="B704" s="160"/>
      <c r="C704" s="160"/>
      <c r="D704" s="160"/>
      <c r="E704" s="160"/>
      <c r="F704" s="160"/>
    </row>
    <row r="705">
      <c r="A705" s="160"/>
      <c r="B705" s="160"/>
      <c r="C705" s="160"/>
      <c r="D705" s="160"/>
      <c r="E705" s="160"/>
      <c r="F705" s="160"/>
    </row>
    <row r="706">
      <c r="A706" s="160"/>
      <c r="B706" s="160"/>
      <c r="C706" s="160"/>
      <c r="D706" s="160"/>
      <c r="E706" s="160"/>
      <c r="F706" s="160"/>
    </row>
    <row r="707">
      <c r="A707" s="160"/>
      <c r="B707" s="160"/>
      <c r="C707" s="160"/>
      <c r="D707" s="160"/>
      <c r="E707" s="160"/>
      <c r="F707" s="160"/>
    </row>
    <row r="708">
      <c r="A708" s="160"/>
      <c r="B708" s="160"/>
      <c r="C708" s="160"/>
      <c r="D708" s="160"/>
      <c r="E708" s="160"/>
      <c r="F708" s="160"/>
    </row>
    <row r="709">
      <c r="A709" s="160"/>
      <c r="B709" s="160"/>
      <c r="C709" s="160"/>
      <c r="D709" s="160"/>
      <c r="E709" s="160"/>
      <c r="F709" s="160"/>
    </row>
    <row r="710">
      <c r="A710" s="160"/>
      <c r="B710" s="160"/>
      <c r="C710" s="160"/>
      <c r="D710" s="160"/>
      <c r="E710" s="160"/>
      <c r="F710" s="160"/>
    </row>
    <row r="711">
      <c r="A711" s="160"/>
      <c r="B711" s="160"/>
      <c r="C711" s="160"/>
      <c r="D711" s="160"/>
      <c r="E711" s="160"/>
      <c r="F711" s="160"/>
    </row>
    <row r="712">
      <c r="A712" s="160"/>
      <c r="B712" s="160"/>
      <c r="C712" s="160"/>
      <c r="D712" s="160"/>
      <c r="E712" s="160"/>
      <c r="F712" s="160"/>
    </row>
    <row r="713">
      <c r="A713" s="160"/>
      <c r="B713" s="160"/>
      <c r="C713" s="160"/>
      <c r="D713" s="160"/>
      <c r="E713" s="160"/>
      <c r="F713" s="160"/>
    </row>
    <row r="714">
      <c r="A714" s="160"/>
      <c r="B714" s="160"/>
      <c r="C714" s="160"/>
      <c r="D714" s="160"/>
      <c r="E714" s="160"/>
      <c r="F714" s="160"/>
    </row>
    <row r="715">
      <c r="A715" s="160"/>
      <c r="B715" s="160"/>
      <c r="C715" s="160"/>
      <c r="D715" s="160"/>
      <c r="E715" s="160"/>
      <c r="F715" s="160"/>
    </row>
    <row r="716">
      <c r="A716" s="160"/>
      <c r="B716" s="160"/>
      <c r="C716" s="160"/>
      <c r="D716" s="160"/>
      <c r="E716" s="160"/>
      <c r="F716" s="160"/>
    </row>
    <row r="717">
      <c r="A717" s="160"/>
      <c r="B717" s="160"/>
      <c r="C717" s="160"/>
      <c r="D717" s="160"/>
      <c r="E717" s="160"/>
      <c r="F717" s="160"/>
    </row>
    <row r="718">
      <c r="A718" s="160"/>
      <c r="B718" s="160"/>
      <c r="C718" s="160"/>
      <c r="D718" s="160"/>
      <c r="E718" s="160"/>
      <c r="F718" s="160"/>
    </row>
    <row r="719">
      <c r="A719" s="160"/>
      <c r="B719" s="160"/>
      <c r="C719" s="160"/>
      <c r="D719" s="160"/>
      <c r="E719" s="160"/>
      <c r="F719" s="160"/>
    </row>
    <row r="720">
      <c r="A720" s="160"/>
      <c r="B720" s="160"/>
      <c r="C720" s="160"/>
      <c r="D720" s="160"/>
      <c r="E720" s="160"/>
      <c r="F720" s="160"/>
    </row>
    <row r="721">
      <c r="A721" s="160"/>
      <c r="B721" s="160"/>
      <c r="C721" s="160"/>
      <c r="D721" s="160"/>
      <c r="E721" s="160"/>
      <c r="F721" s="160"/>
    </row>
    <row r="722">
      <c r="A722" s="160"/>
      <c r="B722" s="160"/>
      <c r="C722" s="160"/>
      <c r="D722" s="160"/>
      <c r="E722" s="160"/>
      <c r="F722" s="160"/>
    </row>
    <row r="723">
      <c r="A723" s="160"/>
      <c r="B723" s="160"/>
      <c r="C723" s="160"/>
      <c r="D723" s="160"/>
      <c r="E723" s="160"/>
      <c r="F723" s="160"/>
    </row>
    <row r="724">
      <c r="A724" s="160"/>
      <c r="B724" s="160"/>
      <c r="C724" s="160"/>
      <c r="D724" s="160"/>
      <c r="E724" s="160"/>
      <c r="F724" s="160"/>
    </row>
    <row r="725">
      <c r="A725" s="160"/>
      <c r="B725" s="160"/>
      <c r="C725" s="160"/>
      <c r="D725" s="160"/>
      <c r="E725" s="160"/>
      <c r="F725" s="160"/>
    </row>
    <row r="726">
      <c r="A726" s="160"/>
      <c r="B726" s="160"/>
      <c r="C726" s="160"/>
      <c r="D726" s="160"/>
      <c r="E726" s="160"/>
      <c r="F726" s="160"/>
    </row>
    <row r="727">
      <c r="A727" s="160"/>
      <c r="B727" s="160"/>
      <c r="C727" s="160"/>
      <c r="D727" s="160"/>
      <c r="E727" s="160"/>
      <c r="F727" s="160"/>
    </row>
    <row r="728">
      <c r="A728" s="160"/>
      <c r="B728" s="160"/>
      <c r="C728" s="160"/>
      <c r="D728" s="160"/>
      <c r="E728" s="160"/>
      <c r="F728" s="160"/>
    </row>
    <row r="729">
      <c r="A729" s="160"/>
      <c r="B729" s="160"/>
      <c r="C729" s="160"/>
      <c r="D729" s="160"/>
      <c r="E729" s="160"/>
      <c r="F729" s="160"/>
    </row>
    <row r="730">
      <c r="A730" s="160"/>
      <c r="B730" s="160"/>
      <c r="C730" s="160"/>
      <c r="D730" s="160"/>
      <c r="E730" s="160"/>
      <c r="F730" s="160"/>
    </row>
    <row r="731">
      <c r="A731" s="160"/>
      <c r="B731" s="160"/>
      <c r="C731" s="160"/>
      <c r="D731" s="160"/>
      <c r="E731" s="160"/>
      <c r="F731" s="160"/>
    </row>
    <row r="732">
      <c r="A732" s="160"/>
      <c r="B732" s="160"/>
      <c r="C732" s="160"/>
      <c r="D732" s="160"/>
      <c r="E732" s="160"/>
      <c r="F732" s="160"/>
    </row>
    <row r="733">
      <c r="A733" s="160"/>
      <c r="B733" s="160"/>
      <c r="C733" s="160"/>
      <c r="D733" s="160"/>
      <c r="E733" s="160"/>
      <c r="F733" s="160"/>
    </row>
    <row r="734">
      <c r="A734" s="160"/>
      <c r="B734" s="160"/>
      <c r="C734" s="160"/>
      <c r="D734" s="160"/>
      <c r="E734" s="160"/>
      <c r="F734" s="160"/>
    </row>
    <row r="735">
      <c r="A735" s="160"/>
      <c r="B735" s="160"/>
      <c r="C735" s="160"/>
      <c r="D735" s="160"/>
      <c r="E735" s="160"/>
      <c r="F735" s="160"/>
    </row>
    <row r="736">
      <c r="A736" s="160"/>
      <c r="B736" s="160"/>
      <c r="C736" s="160"/>
      <c r="D736" s="160"/>
      <c r="E736" s="160"/>
      <c r="F736" s="160"/>
    </row>
    <row r="737">
      <c r="A737" s="160"/>
      <c r="B737" s="160"/>
      <c r="C737" s="160"/>
      <c r="D737" s="160"/>
      <c r="E737" s="160"/>
      <c r="F737" s="160"/>
    </row>
    <row r="738">
      <c r="A738" s="160"/>
      <c r="B738" s="160"/>
      <c r="C738" s="160"/>
      <c r="D738" s="160"/>
      <c r="E738" s="160"/>
      <c r="F738" s="160"/>
    </row>
    <row r="739">
      <c r="A739" s="160"/>
      <c r="B739" s="160"/>
      <c r="C739" s="160"/>
      <c r="D739" s="160"/>
      <c r="E739" s="160"/>
      <c r="F739" s="160"/>
    </row>
    <row r="740">
      <c r="A740" s="160"/>
      <c r="B740" s="160"/>
      <c r="C740" s="160"/>
      <c r="D740" s="160"/>
      <c r="E740" s="160"/>
      <c r="F740" s="160"/>
    </row>
    <row r="741">
      <c r="A741" s="160"/>
      <c r="B741" s="160"/>
      <c r="C741" s="160"/>
      <c r="D741" s="160"/>
      <c r="E741" s="160"/>
      <c r="F741" s="160"/>
    </row>
    <row r="742">
      <c r="A742" s="160"/>
      <c r="B742" s="160"/>
      <c r="C742" s="160"/>
      <c r="D742" s="160"/>
      <c r="E742" s="160"/>
      <c r="F742" s="160"/>
    </row>
    <row r="743">
      <c r="A743" s="160"/>
      <c r="B743" s="160"/>
      <c r="C743" s="160"/>
      <c r="D743" s="160"/>
      <c r="E743" s="160"/>
      <c r="F743" s="160"/>
    </row>
    <row r="744">
      <c r="A744" s="160"/>
      <c r="B744" s="160"/>
      <c r="C744" s="160"/>
      <c r="D744" s="160"/>
      <c r="E744" s="160"/>
      <c r="F744" s="160"/>
    </row>
    <row r="745">
      <c r="A745" s="160"/>
      <c r="B745" s="160"/>
      <c r="C745" s="160"/>
      <c r="D745" s="160"/>
      <c r="E745" s="160"/>
      <c r="F745" s="160"/>
    </row>
    <row r="746">
      <c r="A746" s="160"/>
      <c r="B746" s="160"/>
      <c r="C746" s="160"/>
      <c r="D746" s="160"/>
      <c r="E746" s="160"/>
      <c r="F746" s="160"/>
    </row>
    <row r="747">
      <c r="A747" s="160"/>
      <c r="B747" s="160"/>
      <c r="C747" s="160"/>
      <c r="D747" s="160"/>
      <c r="E747" s="160"/>
      <c r="F747" s="160"/>
    </row>
    <row r="748">
      <c r="A748" s="160"/>
      <c r="B748" s="160"/>
      <c r="C748" s="160"/>
      <c r="D748" s="160"/>
      <c r="E748" s="160"/>
      <c r="F748" s="160"/>
    </row>
    <row r="749">
      <c r="A749" s="160"/>
      <c r="B749" s="160"/>
      <c r="C749" s="160"/>
      <c r="D749" s="160"/>
      <c r="E749" s="160"/>
      <c r="F749" s="160"/>
    </row>
    <row r="750">
      <c r="A750" s="160"/>
      <c r="B750" s="160"/>
      <c r="C750" s="160"/>
      <c r="D750" s="160"/>
      <c r="E750" s="160"/>
      <c r="F750" s="160"/>
    </row>
    <row r="751">
      <c r="A751" s="160"/>
      <c r="B751" s="160"/>
      <c r="C751" s="160"/>
      <c r="D751" s="160"/>
      <c r="E751" s="160"/>
      <c r="F751" s="160"/>
    </row>
    <row r="752">
      <c r="A752" s="160"/>
      <c r="B752" s="160"/>
      <c r="C752" s="160"/>
      <c r="D752" s="160"/>
      <c r="E752" s="160"/>
      <c r="F752" s="160"/>
    </row>
    <row r="753">
      <c r="A753" s="160"/>
      <c r="B753" s="160"/>
      <c r="C753" s="160"/>
      <c r="D753" s="160"/>
      <c r="E753" s="160"/>
      <c r="F753" s="160"/>
    </row>
    <row r="754">
      <c r="A754" s="160"/>
      <c r="B754" s="160"/>
      <c r="C754" s="160"/>
      <c r="D754" s="160"/>
      <c r="E754" s="160"/>
      <c r="F754" s="160"/>
    </row>
    <row r="755">
      <c r="A755" s="160"/>
      <c r="B755" s="160"/>
      <c r="C755" s="160"/>
      <c r="D755" s="160"/>
      <c r="E755" s="160"/>
      <c r="F755" s="160"/>
    </row>
    <row r="756">
      <c r="A756" s="160"/>
      <c r="B756" s="160"/>
      <c r="C756" s="160"/>
      <c r="D756" s="160"/>
      <c r="E756" s="160"/>
      <c r="F756" s="160"/>
    </row>
    <row r="757">
      <c r="A757" s="160"/>
      <c r="B757" s="160"/>
      <c r="C757" s="160"/>
      <c r="D757" s="160"/>
      <c r="E757" s="160"/>
      <c r="F757" s="160"/>
    </row>
    <row r="758">
      <c r="A758" s="160"/>
      <c r="B758" s="160"/>
      <c r="C758" s="160"/>
      <c r="D758" s="160"/>
      <c r="E758" s="160"/>
      <c r="F758" s="160"/>
    </row>
    <row r="759">
      <c r="A759" s="160"/>
      <c r="B759" s="160"/>
      <c r="C759" s="160"/>
      <c r="D759" s="160"/>
      <c r="E759" s="160"/>
      <c r="F759" s="160"/>
    </row>
    <row r="760">
      <c r="A760" s="160"/>
      <c r="B760" s="160"/>
      <c r="C760" s="160"/>
      <c r="D760" s="160"/>
      <c r="E760" s="160"/>
      <c r="F760" s="160"/>
    </row>
    <row r="761">
      <c r="A761" s="160"/>
      <c r="B761" s="160"/>
      <c r="C761" s="160"/>
      <c r="D761" s="160"/>
      <c r="E761" s="160"/>
      <c r="F761" s="160"/>
    </row>
    <row r="762">
      <c r="A762" s="160"/>
      <c r="B762" s="160"/>
      <c r="C762" s="160"/>
      <c r="D762" s="160"/>
      <c r="E762" s="160"/>
      <c r="F762" s="160"/>
    </row>
    <row r="763">
      <c r="A763" s="160"/>
      <c r="B763" s="160"/>
      <c r="C763" s="160"/>
      <c r="D763" s="160"/>
      <c r="E763" s="160"/>
      <c r="F763" s="160"/>
    </row>
    <row r="764">
      <c r="A764" s="160"/>
      <c r="B764" s="160"/>
      <c r="C764" s="160"/>
      <c r="D764" s="160"/>
      <c r="E764" s="160"/>
      <c r="F764" s="160"/>
    </row>
    <row r="765">
      <c r="A765" s="160"/>
      <c r="B765" s="160"/>
      <c r="C765" s="160"/>
      <c r="D765" s="160"/>
      <c r="E765" s="160"/>
      <c r="F765" s="160"/>
    </row>
    <row r="766">
      <c r="A766" s="160"/>
      <c r="B766" s="160"/>
      <c r="C766" s="160"/>
      <c r="D766" s="160"/>
      <c r="E766" s="160"/>
      <c r="F766" s="160"/>
    </row>
    <row r="767">
      <c r="A767" s="160"/>
      <c r="B767" s="160"/>
      <c r="C767" s="160"/>
      <c r="D767" s="160"/>
      <c r="E767" s="160"/>
      <c r="F767" s="160"/>
    </row>
    <row r="768">
      <c r="A768" s="160"/>
      <c r="B768" s="160"/>
      <c r="C768" s="160"/>
      <c r="D768" s="160"/>
      <c r="E768" s="160"/>
      <c r="F768" s="160"/>
    </row>
    <row r="769">
      <c r="A769" s="160"/>
      <c r="B769" s="160"/>
      <c r="C769" s="160"/>
      <c r="D769" s="160"/>
      <c r="E769" s="160"/>
      <c r="F769" s="160"/>
    </row>
    <row r="770">
      <c r="A770" s="160"/>
      <c r="B770" s="160"/>
      <c r="C770" s="160"/>
      <c r="D770" s="160"/>
      <c r="E770" s="160"/>
      <c r="F770" s="160"/>
    </row>
    <row r="771">
      <c r="A771" s="160"/>
      <c r="B771" s="160"/>
      <c r="C771" s="160"/>
      <c r="D771" s="160"/>
      <c r="E771" s="160"/>
      <c r="F771" s="160"/>
    </row>
    <row r="772">
      <c r="A772" s="160"/>
      <c r="B772" s="160"/>
      <c r="C772" s="160"/>
      <c r="D772" s="160"/>
      <c r="E772" s="160"/>
      <c r="F772" s="160"/>
    </row>
    <row r="773">
      <c r="A773" s="160"/>
      <c r="B773" s="160"/>
      <c r="C773" s="160"/>
      <c r="D773" s="160"/>
      <c r="E773" s="160"/>
      <c r="F773" s="160"/>
    </row>
    <row r="774">
      <c r="A774" s="160"/>
      <c r="B774" s="160"/>
      <c r="C774" s="160"/>
      <c r="D774" s="160"/>
      <c r="E774" s="160"/>
      <c r="F774" s="160"/>
    </row>
    <row r="775">
      <c r="A775" s="160"/>
      <c r="B775" s="160"/>
      <c r="C775" s="160"/>
      <c r="D775" s="160"/>
      <c r="E775" s="160"/>
      <c r="F775" s="160"/>
    </row>
    <row r="776">
      <c r="A776" s="160"/>
      <c r="B776" s="160"/>
      <c r="C776" s="160"/>
      <c r="D776" s="160"/>
      <c r="E776" s="160"/>
      <c r="F776" s="160"/>
    </row>
    <row r="777">
      <c r="A777" s="160"/>
      <c r="B777" s="160"/>
      <c r="C777" s="160"/>
      <c r="D777" s="160"/>
      <c r="E777" s="160"/>
      <c r="F777" s="160"/>
    </row>
    <row r="778">
      <c r="A778" s="160"/>
      <c r="B778" s="160"/>
      <c r="C778" s="160"/>
      <c r="D778" s="160"/>
      <c r="E778" s="160"/>
      <c r="F778" s="160"/>
    </row>
    <row r="779">
      <c r="A779" s="160"/>
      <c r="B779" s="160"/>
      <c r="C779" s="160"/>
      <c r="D779" s="160"/>
      <c r="E779" s="160"/>
      <c r="F779" s="160"/>
    </row>
    <row r="780">
      <c r="A780" s="160"/>
      <c r="B780" s="160"/>
      <c r="C780" s="160"/>
      <c r="D780" s="160"/>
      <c r="E780" s="160"/>
      <c r="F780" s="160"/>
    </row>
    <row r="781">
      <c r="A781" s="160"/>
      <c r="B781" s="160"/>
      <c r="C781" s="160"/>
      <c r="D781" s="160"/>
      <c r="E781" s="160"/>
      <c r="F781" s="160"/>
    </row>
    <row r="782">
      <c r="A782" s="160"/>
      <c r="B782" s="160"/>
      <c r="C782" s="160"/>
      <c r="D782" s="160"/>
      <c r="E782" s="160"/>
      <c r="F782" s="160"/>
    </row>
    <row r="783">
      <c r="A783" s="160"/>
      <c r="B783" s="160"/>
      <c r="C783" s="160"/>
      <c r="D783" s="160"/>
      <c r="E783" s="160"/>
      <c r="F783" s="160"/>
    </row>
    <row r="784">
      <c r="A784" s="160"/>
      <c r="B784" s="160"/>
      <c r="C784" s="160"/>
      <c r="D784" s="160"/>
      <c r="E784" s="160"/>
      <c r="F784" s="160"/>
    </row>
    <row r="785">
      <c r="A785" s="160"/>
      <c r="B785" s="160"/>
      <c r="C785" s="160"/>
      <c r="D785" s="160"/>
      <c r="E785" s="160"/>
      <c r="F785" s="160"/>
    </row>
    <row r="786">
      <c r="A786" s="160"/>
      <c r="B786" s="160"/>
      <c r="C786" s="160"/>
      <c r="D786" s="160"/>
      <c r="E786" s="160"/>
      <c r="F786" s="160"/>
    </row>
    <row r="787">
      <c r="A787" s="160"/>
      <c r="B787" s="160"/>
      <c r="C787" s="160"/>
      <c r="D787" s="160"/>
      <c r="E787" s="160"/>
      <c r="F787" s="160"/>
    </row>
    <row r="788">
      <c r="A788" s="160"/>
      <c r="B788" s="160"/>
      <c r="C788" s="160"/>
      <c r="D788" s="160"/>
      <c r="E788" s="160"/>
      <c r="F788" s="160"/>
    </row>
    <row r="789">
      <c r="A789" s="160"/>
      <c r="B789" s="160"/>
      <c r="C789" s="160"/>
      <c r="D789" s="160"/>
      <c r="E789" s="160"/>
      <c r="F789" s="160"/>
    </row>
    <row r="790">
      <c r="A790" s="160"/>
      <c r="B790" s="160"/>
      <c r="C790" s="160"/>
      <c r="D790" s="160"/>
      <c r="E790" s="160"/>
      <c r="F790" s="160"/>
    </row>
    <row r="791">
      <c r="A791" s="160"/>
      <c r="B791" s="160"/>
      <c r="C791" s="160"/>
      <c r="D791" s="160"/>
      <c r="E791" s="160"/>
      <c r="F791" s="160"/>
    </row>
    <row r="792">
      <c r="A792" s="160"/>
      <c r="B792" s="160"/>
      <c r="C792" s="160"/>
      <c r="D792" s="160"/>
      <c r="E792" s="160"/>
      <c r="F792" s="160"/>
    </row>
    <row r="793">
      <c r="A793" s="160"/>
      <c r="B793" s="160"/>
      <c r="C793" s="160"/>
      <c r="D793" s="160"/>
      <c r="E793" s="160"/>
      <c r="F793" s="160"/>
    </row>
    <row r="794">
      <c r="A794" s="160"/>
      <c r="B794" s="160"/>
      <c r="C794" s="160"/>
      <c r="D794" s="160"/>
      <c r="E794" s="160"/>
      <c r="F794" s="160"/>
    </row>
    <row r="795">
      <c r="A795" s="160"/>
      <c r="B795" s="160"/>
      <c r="C795" s="160"/>
      <c r="D795" s="160"/>
      <c r="E795" s="160"/>
      <c r="F795" s="160"/>
    </row>
    <row r="796">
      <c r="A796" s="160"/>
      <c r="B796" s="160"/>
      <c r="C796" s="160"/>
      <c r="D796" s="160"/>
      <c r="E796" s="160"/>
      <c r="F796" s="160"/>
    </row>
    <row r="797">
      <c r="A797" s="160"/>
      <c r="B797" s="160"/>
      <c r="C797" s="160"/>
      <c r="D797" s="160"/>
      <c r="E797" s="160"/>
      <c r="F797" s="160"/>
    </row>
    <row r="798">
      <c r="A798" s="160"/>
      <c r="B798" s="160"/>
      <c r="C798" s="160"/>
      <c r="D798" s="160"/>
      <c r="E798" s="160"/>
      <c r="F798" s="160"/>
    </row>
    <row r="799">
      <c r="A799" s="160"/>
      <c r="B799" s="160"/>
      <c r="C799" s="160"/>
      <c r="D799" s="160"/>
      <c r="E799" s="160"/>
      <c r="F799" s="160"/>
    </row>
    <row r="800">
      <c r="A800" s="160"/>
      <c r="B800" s="160"/>
      <c r="C800" s="160"/>
      <c r="D800" s="160"/>
      <c r="E800" s="160"/>
      <c r="F800" s="160"/>
    </row>
    <row r="801">
      <c r="A801" s="160"/>
      <c r="B801" s="160"/>
      <c r="C801" s="160"/>
      <c r="D801" s="160"/>
      <c r="E801" s="160"/>
      <c r="F801" s="160"/>
    </row>
    <row r="802">
      <c r="A802" s="160"/>
      <c r="B802" s="160"/>
      <c r="C802" s="160"/>
      <c r="D802" s="160"/>
      <c r="E802" s="160"/>
      <c r="F802" s="160"/>
    </row>
    <row r="803">
      <c r="A803" s="160"/>
      <c r="B803" s="160"/>
      <c r="C803" s="160"/>
      <c r="D803" s="160"/>
      <c r="E803" s="160"/>
      <c r="F803" s="160"/>
    </row>
    <row r="804">
      <c r="A804" s="160"/>
      <c r="B804" s="160"/>
      <c r="C804" s="160"/>
      <c r="D804" s="160"/>
      <c r="E804" s="160"/>
      <c r="F804" s="160"/>
    </row>
    <row r="805">
      <c r="A805" s="160"/>
      <c r="B805" s="160"/>
      <c r="C805" s="160"/>
      <c r="D805" s="160"/>
      <c r="E805" s="160"/>
      <c r="F805" s="160"/>
    </row>
    <row r="806">
      <c r="A806" s="160"/>
      <c r="B806" s="160"/>
      <c r="C806" s="160"/>
      <c r="D806" s="160"/>
      <c r="E806" s="160"/>
      <c r="F806" s="160"/>
    </row>
    <row r="807">
      <c r="A807" s="160"/>
      <c r="B807" s="160"/>
      <c r="C807" s="160"/>
      <c r="D807" s="160"/>
      <c r="E807" s="160"/>
      <c r="F807" s="160"/>
    </row>
    <row r="808">
      <c r="A808" s="160"/>
      <c r="B808" s="160"/>
      <c r="C808" s="160"/>
      <c r="D808" s="160"/>
      <c r="E808" s="160"/>
      <c r="F808" s="160"/>
    </row>
    <row r="809">
      <c r="A809" s="160"/>
      <c r="B809" s="160"/>
      <c r="C809" s="160"/>
      <c r="D809" s="160"/>
      <c r="E809" s="160"/>
      <c r="F809" s="160"/>
    </row>
    <row r="810">
      <c r="A810" s="160"/>
      <c r="B810" s="160"/>
      <c r="C810" s="160"/>
      <c r="D810" s="160"/>
      <c r="E810" s="160"/>
      <c r="F810" s="160"/>
    </row>
    <row r="811">
      <c r="A811" s="160"/>
      <c r="B811" s="160"/>
      <c r="C811" s="160"/>
      <c r="D811" s="160"/>
      <c r="E811" s="160"/>
      <c r="F811" s="160"/>
    </row>
    <row r="812">
      <c r="A812" s="160"/>
      <c r="B812" s="160"/>
      <c r="C812" s="160"/>
      <c r="D812" s="160"/>
      <c r="E812" s="160"/>
      <c r="F812" s="160"/>
    </row>
    <row r="813">
      <c r="A813" s="160"/>
      <c r="B813" s="160"/>
      <c r="C813" s="160"/>
      <c r="D813" s="160"/>
      <c r="E813" s="160"/>
      <c r="F813" s="160"/>
    </row>
    <row r="814">
      <c r="A814" s="160"/>
      <c r="B814" s="160"/>
      <c r="C814" s="160"/>
      <c r="D814" s="160"/>
      <c r="E814" s="160"/>
      <c r="F814" s="160"/>
    </row>
    <row r="815">
      <c r="A815" s="160"/>
      <c r="B815" s="160"/>
      <c r="C815" s="160"/>
      <c r="D815" s="160"/>
      <c r="E815" s="160"/>
      <c r="F815" s="160"/>
    </row>
    <row r="816">
      <c r="A816" s="160"/>
      <c r="B816" s="160"/>
      <c r="C816" s="160"/>
      <c r="D816" s="160"/>
      <c r="E816" s="160"/>
      <c r="F816" s="160"/>
    </row>
    <row r="817">
      <c r="A817" s="160"/>
      <c r="B817" s="160"/>
      <c r="C817" s="160"/>
      <c r="D817" s="160"/>
      <c r="E817" s="160"/>
      <c r="F817" s="160"/>
    </row>
    <row r="818">
      <c r="A818" s="160"/>
      <c r="B818" s="160"/>
      <c r="C818" s="160"/>
      <c r="D818" s="160"/>
      <c r="E818" s="160"/>
      <c r="F818" s="160"/>
    </row>
    <row r="819">
      <c r="A819" s="160"/>
      <c r="B819" s="160"/>
      <c r="C819" s="160"/>
      <c r="D819" s="160"/>
      <c r="E819" s="160"/>
      <c r="F819" s="160"/>
    </row>
    <row r="820">
      <c r="A820" s="160"/>
      <c r="B820" s="160"/>
      <c r="C820" s="160"/>
      <c r="D820" s="160"/>
      <c r="E820" s="160"/>
      <c r="F820" s="160"/>
    </row>
    <row r="821">
      <c r="A821" s="160"/>
      <c r="B821" s="160"/>
      <c r="C821" s="160"/>
      <c r="D821" s="160"/>
      <c r="E821" s="160"/>
      <c r="F821" s="160"/>
    </row>
    <row r="822">
      <c r="A822" s="160"/>
      <c r="B822" s="160"/>
      <c r="C822" s="160"/>
      <c r="D822" s="160"/>
      <c r="E822" s="160"/>
      <c r="F822" s="160"/>
    </row>
    <row r="823">
      <c r="A823" s="160"/>
      <c r="B823" s="160"/>
      <c r="C823" s="160"/>
      <c r="D823" s="160"/>
      <c r="E823" s="160"/>
      <c r="F823" s="160"/>
    </row>
    <row r="824">
      <c r="A824" s="160"/>
      <c r="B824" s="160"/>
      <c r="C824" s="160"/>
      <c r="D824" s="160"/>
      <c r="E824" s="160"/>
      <c r="F824" s="160"/>
    </row>
    <row r="825">
      <c r="A825" s="160"/>
      <c r="B825" s="160"/>
      <c r="C825" s="160"/>
      <c r="D825" s="160"/>
      <c r="E825" s="160"/>
      <c r="F825" s="160"/>
    </row>
    <row r="826">
      <c r="A826" s="160"/>
      <c r="B826" s="160"/>
      <c r="C826" s="160"/>
      <c r="D826" s="160"/>
      <c r="E826" s="160"/>
      <c r="F826" s="160"/>
    </row>
    <row r="827">
      <c r="A827" s="160"/>
      <c r="B827" s="160"/>
      <c r="C827" s="160"/>
      <c r="D827" s="160"/>
      <c r="E827" s="160"/>
      <c r="F827" s="160"/>
    </row>
    <row r="828">
      <c r="A828" s="160"/>
      <c r="B828" s="160"/>
      <c r="C828" s="160"/>
      <c r="D828" s="160"/>
      <c r="E828" s="160"/>
      <c r="F828" s="160"/>
    </row>
    <row r="829">
      <c r="A829" s="160"/>
      <c r="B829" s="160"/>
      <c r="C829" s="160"/>
      <c r="D829" s="160"/>
      <c r="E829" s="160"/>
      <c r="F829" s="160"/>
    </row>
    <row r="830">
      <c r="A830" s="160"/>
      <c r="B830" s="160"/>
      <c r="C830" s="160"/>
      <c r="D830" s="160"/>
      <c r="E830" s="160"/>
      <c r="F830" s="160"/>
    </row>
    <row r="831">
      <c r="A831" s="160"/>
      <c r="B831" s="160"/>
      <c r="C831" s="160"/>
      <c r="D831" s="160"/>
      <c r="E831" s="160"/>
      <c r="F831" s="160"/>
    </row>
    <row r="832">
      <c r="A832" s="160"/>
      <c r="B832" s="160"/>
      <c r="C832" s="160"/>
      <c r="D832" s="160"/>
      <c r="E832" s="160"/>
      <c r="F832" s="160"/>
    </row>
    <row r="833">
      <c r="A833" s="160"/>
      <c r="B833" s="160"/>
      <c r="C833" s="160"/>
      <c r="D833" s="160"/>
      <c r="E833" s="160"/>
      <c r="F833" s="160"/>
    </row>
    <row r="834">
      <c r="A834" s="160"/>
      <c r="B834" s="160"/>
      <c r="C834" s="160"/>
      <c r="D834" s="160"/>
      <c r="E834" s="160"/>
      <c r="F834" s="160"/>
    </row>
    <row r="835">
      <c r="A835" s="160"/>
      <c r="B835" s="160"/>
      <c r="C835" s="160"/>
      <c r="D835" s="160"/>
      <c r="E835" s="160"/>
      <c r="F835" s="160"/>
    </row>
    <row r="836">
      <c r="A836" s="160"/>
      <c r="B836" s="160"/>
      <c r="C836" s="160"/>
      <c r="D836" s="160"/>
      <c r="E836" s="160"/>
      <c r="F836" s="160"/>
    </row>
    <row r="837">
      <c r="A837" s="160"/>
      <c r="B837" s="160"/>
      <c r="C837" s="160"/>
      <c r="D837" s="160"/>
      <c r="E837" s="160"/>
      <c r="F837" s="160"/>
    </row>
    <row r="838">
      <c r="A838" s="160"/>
      <c r="B838" s="160"/>
      <c r="C838" s="160"/>
      <c r="D838" s="160"/>
      <c r="E838" s="160"/>
      <c r="F838" s="160"/>
    </row>
    <row r="839">
      <c r="A839" s="160"/>
      <c r="B839" s="160"/>
      <c r="C839" s="160"/>
      <c r="D839" s="160"/>
      <c r="E839" s="160"/>
      <c r="F839" s="160"/>
    </row>
    <row r="840">
      <c r="A840" s="160"/>
      <c r="B840" s="160"/>
      <c r="C840" s="160"/>
      <c r="D840" s="160"/>
      <c r="E840" s="160"/>
      <c r="F840" s="160"/>
    </row>
    <row r="841">
      <c r="A841" s="160"/>
      <c r="B841" s="160"/>
      <c r="C841" s="160"/>
      <c r="D841" s="160"/>
      <c r="E841" s="160"/>
      <c r="F841" s="160"/>
    </row>
    <row r="842">
      <c r="A842" s="160"/>
      <c r="B842" s="160"/>
      <c r="C842" s="160"/>
      <c r="D842" s="160"/>
      <c r="E842" s="160"/>
      <c r="F842" s="160"/>
    </row>
    <row r="843">
      <c r="A843" s="160"/>
      <c r="B843" s="160"/>
      <c r="C843" s="160"/>
      <c r="D843" s="160"/>
      <c r="E843" s="160"/>
      <c r="F843" s="160"/>
    </row>
    <row r="844">
      <c r="A844" s="160"/>
      <c r="B844" s="160"/>
      <c r="C844" s="160"/>
      <c r="D844" s="160"/>
      <c r="E844" s="160"/>
      <c r="F844" s="160"/>
    </row>
    <row r="845">
      <c r="A845" s="160"/>
      <c r="B845" s="160"/>
      <c r="C845" s="160"/>
      <c r="D845" s="160"/>
      <c r="E845" s="160"/>
      <c r="F845" s="160"/>
    </row>
    <row r="846">
      <c r="A846" s="160"/>
      <c r="B846" s="160"/>
      <c r="C846" s="160"/>
      <c r="D846" s="160"/>
      <c r="E846" s="160"/>
      <c r="F846" s="160"/>
    </row>
    <row r="847">
      <c r="A847" s="160"/>
      <c r="B847" s="160"/>
      <c r="C847" s="160"/>
      <c r="D847" s="160"/>
      <c r="E847" s="160"/>
      <c r="F847" s="160"/>
    </row>
    <row r="848">
      <c r="A848" s="160"/>
      <c r="B848" s="160"/>
      <c r="C848" s="160"/>
      <c r="D848" s="160"/>
      <c r="E848" s="160"/>
      <c r="F848" s="160"/>
    </row>
    <row r="849">
      <c r="A849" s="160"/>
      <c r="B849" s="160"/>
      <c r="C849" s="160"/>
      <c r="D849" s="160"/>
      <c r="E849" s="160"/>
      <c r="F849" s="160"/>
    </row>
    <row r="850">
      <c r="A850" s="160"/>
      <c r="B850" s="160"/>
      <c r="C850" s="160"/>
      <c r="D850" s="160"/>
      <c r="E850" s="160"/>
      <c r="F850" s="160"/>
    </row>
    <row r="851">
      <c r="A851" s="160"/>
      <c r="B851" s="160"/>
      <c r="C851" s="160"/>
      <c r="D851" s="160"/>
      <c r="E851" s="160"/>
      <c r="F851" s="160"/>
    </row>
    <row r="852">
      <c r="A852" s="160"/>
      <c r="B852" s="160"/>
      <c r="C852" s="160"/>
      <c r="D852" s="160"/>
      <c r="E852" s="160"/>
      <c r="F852" s="160"/>
    </row>
    <row r="853">
      <c r="A853" s="160"/>
      <c r="B853" s="160"/>
      <c r="C853" s="160"/>
      <c r="D853" s="160"/>
      <c r="E853" s="160"/>
      <c r="F853" s="160"/>
    </row>
    <row r="854">
      <c r="A854" s="160"/>
      <c r="B854" s="160"/>
      <c r="C854" s="160"/>
      <c r="D854" s="160"/>
      <c r="E854" s="160"/>
      <c r="F854" s="160"/>
    </row>
    <row r="855">
      <c r="A855" s="160"/>
      <c r="B855" s="160"/>
      <c r="C855" s="160"/>
      <c r="D855" s="160"/>
      <c r="E855" s="160"/>
      <c r="F855" s="160"/>
    </row>
    <row r="856">
      <c r="A856" s="160"/>
      <c r="B856" s="160"/>
      <c r="C856" s="160"/>
      <c r="D856" s="160"/>
      <c r="E856" s="160"/>
      <c r="F856" s="160"/>
    </row>
    <row r="857">
      <c r="A857" s="160"/>
      <c r="B857" s="160"/>
      <c r="C857" s="160"/>
      <c r="D857" s="160"/>
      <c r="E857" s="160"/>
      <c r="F857" s="160"/>
    </row>
    <row r="858">
      <c r="A858" s="160"/>
      <c r="B858" s="160"/>
      <c r="C858" s="160"/>
      <c r="D858" s="160"/>
      <c r="E858" s="160"/>
      <c r="F858" s="160"/>
    </row>
    <row r="859">
      <c r="A859" s="160"/>
      <c r="B859" s="160"/>
      <c r="C859" s="160"/>
      <c r="D859" s="160"/>
      <c r="E859" s="160"/>
      <c r="F859" s="160"/>
    </row>
    <row r="860">
      <c r="A860" s="160"/>
      <c r="B860" s="160"/>
      <c r="C860" s="160"/>
      <c r="D860" s="160"/>
      <c r="E860" s="160"/>
      <c r="F860" s="160"/>
    </row>
    <row r="861">
      <c r="A861" s="160"/>
      <c r="B861" s="160"/>
      <c r="C861" s="160"/>
      <c r="D861" s="160"/>
      <c r="E861" s="160"/>
      <c r="F861" s="160"/>
    </row>
    <row r="862">
      <c r="A862" s="160"/>
      <c r="B862" s="160"/>
      <c r="C862" s="160"/>
      <c r="D862" s="160"/>
      <c r="E862" s="160"/>
      <c r="F862" s="160"/>
    </row>
    <row r="863">
      <c r="A863" s="160"/>
      <c r="B863" s="160"/>
      <c r="C863" s="160"/>
      <c r="D863" s="160"/>
      <c r="E863" s="160"/>
      <c r="F863" s="160"/>
    </row>
    <row r="864">
      <c r="A864" s="160"/>
      <c r="B864" s="160"/>
      <c r="C864" s="160"/>
      <c r="D864" s="160"/>
      <c r="E864" s="160"/>
      <c r="F864" s="160"/>
    </row>
    <row r="865">
      <c r="A865" s="160"/>
      <c r="B865" s="160"/>
      <c r="C865" s="160"/>
      <c r="D865" s="160"/>
      <c r="E865" s="160"/>
      <c r="F865" s="160"/>
    </row>
    <row r="866">
      <c r="A866" s="160"/>
      <c r="B866" s="160"/>
      <c r="C866" s="160"/>
      <c r="D866" s="160"/>
      <c r="E866" s="160"/>
      <c r="F866" s="160"/>
    </row>
    <row r="867">
      <c r="A867" s="160"/>
      <c r="B867" s="160"/>
      <c r="C867" s="160"/>
      <c r="D867" s="160"/>
      <c r="E867" s="160"/>
      <c r="F867" s="160"/>
    </row>
    <row r="868">
      <c r="A868" s="160"/>
      <c r="B868" s="160"/>
      <c r="C868" s="160"/>
      <c r="D868" s="160"/>
      <c r="E868" s="160"/>
      <c r="F868" s="160"/>
    </row>
    <row r="869">
      <c r="A869" s="160"/>
      <c r="B869" s="160"/>
      <c r="C869" s="160"/>
      <c r="D869" s="160"/>
      <c r="E869" s="160"/>
      <c r="F869" s="160"/>
    </row>
    <row r="870">
      <c r="A870" s="160"/>
      <c r="B870" s="160"/>
      <c r="C870" s="160"/>
      <c r="D870" s="160"/>
      <c r="E870" s="160"/>
      <c r="F870" s="160"/>
    </row>
    <row r="871">
      <c r="A871" s="160"/>
      <c r="B871" s="160"/>
      <c r="C871" s="160"/>
      <c r="D871" s="160"/>
      <c r="E871" s="160"/>
      <c r="F871" s="160"/>
    </row>
    <row r="872">
      <c r="A872" s="160"/>
      <c r="B872" s="160"/>
      <c r="C872" s="160"/>
      <c r="D872" s="160"/>
      <c r="E872" s="160"/>
      <c r="F872" s="160"/>
    </row>
    <row r="873">
      <c r="A873" s="160"/>
      <c r="B873" s="160"/>
      <c r="C873" s="160"/>
      <c r="D873" s="160"/>
      <c r="E873" s="160"/>
      <c r="F873" s="160"/>
    </row>
    <row r="874">
      <c r="A874" s="160"/>
      <c r="B874" s="160"/>
      <c r="C874" s="160"/>
      <c r="D874" s="160"/>
      <c r="E874" s="160"/>
      <c r="F874" s="160"/>
    </row>
    <row r="875">
      <c r="A875" s="160"/>
      <c r="B875" s="160"/>
      <c r="C875" s="160"/>
      <c r="D875" s="160"/>
      <c r="E875" s="160"/>
      <c r="F875" s="160"/>
    </row>
    <row r="876">
      <c r="A876" s="160"/>
      <c r="B876" s="160"/>
      <c r="C876" s="160"/>
      <c r="D876" s="160"/>
      <c r="E876" s="160"/>
      <c r="F876" s="160"/>
    </row>
    <row r="877">
      <c r="A877" s="160"/>
      <c r="B877" s="160"/>
      <c r="C877" s="160"/>
      <c r="D877" s="160"/>
      <c r="E877" s="160"/>
      <c r="F877" s="160"/>
    </row>
    <row r="878">
      <c r="A878" s="160"/>
      <c r="B878" s="160"/>
      <c r="C878" s="160"/>
      <c r="D878" s="160"/>
      <c r="E878" s="160"/>
      <c r="F878" s="160"/>
    </row>
    <row r="879">
      <c r="A879" s="160"/>
      <c r="B879" s="160"/>
      <c r="C879" s="160"/>
      <c r="D879" s="160"/>
      <c r="E879" s="160"/>
      <c r="F879" s="160"/>
    </row>
    <row r="880">
      <c r="A880" s="160"/>
      <c r="B880" s="160"/>
      <c r="C880" s="160"/>
      <c r="D880" s="160"/>
      <c r="E880" s="160"/>
      <c r="F880" s="160"/>
    </row>
    <row r="881">
      <c r="A881" s="160"/>
      <c r="B881" s="160"/>
      <c r="C881" s="160"/>
      <c r="D881" s="160"/>
      <c r="E881" s="160"/>
      <c r="F881" s="160"/>
    </row>
    <row r="882">
      <c r="A882" s="160"/>
      <c r="B882" s="160"/>
      <c r="C882" s="160"/>
      <c r="D882" s="160"/>
      <c r="E882" s="160"/>
      <c r="F882" s="160"/>
    </row>
    <row r="883">
      <c r="A883" s="160"/>
      <c r="B883" s="160"/>
      <c r="C883" s="160"/>
      <c r="D883" s="160"/>
      <c r="E883" s="160"/>
      <c r="F883" s="160"/>
    </row>
    <row r="884">
      <c r="A884" s="160"/>
      <c r="B884" s="160"/>
      <c r="C884" s="160"/>
      <c r="D884" s="160"/>
      <c r="E884" s="160"/>
      <c r="F884" s="160"/>
    </row>
    <row r="885">
      <c r="A885" s="160"/>
      <c r="B885" s="160"/>
      <c r="C885" s="160"/>
      <c r="D885" s="160"/>
      <c r="E885" s="160"/>
      <c r="F885" s="160"/>
    </row>
    <row r="886">
      <c r="A886" s="160"/>
      <c r="B886" s="160"/>
      <c r="C886" s="160"/>
      <c r="D886" s="160"/>
      <c r="E886" s="160"/>
      <c r="F886" s="160"/>
    </row>
    <row r="887">
      <c r="A887" s="160"/>
      <c r="B887" s="160"/>
      <c r="C887" s="160"/>
      <c r="D887" s="160"/>
      <c r="E887" s="160"/>
      <c r="F887" s="160"/>
    </row>
    <row r="888">
      <c r="A888" s="160"/>
      <c r="B888" s="160"/>
      <c r="C888" s="160"/>
      <c r="D888" s="160"/>
      <c r="E888" s="160"/>
      <c r="F888" s="160"/>
    </row>
    <row r="889">
      <c r="A889" s="160"/>
      <c r="B889" s="160"/>
      <c r="C889" s="160"/>
      <c r="D889" s="160"/>
      <c r="E889" s="160"/>
      <c r="F889" s="160"/>
    </row>
    <row r="890">
      <c r="A890" s="160"/>
      <c r="B890" s="160"/>
      <c r="C890" s="160"/>
      <c r="D890" s="160"/>
      <c r="E890" s="160"/>
      <c r="F890" s="160"/>
    </row>
    <row r="891">
      <c r="A891" s="160"/>
      <c r="B891" s="160"/>
      <c r="C891" s="160"/>
      <c r="D891" s="160"/>
      <c r="E891" s="160"/>
      <c r="F891" s="160"/>
    </row>
    <row r="892">
      <c r="A892" s="160"/>
      <c r="B892" s="160"/>
      <c r="C892" s="160"/>
      <c r="D892" s="160"/>
      <c r="E892" s="160"/>
      <c r="F892" s="160"/>
    </row>
    <row r="893">
      <c r="A893" s="160"/>
      <c r="B893" s="160"/>
      <c r="C893" s="160"/>
      <c r="D893" s="160"/>
      <c r="E893" s="160"/>
      <c r="F893" s="160"/>
    </row>
    <row r="894">
      <c r="A894" s="160"/>
      <c r="B894" s="160"/>
      <c r="C894" s="160"/>
      <c r="D894" s="160"/>
      <c r="E894" s="160"/>
      <c r="F894" s="160"/>
    </row>
    <row r="895">
      <c r="A895" s="160"/>
      <c r="B895" s="160"/>
      <c r="C895" s="160"/>
      <c r="D895" s="160"/>
      <c r="E895" s="160"/>
      <c r="F895" s="160"/>
    </row>
    <row r="896">
      <c r="A896" s="160"/>
      <c r="B896" s="160"/>
      <c r="C896" s="160"/>
      <c r="D896" s="160"/>
      <c r="E896" s="160"/>
      <c r="F896" s="160"/>
    </row>
    <row r="897">
      <c r="A897" s="160"/>
      <c r="B897" s="160"/>
      <c r="C897" s="160"/>
      <c r="D897" s="160"/>
      <c r="E897" s="160"/>
      <c r="F897" s="160"/>
    </row>
    <row r="898">
      <c r="A898" s="160"/>
      <c r="B898" s="160"/>
      <c r="C898" s="160"/>
      <c r="D898" s="160"/>
      <c r="E898" s="160"/>
      <c r="F898" s="160"/>
    </row>
    <row r="899">
      <c r="A899" s="160"/>
      <c r="B899" s="160"/>
      <c r="C899" s="160"/>
      <c r="D899" s="160"/>
      <c r="E899" s="160"/>
      <c r="F899" s="160"/>
    </row>
    <row r="900">
      <c r="A900" s="160"/>
      <c r="B900" s="160"/>
      <c r="C900" s="160"/>
      <c r="D900" s="160"/>
      <c r="E900" s="160"/>
      <c r="F900" s="160"/>
    </row>
    <row r="901">
      <c r="A901" s="160"/>
      <c r="B901" s="160"/>
      <c r="C901" s="160"/>
      <c r="D901" s="160"/>
      <c r="E901" s="160"/>
      <c r="F901" s="160"/>
    </row>
    <row r="902">
      <c r="A902" s="160"/>
      <c r="B902" s="160"/>
      <c r="C902" s="160"/>
      <c r="D902" s="160"/>
      <c r="E902" s="160"/>
      <c r="F902" s="160"/>
    </row>
    <row r="903">
      <c r="A903" s="160"/>
      <c r="B903" s="160"/>
      <c r="C903" s="160"/>
      <c r="D903" s="160"/>
      <c r="E903" s="160"/>
      <c r="F903" s="160"/>
    </row>
    <row r="904">
      <c r="A904" s="160"/>
      <c r="B904" s="160"/>
      <c r="C904" s="160"/>
      <c r="D904" s="160"/>
      <c r="E904" s="160"/>
      <c r="F904" s="160"/>
    </row>
    <row r="905">
      <c r="A905" s="160"/>
      <c r="B905" s="160"/>
      <c r="C905" s="160"/>
      <c r="D905" s="160"/>
      <c r="E905" s="160"/>
      <c r="F905" s="160"/>
    </row>
    <row r="906">
      <c r="A906" s="160"/>
      <c r="B906" s="160"/>
      <c r="C906" s="160"/>
      <c r="D906" s="160"/>
      <c r="E906" s="160"/>
      <c r="F906" s="160"/>
    </row>
    <row r="907">
      <c r="A907" s="160"/>
      <c r="B907" s="160"/>
      <c r="C907" s="160"/>
      <c r="D907" s="160"/>
      <c r="E907" s="160"/>
      <c r="F907" s="160"/>
    </row>
    <row r="908">
      <c r="A908" s="160"/>
      <c r="B908" s="160"/>
      <c r="C908" s="160"/>
      <c r="D908" s="160"/>
      <c r="E908" s="160"/>
      <c r="F908" s="160"/>
    </row>
    <row r="909">
      <c r="A909" s="160"/>
      <c r="B909" s="160"/>
      <c r="C909" s="160"/>
      <c r="D909" s="160"/>
      <c r="E909" s="160"/>
      <c r="F909" s="160"/>
    </row>
    <row r="910">
      <c r="A910" s="160"/>
      <c r="B910" s="160"/>
      <c r="C910" s="160"/>
      <c r="D910" s="160"/>
      <c r="E910" s="160"/>
      <c r="F910" s="160"/>
    </row>
    <row r="911">
      <c r="A911" s="160"/>
      <c r="B911" s="160"/>
      <c r="C911" s="160"/>
      <c r="D911" s="160"/>
      <c r="E911" s="160"/>
      <c r="F911" s="160"/>
    </row>
    <row r="912">
      <c r="A912" s="160"/>
      <c r="B912" s="160"/>
      <c r="C912" s="160"/>
      <c r="D912" s="160"/>
      <c r="E912" s="160"/>
      <c r="F912" s="160"/>
    </row>
    <row r="913">
      <c r="A913" s="160"/>
      <c r="B913" s="160"/>
      <c r="C913" s="160"/>
      <c r="D913" s="160"/>
      <c r="E913" s="160"/>
      <c r="F913" s="160"/>
    </row>
    <row r="914">
      <c r="A914" s="160"/>
      <c r="B914" s="160"/>
      <c r="C914" s="160"/>
      <c r="D914" s="160"/>
      <c r="E914" s="160"/>
      <c r="F914" s="160"/>
    </row>
    <row r="915">
      <c r="A915" s="160"/>
      <c r="B915" s="160"/>
      <c r="C915" s="160"/>
      <c r="D915" s="160"/>
      <c r="E915" s="160"/>
      <c r="F915" s="160"/>
    </row>
    <row r="916">
      <c r="A916" s="160"/>
      <c r="B916" s="160"/>
      <c r="C916" s="160"/>
      <c r="D916" s="160"/>
      <c r="E916" s="160"/>
      <c r="F916" s="160"/>
    </row>
    <row r="917">
      <c r="A917" s="160"/>
      <c r="B917" s="160"/>
      <c r="C917" s="160"/>
      <c r="D917" s="160"/>
      <c r="E917" s="160"/>
      <c r="F917" s="160"/>
    </row>
    <row r="918">
      <c r="A918" s="160"/>
      <c r="B918" s="160"/>
      <c r="C918" s="160"/>
      <c r="D918" s="160"/>
      <c r="E918" s="160"/>
      <c r="F918" s="160"/>
    </row>
    <row r="919">
      <c r="A919" s="160"/>
      <c r="B919" s="160"/>
      <c r="C919" s="160"/>
      <c r="D919" s="160"/>
      <c r="E919" s="160"/>
      <c r="F919" s="160"/>
    </row>
    <row r="920">
      <c r="A920" s="160"/>
      <c r="B920" s="160"/>
      <c r="C920" s="160"/>
      <c r="D920" s="160"/>
      <c r="E920" s="160"/>
      <c r="F920" s="160"/>
    </row>
    <row r="921">
      <c r="A921" s="160"/>
      <c r="B921" s="160"/>
      <c r="C921" s="160"/>
      <c r="D921" s="160"/>
      <c r="E921" s="160"/>
      <c r="F921" s="160"/>
    </row>
    <row r="922">
      <c r="A922" s="160"/>
      <c r="B922" s="160"/>
      <c r="C922" s="160"/>
      <c r="D922" s="160"/>
      <c r="E922" s="160"/>
      <c r="F922" s="160"/>
    </row>
    <row r="923">
      <c r="A923" s="160"/>
      <c r="B923" s="160"/>
      <c r="C923" s="160"/>
      <c r="D923" s="160"/>
      <c r="E923" s="160"/>
      <c r="F923" s="160"/>
    </row>
    <row r="924">
      <c r="A924" s="160"/>
      <c r="B924" s="160"/>
      <c r="C924" s="160"/>
      <c r="D924" s="160"/>
      <c r="E924" s="160"/>
      <c r="F924" s="160"/>
    </row>
    <row r="925">
      <c r="A925" s="160"/>
      <c r="B925" s="160"/>
      <c r="C925" s="160"/>
      <c r="D925" s="160"/>
      <c r="E925" s="160"/>
      <c r="F925" s="160"/>
    </row>
    <row r="926">
      <c r="A926" s="160"/>
      <c r="B926" s="160"/>
      <c r="C926" s="160"/>
      <c r="D926" s="160"/>
      <c r="E926" s="160"/>
      <c r="F926" s="160"/>
    </row>
    <row r="927">
      <c r="A927" s="160"/>
      <c r="B927" s="160"/>
      <c r="C927" s="160"/>
      <c r="D927" s="160"/>
      <c r="E927" s="160"/>
      <c r="F927" s="160"/>
    </row>
    <row r="928">
      <c r="A928" s="160"/>
      <c r="B928" s="160"/>
      <c r="C928" s="160"/>
      <c r="D928" s="160"/>
      <c r="E928" s="160"/>
      <c r="F928" s="160"/>
    </row>
    <row r="929">
      <c r="A929" s="160"/>
      <c r="B929" s="160"/>
      <c r="C929" s="160"/>
      <c r="D929" s="160"/>
      <c r="E929" s="160"/>
      <c r="F929" s="160"/>
    </row>
    <row r="930">
      <c r="A930" s="160"/>
      <c r="B930" s="160"/>
      <c r="C930" s="160"/>
      <c r="D930" s="160"/>
      <c r="E930" s="160"/>
      <c r="F930" s="160"/>
    </row>
    <row r="931">
      <c r="A931" s="160"/>
      <c r="B931" s="160"/>
      <c r="C931" s="160"/>
      <c r="D931" s="160"/>
      <c r="E931" s="160"/>
      <c r="F931" s="160"/>
    </row>
    <row r="932">
      <c r="A932" s="160"/>
      <c r="B932" s="160"/>
      <c r="C932" s="160"/>
      <c r="D932" s="160"/>
      <c r="E932" s="160"/>
      <c r="F932" s="160"/>
    </row>
    <row r="933">
      <c r="A933" s="160"/>
      <c r="B933" s="160"/>
      <c r="C933" s="160"/>
      <c r="D933" s="160"/>
      <c r="E933" s="160"/>
      <c r="F933" s="160"/>
    </row>
    <row r="934">
      <c r="A934" s="160"/>
      <c r="B934" s="160"/>
      <c r="C934" s="160"/>
      <c r="D934" s="160"/>
      <c r="E934" s="160"/>
      <c r="F934" s="160"/>
    </row>
    <row r="935">
      <c r="A935" s="160"/>
      <c r="B935" s="160"/>
      <c r="C935" s="160"/>
      <c r="D935" s="160"/>
      <c r="E935" s="160"/>
      <c r="F935" s="160"/>
    </row>
    <row r="936">
      <c r="A936" s="160"/>
      <c r="B936" s="160"/>
      <c r="C936" s="160"/>
      <c r="D936" s="160"/>
      <c r="E936" s="160"/>
      <c r="F936" s="160"/>
    </row>
    <row r="937">
      <c r="A937" s="160"/>
      <c r="B937" s="160"/>
      <c r="C937" s="160"/>
      <c r="D937" s="160"/>
      <c r="E937" s="160"/>
      <c r="F937" s="160"/>
    </row>
    <row r="938">
      <c r="A938" s="160"/>
      <c r="B938" s="160"/>
      <c r="C938" s="160"/>
      <c r="D938" s="160"/>
      <c r="E938" s="160"/>
      <c r="F938" s="160"/>
    </row>
    <row r="939">
      <c r="A939" s="160"/>
      <c r="B939" s="160"/>
      <c r="C939" s="160"/>
      <c r="D939" s="160"/>
      <c r="E939" s="160"/>
      <c r="F939" s="160"/>
    </row>
    <row r="940">
      <c r="A940" s="160"/>
      <c r="B940" s="160"/>
      <c r="C940" s="160"/>
      <c r="D940" s="160"/>
      <c r="E940" s="160"/>
      <c r="F940" s="160"/>
    </row>
    <row r="941">
      <c r="A941" s="160"/>
      <c r="B941" s="160"/>
      <c r="C941" s="160"/>
      <c r="D941" s="160"/>
      <c r="E941" s="160"/>
      <c r="F941" s="160"/>
    </row>
    <row r="942">
      <c r="A942" s="160"/>
      <c r="B942" s="160"/>
      <c r="C942" s="160"/>
      <c r="D942" s="160"/>
      <c r="E942" s="160"/>
      <c r="F942" s="160"/>
    </row>
    <row r="943">
      <c r="A943" s="160"/>
      <c r="B943" s="160"/>
      <c r="C943" s="160"/>
      <c r="D943" s="160"/>
      <c r="E943" s="160"/>
      <c r="F943" s="160"/>
    </row>
    <row r="944">
      <c r="A944" s="160"/>
      <c r="B944" s="160"/>
      <c r="C944" s="160"/>
      <c r="D944" s="160"/>
      <c r="E944" s="160"/>
      <c r="F944" s="160"/>
    </row>
    <row r="945">
      <c r="A945" s="160"/>
      <c r="B945" s="160"/>
      <c r="C945" s="160"/>
      <c r="D945" s="160"/>
      <c r="E945" s="160"/>
      <c r="F945" s="160"/>
    </row>
    <row r="946">
      <c r="A946" s="160"/>
      <c r="B946" s="160"/>
      <c r="C946" s="160"/>
      <c r="D946" s="160"/>
      <c r="E946" s="160"/>
      <c r="F946" s="160"/>
    </row>
    <row r="947">
      <c r="A947" s="160"/>
      <c r="B947" s="160"/>
      <c r="C947" s="160"/>
      <c r="D947" s="160"/>
      <c r="E947" s="160"/>
      <c r="F947" s="160"/>
    </row>
    <row r="948">
      <c r="A948" s="160"/>
      <c r="B948" s="160"/>
      <c r="C948" s="160"/>
      <c r="D948" s="160"/>
      <c r="E948" s="160"/>
      <c r="F948" s="160"/>
    </row>
    <row r="949">
      <c r="A949" s="160"/>
      <c r="B949" s="160"/>
      <c r="C949" s="160"/>
      <c r="D949" s="160"/>
      <c r="E949" s="160"/>
      <c r="F949" s="160"/>
    </row>
    <row r="950">
      <c r="A950" s="160"/>
      <c r="B950" s="160"/>
      <c r="C950" s="160"/>
      <c r="D950" s="160"/>
      <c r="E950" s="160"/>
      <c r="F950" s="160"/>
    </row>
    <row r="951">
      <c r="A951" s="160"/>
      <c r="B951" s="160"/>
      <c r="C951" s="160"/>
      <c r="D951" s="160"/>
      <c r="E951" s="160"/>
      <c r="F951" s="160"/>
    </row>
    <row r="952">
      <c r="A952" s="160"/>
      <c r="B952" s="160"/>
      <c r="C952" s="160"/>
      <c r="D952" s="160"/>
      <c r="E952" s="160"/>
      <c r="F952" s="160"/>
    </row>
    <row r="953">
      <c r="A953" s="160"/>
      <c r="B953" s="160"/>
      <c r="C953" s="160"/>
      <c r="D953" s="160"/>
      <c r="E953" s="160"/>
      <c r="F953" s="160"/>
    </row>
    <row r="954">
      <c r="A954" s="160"/>
      <c r="B954" s="160"/>
      <c r="C954" s="160"/>
      <c r="D954" s="160"/>
      <c r="E954" s="160"/>
      <c r="F954" s="160"/>
    </row>
    <row r="955">
      <c r="A955" s="160"/>
      <c r="B955" s="160"/>
      <c r="C955" s="160"/>
      <c r="D955" s="160"/>
      <c r="E955" s="160"/>
      <c r="F955" s="160"/>
    </row>
    <row r="956">
      <c r="A956" s="160"/>
      <c r="B956" s="160"/>
      <c r="C956" s="160"/>
      <c r="D956" s="160"/>
      <c r="E956" s="160"/>
      <c r="F956" s="160"/>
    </row>
    <row r="957">
      <c r="A957" s="160"/>
      <c r="B957" s="160"/>
      <c r="C957" s="160"/>
      <c r="D957" s="160"/>
      <c r="E957" s="160"/>
      <c r="F957" s="160"/>
    </row>
    <row r="958">
      <c r="A958" s="160"/>
      <c r="B958" s="160"/>
      <c r="C958" s="160"/>
      <c r="D958" s="160"/>
      <c r="E958" s="160"/>
      <c r="F958" s="160"/>
    </row>
    <row r="959">
      <c r="A959" s="160"/>
      <c r="B959" s="160"/>
      <c r="C959" s="160"/>
      <c r="D959" s="160"/>
      <c r="E959" s="160"/>
      <c r="F959" s="160"/>
    </row>
    <row r="960">
      <c r="A960" s="160"/>
      <c r="B960" s="160"/>
      <c r="C960" s="160"/>
      <c r="D960" s="160"/>
      <c r="E960" s="160"/>
      <c r="F960" s="160"/>
    </row>
    <row r="961">
      <c r="A961" s="160"/>
      <c r="B961" s="160"/>
      <c r="C961" s="160"/>
      <c r="D961" s="160"/>
      <c r="E961" s="160"/>
      <c r="F961" s="160"/>
    </row>
    <row r="962">
      <c r="A962" s="160"/>
      <c r="B962" s="160"/>
      <c r="C962" s="160"/>
      <c r="D962" s="160"/>
      <c r="E962" s="160"/>
      <c r="F962" s="160"/>
    </row>
    <row r="963">
      <c r="A963" s="160"/>
      <c r="B963" s="160"/>
      <c r="C963" s="160"/>
      <c r="D963" s="160"/>
      <c r="E963" s="160"/>
      <c r="F963" s="160"/>
    </row>
    <row r="964">
      <c r="A964" s="160"/>
      <c r="B964" s="160"/>
      <c r="C964" s="160"/>
      <c r="D964" s="160"/>
      <c r="E964" s="160"/>
      <c r="F964" s="160"/>
    </row>
    <row r="965">
      <c r="A965" s="160"/>
      <c r="B965" s="160"/>
      <c r="C965" s="160"/>
      <c r="D965" s="160"/>
      <c r="E965" s="160"/>
      <c r="F965" s="160"/>
    </row>
    <row r="966">
      <c r="A966" s="160"/>
      <c r="B966" s="160"/>
      <c r="C966" s="160"/>
      <c r="D966" s="160"/>
      <c r="E966" s="160"/>
      <c r="F966" s="160"/>
    </row>
    <row r="967">
      <c r="A967" s="160"/>
      <c r="B967" s="160"/>
      <c r="C967" s="160"/>
      <c r="D967" s="160"/>
      <c r="E967" s="160"/>
      <c r="F967" s="160"/>
    </row>
    <row r="968">
      <c r="A968" s="160"/>
      <c r="B968" s="160"/>
      <c r="C968" s="160"/>
      <c r="D968" s="160"/>
      <c r="E968" s="160"/>
      <c r="F968" s="160"/>
    </row>
    <row r="969">
      <c r="A969" s="160"/>
      <c r="B969" s="160"/>
      <c r="C969" s="160"/>
      <c r="D969" s="160"/>
      <c r="E969" s="160"/>
      <c r="F969" s="160"/>
    </row>
    <row r="970">
      <c r="A970" s="160"/>
      <c r="B970" s="160"/>
      <c r="C970" s="160"/>
      <c r="D970" s="160"/>
      <c r="E970" s="160"/>
      <c r="F970" s="160"/>
    </row>
    <row r="971">
      <c r="A971" s="160"/>
      <c r="B971" s="160"/>
      <c r="C971" s="160"/>
      <c r="D971" s="160"/>
      <c r="E971" s="160"/>
      <c r="F971" s="160"/>
    </row>
    <row r="972">
      <c r="A972" s="160"/>
      <c r="B972" s="160"/>
      <c r="C972" s="160"/>
      <c r="D972" s="160"/>
      <c r="E972" s="160"/>
      <c r="F972" s="160"/>
    </row>
    <row r="973">
      <c r="A973" s="160"/>
      <c r="B973" s="160"/>
      <c r="C973" s="160"/>
      <c r="D973" s="160"/>
      <c r="E973" s="160"/>
      <c r="F973" s="160"/>
    </row>
    <row r="974">
      <c r="A974" s="160"/>
      <c r="B974" s="160"/>
      <c r="C974" s="160"/>
      <c r="D974" s="160"/>
      <c r="E974" s="160"/>
      <c r="F974" s="160"/>
    </row>
    <row r="975">
      <c r="A975" s="160"/>
      <c r="B975" s="160"/>
      <c r="C975" s="160"/>
      <c r="D975" s="160"/>
      <c r="E975" s="160"/>
      <c r="F975" s="160"/>
    </row>
    <row r="976">
      <c r="A976" s="160"/>
      <c r="B976" s="160"/>
      <c r="C976" s="160"/>
      <c r="D976" s="160"/>
      <c r="E976" s="160"/>
      <c r="F976" s="160"/>
    </row>
    <row r="977">
      <c r="A977" s="160"/>
      <c r="B977" s="160"/>
      <c r="C977" s="160"/>
      <c r="D977" s="160"/>
      <c r="E977" s="160"/>
      <c r="F977" s="160"/>
    </row>
    <row r="978">
      <c r="A978" s="160"/>
      <c r="B978" s="160"/>
      <c r="C978" s="160"/>
      <c r="D978" s="160"/>
      <c r="E978" s="160"/>
      <c r="F978" s="160"/>
    </row>
    <row r="979">
      <c r="A979" s="160"/>
      <c r="B979" s="160"/>
      <c r="C979" s="160"/>
      <c r="D979" s="160"/>
      <c r="E979" s="160"/>
      <c r="F979" s="160"/>
    </row>
    <row r="980">
      <c r="A980" s="160"/>
      <c r="B980" s="160"/>
      <c r="C980" s="160"/>
      <c r="D980" s="160"/>
      <c r="E980" s="160"/>
      <c r="F980" s="160"/>
    </row>
    <row r="981">
      <c r="A981" s="160"/>
      <c r="B981" s="160"/>
      <c r="C981" s="160"/>
      <c r="D981" s="160"/>
      <c r="E981" s="160"/>
      <c r="F981" s="160"/>
    </row>
    <row r="982">
      <c r="A982" s="160"/>
      <c r="B982" s="160"/>
      <c r="C982" s="160"/>
      <c r="D982" s="160"/>
      <c r="E982" s="160"/>
      <c r="F982" s="160"/>
    </row>
    <row r="983">
      <c r="A983" s="160"/>
      <c r="B983" s="160"/>
      <c r="C983" s="160"/>
      <c r="D983" s="160"/>
      <c r="E983" s="160"/>
      <c r="F983" s="160"/>
    </row>
    <row r="984">
      <c r="A984" s="160"/>
      <c r="B984" s="160"/>
      <c r="C984" s="160"/>
      <c r="D984" s="160"/>
      <c r="E984" s="160"/>
      <c r="F984" s="160"/>
    </row>
    <row r="985">
      <c r="A985" s="160"/>
      <c r="B985" s="160"/>
      <c r="C985" s="160"/>
      <c r="D985" s="160"/>
      <c r="E985" s="160"/>
      <c r="F985" s="160"/>
    </row>
    <row r="986">
      <c r="A986" s="160"/>
      <c r="B986" s="160"/>
      <c r="C986" s="160"/>
      <c r="D986" s="160"/>
      <c r="E986" s="160"/>
      <c r="F986" s="160"/>
    </row>
    <row r="987">
      <c r="A987" s="160"/>
      <c r="B987" s="160"/>
      <c r="C987" s="160"/>
      <c r="D987" s="160"/>
      <c r="E987" s="160"/>
      <c r="F987" s="160"/>
    </row>
    <row r="988">
      <c r="A988" s="160"/>
      <c r="B988" s="160"/>
      <c r="C988" s="160"/>
      <c r="D988" s="160"/>
      <c r="E988" s="160"/>
      <c r="F988" s="160"/>
    </row>
    <row r="989">
      <c r="A989" s="160"/>
      <c r="B989" s="160"/>
      <c r="C989" s="160"/>
      <c r="D989" s="160"/>
      <c r="E989" s="160"/>
      <c r="F989" s="160"/>
    </row>
    <row r="990">
      <c r="A990" s="160"/>
      <c r="B990" s="160"/>
      <c r="C990" s="160"/>
      <c r="D990" s="160"/>
      <c r="E990" s="160"/>
      <c r="F990" s="160"/>
    </row>
    <row r="991">
      <c r="A991" s="160"/>
      <c r="B991" s="160"/>
      <c r="C991" s="160"/>
      <c r="D991" s="160"/>
      <c r="E991" s="160"/>
      <c r="F991" s="160"/>
    </row>
    <row r="992">
      <c r="A992" s="160"/>
      <c r="B992" s="160"/>
      <c r="C992" s="160"/>
      <c r="D992" s="160"/>
      <c r="E992" s="160"/>
      <c r="F992" s="160"/>
    </row>
    <row r="993">
      <c r="A993" s="160"/>
      <c r="B993" s="160"/>
      <c r="C993" s="160"/>
      <c r="D993" s="160"/>
      <c r="E993" s="160"/>
      <c r="F993" s="160"/>
    </row>
    <row r="994">
      <c r="A994" s="160"/>
      <c r="B994" s="160"/>
      <c r="C994" s="160"/>
      <c r="D994" s="160"/>
      <c r="E994" s="160"/>
      <c r="F994" s="160"/>
    </row>
    <row r="995">
      <c r="A995" s="160"/>
      <c r="B995" s="160"/>
      <c r="C995" s="160"/>
      <c r="D995" s="160"/>
      <c r="E995" s="160"/>
      <c r="F995" s="160"/>
    </row>
    <row r="996">
      <c r="A996" s="160"/>
      <c r="B996" s="160"/>
      <c r="C996" s="160"/>
      <c r="D996" s="160"/>
      <c r="E996" s="160"/>
      <c r="F996" s="160"/>
    </row>
    <row r="997">
      <c r="A997" s="160"/>
      <c r="B997" s="160"/>
      <c r="C997" s="160"/>
      <c r="D997" s="160"/>
      <c r="E997" s="160"/>
      <c r="F997" s="160"/>
    </row>
    <row r="998">
      <c r="A998" s="160"/>
      <c r="B998" s="160"/>
      <c r="C998" s="160"/>
      <c r="D998" s="160"/>
      <c r="E998" s="160"/>
      <c r="F998" s="160"/>
    </row>
    <row r="999">
      <c r="A999" s="160"/>
      <c r="B999" s="160"/>
      <c r="C999" s="160"/>
      <c r="D999" s="160"/>
      <c r="E999" s="160"/>
      <c r="F999" s="160"/>
    </row>
    <row r="1000">
      <c r="A1000" s="160"/>
      <c r="B1000" s="160"/>
      <c r="C1000" s="160"/>
      <c r="D1000" s="160"/>
      <c r="E1000" s="160"/>
      <c r="F1000" s="160"/>
    </row>
    <row r="1001">
      <c r="A1001" s="160"/>
      <c r="B1001" s="160"/>
      <c r="C1001" s="160"/>
      <c r="D1001" s="160"/>
      <c r="E1001" s="160"/>
      <c r="F1001" s="160"/>
    </row>
    <row r="1002">
      <c r="A1002" s="160"/>
      <c r="B1002" s="160"/>
      <c r="C1002" s="160"/>
      <c r="D1002" s="160"/>
      <c r="E1002" s="160"/>
      <c r="F1002" s="160"/>
    </row>
    <row r="1003">
      <c r="A1003" s="160"/>
      <c r="B1003" s="160"/>
      <c r="C1003" s="160"/>
      <c r="D1003" s="160"/>
      <c r="E1003" s="160"/>
      <c r="F1003" s="160"/>
    </row>
    <row r="1004">
      <c r="A1004" s="160"/>
      <c r="B1004" s="160"/>
      <c r="C1004" s="160"/>
      <c r="D1004" s="160"/>
      <c r="E1004" s="160"/>
      <c r="F1004" s="160"/>
    </row>
    <row r="1005">
      <c r="A1005" s="160"/>
      <c r="B1005" s="160"/>
      <c r="C1005" s="160"/>
      <c r="D1005" s="160"/>
      <c r="E1005" s="160"/>
      <c r="F1005" s="160"/>
    </row>
    <row r="1006">
      <c r="A1006" s="160"/>
      <c r="B1006" s="160"/>
      <c r="C1006" s="160"/>
      <c r="D1006" s="160"/>
      <c r="E1006" s="160"/>
      <c r="F1006" s="160"/>
    </row>
    <row r="1007">
      <c r="A1007" s="160"/>
      <c r="B1007" s="160"/>
      <c r="C1007" s="160"/>
      <c r="D1007" s="160"/>
      <c r="E1007" s="160"/>
      <c r="F1007" s="160"/>
    </row>
    <row r="1008">
      <c r="A1008" s="160"/>
      <c r="B1008" s="160"/>
      <c r="C1008" s="160"/>
      <c r="D1008" s="160"/>
      <c r="E1008" s="160"/>
      <c r="F1008" s="160"/>
    </row>
    <row r="1009">
      <c r="A1009" s="160"/>
      <c r="B1009" s="160"/>
      <c r="C1009" s="160"/>
      <c r="D1009" s="160"/>
      <c r="E1009" s="160"/>
      <c r="F1009" s="160"/>
    </row>
    <row r="1010">
      <c r="A1010" s="160"/>
      <c r="B1010" s="160"/>
      <c r="C1010" s="160"/>
      <c r="D1010" s="160"/>
      <c r="E1010" s="160"/>
      <c r="F1010" s="160"/>
    </row>
    <row r="1011">
      <c r="A1011" s="160"/>
      <c r="B1011" s="160"/>
      <c r="C1011" s="160"/>
      <c r="D1011" s="160"/>
      <c r="E1011" s="160"/>
      <c r="F1011" s="160"/>
    </row>
    <row r="1012">
      <c r="A1012" s="160"/>
      <c r="B1012" s="160"/>
      <c r="C1012" s="160"/>
      <c r="D1012" s="160"/>
      <c r="E1012" s="160"/>
      <c r="F1012" s="160"/>
    </row>
    <row r="1013">
      <c r="A1013" s="160"/>
      <c r="B1013" s="160"/>
      <c r="C1013" s="160"/>
      <c r="D1013" s="160"/>
      <c r="E1013" s="160"/>
      <c r="F1013" s="160"/>
    </row>
    <row r="1014">
      <c r="A1014" s="160"/>
      <c r="B1014" s="160"/>
      <c r="C1014" s="160"/>
      <c r="D1014" s="160"/>
      <c r="E1014" s="160"/>
      <c r="F1014" s="160"/>
    </row>
    <row r="1015">
      <c r="A1015" s="160"/>
      <c r="B1015" s="160"/>
      <c r="C1015" s="160"/>
      <c r="D1015" s="160"/>
      <c r="E1015" s="160"/>
      <c r="F1015" s="160"/>
    </row>
    <row r="1016">
      <c r="A1016" s="160"/>
      <c r="B1016" s="160"/>
      <c r="C1016" s="160"/>
      <c r="D1016" s="160"/>
      <c r="E1016" s="160"/>
      <c r="F1016" s="160"/>
    </row>
    <row r="1017">
      <c r="A1017" s="160"/>
      <c r="B1017" s="160"/>
      <c r="C1017" s="160"/>
      <c r="D1017" s="160"/>
      <c r="E1017" s="160"/>
      <c r="F1017" s="160"/>
    </row>
    <row r="1018">
      <c r="A1018" s="160"/>
      <c r="B1018" s="160"/>
      <c r="C1018" s="160"/>
      <c r="D1018" s="160"/>
      <c r="E1018" s="160"/>
      <c r="F1018" s="160"/>
    </row>
    <row r="1019">
      <c r="A1019" s="160"/>
      <c r="B1019" s="160"/>
      <c r="C1019" s="160"/>
      <c r="D1019" s="160"/>
      <c r="E1019" s="160"/>
      <c r="F1019" s="160"/>
    </row>
    <row r="1020">
      <c r="A1020" s="160"/>
      <c r="B1020" s="160"/>
      <c r="C1020" s="160"/>
      <c r="D1020" s="160"/>
      <c r="E1020" s="160"/>
      <c r="F1020" s="160"/>
    </row>
    <row r="1021">
      <c r="A1021" s="160"/>
      <c r="B1021" s="160"/>
      <c r="C1021" s="160"/>
      <c r="D1021" s="160"/>
      <c r="E1021" s="160"/>
      <c r="F1021" s="160"/>
    </row>
    <row r="1022">
      <c r="A1022" s="160"/>
      <c r="B1022" s="160"/>
      <c r="C1022" s="160"/>
      <c r="D1022" s="160"/>
      <c r="E1022" s="160"/>
      <c r="F1022" s="160"/>
    </row>
    <row r="1023">
      <c r="A1023" s="160"/>
      <c r="B1023" s="160"/>
      <c r="C1023" s="160"/>
      <c r="D1023" s="160"/>
      <c r="E1023" s="160"/>
      <c r="F1023" s="160"/>
    </row>
    <row r="1024">
      <c r="A1024" s="160"/>
      <c r="B1024" s="160"/>
      <c r="C1024" s="160"/>
      <c r="D1024" s="160"/>
      <c r="E1024" s="160"/>
      <c r="F1024" s="160"/>
    </row>
    <row r="1025">
      <c r="A1025" s="160"/>
      <c r="B1025" s="160"/>
      <c r="C1025" s="160"/>
      <c r="D1025" s="160"/>
      <c r="E1025" s="160"/>
      <c r="F1025" s="160"/>
    </row>
    <row r="1026">
      <c r="A1026" s="160"/>
      <c r="B1026" s="160"/>
      <c r="C1026" s="160"/>
      <c r="D1026" s="160"/>
      <c r="E1026" s="160"/>
      <c r="F1026" s="160"/>
    </row>
    <row r="1027">
      <c r="A1027" s="160"/>
      <c r="B1027" s="160"/>
      <c r="C1027" s="160"/>
      <c r="D1027" s="160"/>
      <c r="E1027" s="160"/>
      <c r="F1027" s="160"/>
    </row>
    <row r="1028">
      <c r="A1028" s="160"/>
      <c r="B1028" s="160"/>
      <c r="C1028" s="160"/>
      <c r="D1028" s="160"/>
      <c r="E1028" s="160"/>
      <c r="F1028" s="160"/>
    </row>
    <row r="1029">
      <c r="A1029" s="160"/>
      <c r="B1029" s="160"/>
      <c r="C1029" s="160"/>
      <c r="D1029" s="160"/>
      <c r="E1029" s="160"/>
      <c r="F1029" s="160"/>
    </row>
    <row r="1030">
      <c r="A1030" s="160"/>
      <c r="B1030" s="160"/>
      <c r="C1030" s="160"/>
      <c r="D1030" s="160"/>
      <c r="E1030" s="160"/>
      <c r="F1030" s="160"/>
    </row>
    <row r="1031">
      <c r="A1031" s="160"/>
      <c r="B1031" s="160"/>
      <c r="C1031" s="160"/>
      <c r="D1031" s="160"/>
      <c r="E1031" s="160"/>
      <c r="F1031" s="160"/>
    </row>
    <row r="1032">
      <c r="A1032" s="160"/>
      <c r="B1032" s="160"/>
      <c r="C1032" s="160"/>
      <c r="D1032" s="160"/>
      <c r="E1032" s="160"/>
      <c r="F1032" s="160"/>
    </row>
    <row r="1033">
      <c r="A1033" s="160"/>
      <c r="B1033" s="160"/>
      <c r="C1033" s="160"/>
      <c r="D1033" s="160"/>
      <c r="E1033" s="160"/>
      <c r="F1033" s="160"/>
    </row>
    <row r="1034">
      <c r="A1034" s="160"/>
      <c r="B1034" s="160"/>
      <c r="C1034" s="160"/>
      <c r="D1034" s="160"/>
      <c r="E1034" s="160"/>
      <c r="F1034" s="160"/>
    </row>
    <row r="1035">
      <c r="A1035" s="160"/>
      <c r="B1035" s="160"/>
      <c r="C1035" s="160"/>
      <c r="D1035" s="160"/>
      <c r="E1035" s="160"/>
      <c r="F1035" s="160"/>
    </row>
    <row r="1036">
      <c r="A1036" s="160"/>
      <c r="B1036" s="160"/>
      <c r="C1036" s="160"/>
      <c r="D1036" s="160"/>
      <c r="E1036" s="160"/>
      <c r="F1036" s="160"/>
    </row>
    <row r="1037">
      <c r="A1037" s="160"/>
      <c r="B1037" s="160"/>
      <c r="C1037" s="160"/>
      <c r="D1037" s="160"/>
      <c r="E1037" s="160"/>
      <c r="F1037" s="160"/>
    </row>
    <row r="1038">
      <c r="A1038" s="160"/>
      <c r="B1038" s="160"/>
      <c r="C1038" s="160"/>
      <c r="D1038" s="160"/>
      <c r="E1038" s="160"/>
      <c r="F1038" s="160"/>
    </row>
    <row r="1039">
      <c r="A1039" s="160"/>
      <c r="B1039" s="160"/>
      <c r="C1039" s="160"/>
      <c r="D1039" s="160"/>
      <c r="E1039" s="160"/>
      <c r="F1039" s="160"/>
    </row>
    <row r="1040">
      <c r="A1040" s="160"/>
      <c r="B1040" s="160"/>
      <c r="C1040" s="160"/>
      <c r="D1040" s="160"/>
      <c r="E1040" s="160"/>
      <c r="F1040" s="160"/>
    </row>
    <row r="1041">
      <c r="A1041" s="160"/>
      <c r="B1041" s="160"/>
      <c r="C1041" s="160"/>
      <c r="D1041" s="160"/>
      <c r="E1041" s="160"/>
      <c r="F1041" s="160"/>
    </row>
    <row r="1042">
      <c r="A1042" s="160"/>
      <c r="B1042" s="160"/>
      <c r="C1042" s="160"/>
      <c r="D1042" s="160"/>
      <c r="E1042" s="160"/>
      <c r="F1042" s="160"/>
    </row>
    <row r="1043">
      <c r="A1043" s="160"/>
      <c r="B1043" s="160"/>
      <c r="C1043" s="160"/>
      <c r="D1043" s="160"/>
      <c r="E1043" s="160"/>
      <c r="F1043" s="160"/>
    </row>
    <row r="1044">
      <c r="A1044" s="160"/>
      <c r="B1044" s="160"/>
      <c r="C1044" s="160"/>
      <c r="D1044" s="160"/>
      <c r="E1044" s="160"/>
      <c r="F1044" s="160"/>
    </row>
    <row r="1045">
      <c r="A1045" s="160"/>
      <c r="B1045" s="160"/>
      <c r="C1045" s="160"/>
      <c r="D1045" s="160"/>
      <c r="E1045" s="160"/>
      <c r="F1045" s="160"/>
    </row>
    <row r="1046">
      <c r="A1046" s="160"/>
      <c r="B1046" s="160"/>
      <c r="C1046" s="160"/>
      <c r="D1046" s="160"/>
      <c r="E1046" s="160"/>
      <c r="F1046" s="160"/>
    </row>
    <row r="1047">
      <c r="A1047" s="160"/>
      <c r="B1047" s="160"/>
      <c r="C1047" s="160"/>
      <c r="D1047" s="160"/>
      <c r="E1047" s="160"/>
      <c r="F1047" s="160"/>
    </row>
    <row r="1048">
      <c r="A1048" s="160"/>
      <c r="B1048" s="160"/>
      <c r="C1048" s="160"/>
      <c r="D1048" s="160"/>
      <c r="E1048" s="160"/>
      <c r="F1048" s="160"/>
    </row>
    <row r="1049">
      <c r="A1049" s="160"/>
      <c r="B1049" s="160"/>
      <c r="C1049" s="160"/>
      <c r="D1049" s="160"/>
      <c r="E1049" s="160"/>
      <c r="F1049" s="160"/>
    </row>
    <row r="1050">
      <c r="A1050" s="160"/>
      <c r="B1050" s="160"/>
      <c r="C1050" s="160"/>
      <c r="D1050" s="160"/>
      <c r="E1050" s="160"/>
      <c r="F1050" s="160"/>
    </row>
    <row r="1051">
      <c r="A1051" s="160"/>
      <c r="B1051" s="160"/>
      <c r="C1051" s="160"/>
      <c r="D1051" s="160"/>
      <c r="E1051" s="160"/>
      <c r="F1051" s="160"/>
    </row>
    <row r="1052">
      <c r="A1052" s="160"/>
      <c r="B1052" s="160"/>
      <c r="C1052" s="160"/>
      <c r="D1052" s="160"/>
      <c r="E1052" s="160"/>
      <c r="F1052" s="160"/>
    </row>
    <row r="1053">
      <c r="A1053" s="160"/>
      <c r="B1053" s="160"/>
      <c r="C1053" s="160"/>
      <c r="D1053" s="160"/>
      <c r="E1053" s="160"/>
      <c r="F1053" s="160"/>
    </row>
    <row r="1054">
      <c r="A1054" s="160"/>
      <c r="B1054" s="160"/>
      <c r="C1054" s="160"/>
      <c r="D1054" s="160"/>
      <c r="E1054" s="160"/>
      <c r="F1054" s="160"/>
    </row>
    <row r="1055">
      <c r="A1055" s="160"/>
      <c r="B1055" s="160"/>
      <c r="C1055" s="160"/>
      <c r="D1055" s="160"/>
      <c r="E1055" s="160"/>
      <c r="F1055" s="160"/>
    </row>
    <row r="1056">
      <c r="A1056" s="160"/>
      <c r="B1056" s="160"/>
      <c r="C1056" s="160"/>
      <c r="D1056" s="160"/>
      <c r="E1056" s="160"/>
      <c r="F1056" s="160"/>
    </row>
    <row r="1057">
      <c r="A1057" s="160"/>
      <c r="B1057" s="160"/>
      <c r="C1057" s="160"/>
      <c r="D1057" s="160"/>
      <c r="E1057" s="160"/>
      <c r="F1057" s="160"/>
    </row>
    <row r="1058">
      <c r="A1058" s="160"/>
      <c r="B1058" s="160"/>
      <c r="C1058" s="160"/>
      <c r="D1058" s="160"/>
      <c r="E1058" s="160"/>
      <c r="F1058" s="160"/>
    </row>
    <row r="1059">
      <c r="A1059" s="160"/>
      <c r="B1059" s="160"/>
      <c r="C1059" s="160"/>
      <c r="D1059" s="160"/>
      <c r="E1059" s="160"/>
      <c r="F1059" s="160"/>
    </row>
    <row r="1060">
      <c r="A1060" s="160"/>
      <c r="B1060" s="160"/>
      <c r="C1060" s="160"/>
      <c r="D1060" s="160"/>
      <c r="E1060" s="160"/>
      <c r="F1060" s="160"/>
    </row>
    <row r="1061">
      <c r="A1061" s="160"/>
      <c r="B1061" s="160"/>
      <c r="C1061" s="160"/>
      <c r="D1061" s="160"/>
      <c r="E1061" s="160"/>
      <c r="F1061" s="160"/>
    </row>
    <row r="1062">
      <c r="A1062" s="160"/>
      <c r="B1062" s="160"/>
      <c r="C1062" s="160"/>
      <c r="D1062" s="160"/>
      <c r="E1062" s="160"/>
      <c r="F1062" s="160"/>
    </row>
    <row r="1063">
      <c r="A1063" s="160"/>
      <c r="B1063" s="160"/>
      <c r="C1063" s="160"/>
      <c r="D1063" s="160"/>
      <c r="E1063" s="160"/>
      <c r="F1063" s="160"/>
    </row>
    <row r="1064">
      <c r="A1064" s="160"/>
      <c r="B1064" s="160"/>
      <c r="C1064" s="160"/>
      <c r="D1064" s="160"/>
      <c r="E1064" s="160"/>
      <c r="F1064" s="160"/>
    </row>
    <row r="1065">
      <c r="A1065" s="160"/>
      <c r="B1065" s="160"/>
      <c r="C1065" s="160"/>
      <c r="D1065" s="160"/>
      <c r="E1065" s="160"/>
      <c r="F1065" s="160"/>
    </row>
    <row r="1066">
      <c r="A1066" s="160"/>
      <c r="B1066" s="160"/>
      <c r="C1066" s="160"/>
      <c r="D1066" s="160"/>
      <c r="E1066" s="160"/>
      <c r="F1066" s="160"/>
    </row>
    <row r="1067">
      <c r="A1067" s="160"/>
      <c r="B1067" s="160"/>
      <c r="C1067" s="160"/>
      <c r="D1067" s="160"/>
      <c r="E1067" s="160"/>
      <c r="F1067" s="160"/>
    </row>
    <row r="1068">
      <c r="A1068" s="160"/>
      <c r="B1068" s="160"/>
      <c r="C1068" s="160"/>
      <c r="D1068" s="160"/>
      <c r="E1068" s="160"/>
      <c r="F1068" s="160"/>
    </row>
    <row r="1069">
      <c r="A1069" s="160"/>
      <c r="B1069" s="160"/>
      <c r="C1069" s="160"/>
      <c r="D1069" s="160"/>
      <c r="E1069" s="160"/>
      <c r="F1069" s="160"/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  <col customWidth="1" min="2" max="2" width="12.5"/>
    <col customWidth="1" min="4" max="4" width="25.0"/>
    <col customWidth="1" min="5" max="5" width="7.63"/>
    <col customWidth="1" min="7" max="7" width="23.13"/>
    <col customWidth="1" min="8" max="8" width="11.88"/>
  </cols>
  <sheetData>
    <row r="1">
      <c r="A1" s="163" t="s">
        <v>1779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</row>
    <row r="2">
      <c r="A2" s="160"/>
      <c r="B2" s="160"/>
      <c r="C2" s="160"/>
      <c r="D2" s="160"/>
      <c r="E2" s="164"/>
      <c r="F2" s="165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</row>
    <row r="3">
      <c r="A3" s="166" t="s">
        <v>1780</v>
      </c>
      <c r="B3" s="167"/>
      <c r="C3" s="160"/>
      <c r="D3" s="168" t="s">
        <v>1781</v>
      </c>
      <c r="E3" s="169"/>
      <c r="F3" s="165"/>
      <c r="G3" s="170" t="s">
        <v>1782</v>
      </c>
      <c r="H3" s="171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</row>
    <row r="4">
      <c r="A4" s="172" t="s">
        <v>1783</v>
      </c>
      <c r="B4" s="172" t="s">
        <v>1784</v>
      </c>
      <c r="C4" s="160"/>
      <c r="D4" s="173" t="s">
        <v>1785</v>
      </c>
      <c r="E4" s="174" t="str">
        <f>SUM('STOCK VENDU'!F13,'STOCK VENDU'!F30,'STOCK VENDU'!F79,'STOCK VENDU'!F129,'STOCK VENDU'!F158)</f>
        <v>#REF!</v>
      </c>
      <c r="F4" s="165"/>
      <c r="G4" s="175" t="s">
        <v>1786</v>
      </c>
      <c r="H4" s="176">
        <f>SUM(StockOld!G2:G368)</f>
        <v>2290.68</v>
      </c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</row>
    <row r="5">
      <c r="A5" s="177" t="s">
        <v>1787</v>
      </c>
      <c r="B5" s="178">
        <v>0.0</v>
      </c>
      <c r="C5" s="160"/>
      <c r="D5" s="179"/>
      <c r="E5" s="180"/>
      <c r="F5" s="165"/>
      <c r="G5" s="171"/>
      <c r="H5" s="171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</row>
    <row r="6">
      <c r="A6" s="177" t="s">
        <v>1788</v>
      </c>
      <c r="B6" s="178">
        <v>22.99</v>
      </c>
      <c r="C6" s="160"/>
      <c r="D6" s="173" t="s">
        <v>1789</v>
      </c>
      <c r="E6" s="174" t="str">
        <f>SUM('STOCK VENDU'!H13,'STOCK VENDU'!H30,'STOCK VENDU'!H79,'STOCK VENDU'!H129,'STOCK VENDU'!H158)</f>
        <v>#REF!</v>
      </c>
      <c r="F6" s="165"/>
      <c r="G6" s="171"/>
      <c r="H6" s="171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</row>
    <row r="7">
      <c r="A7" s="177" t="s">
        <v>1790</v>
      </c>
      <c r="B7" s="178">
        <v>9.99</v>
      </c>
      <c r="C7" s="160"/>
      <c r="D7" s="173" t="s">
        <v>1791</v>
      </c>
      <c r="E7" s="181" t="str">
        <f>AVERAGE('STOCK VENDU'!I13,'STOCK VENDU'!I30,'STOCK VENDU'!I79,'STOCK VENDU'!I129,'STOCK VENDU'!I158)</f>
        <v>#REF!</v>
      </c>
      <c r="F7" s="165"/>
      <c r="G7" s="171"/>
      <c r="H7" s="171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>
      <c r="A8" s="177" t="s">
        <v>1792</v>
      </c>
      <c r="B8" s="178">
        <v>1.0</v>
      </c>
      <c r="C8" s="160"/>
      <c r="D8" s="173" t="s">
        <v>1793</v>
      </c>
      <c r="E8" s="180"/>
      <c r="F8" s="165"/>
      <c r="G8" s="171"/>
      <c r="H8" s="171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</row>
    <row r="9">
      <c r="A9" s="177" t="s">
        <v>1794</v>
      </c>
      <c r="B9" s="178">
        <f>8.01+7.87+8.73+8.95</f>
        <v>33.56</v>
      </c>
      <c r="C9" s="160"/>
      <c r="D9" s="179"/>
      <c r="E9" s="182"/>
      <c r="F9" s="165"/>
      <c r="G9" s="171"/>
      <c r="H9" s="171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</row>
    <row r="10">
      <c r="A10" s="177" t="s">
        <v>1795</v>
      </c>
      <c r="B10" s="178">
        <f>12.59+3.86+6.2+4.24+8.68</f>
        <v>35.57</v>
      </c>
      <c r="C10" s="160"/>
      <c r="D10" s="173" t="s">
        <v>1796</v>
      </c>
      <c r="E10" s="174" t="str">
        <f>SUM(E4,E8)</f>
        <v>#REF!</v>
      </c>
      <c r="F10" s="165"/>
      <c r="G10" s="171"/>
      <c r="H10" s="171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</row>
    <row r="11">
      <c r="A11" s="177" t="s">
        <v>1797</v>
      </c>
      <c r="B11" s="178">
        <v>50.0</v>
      </c>
      <c r="C11" s="160"/>
      <c r="D11" s="179"/>
      <c r="E11" s="182"/>
      <c r="F11" s="165"/>
      <c r="G11" s="171"/>
      <c r="H11" s="171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</row>
    <row r="12">
      <c r="A12" s="177" t="s">
        <v>1798</v>
      </c>
      <c r="B12" s="178">
        <f>128.8+26+15.33+7.66</f>
        <v>177.79</v>
      </c>
      <c r="C12" s="160"/>
      <c r="D12" s="173" t="s">
        <v>1799</v>
      </c>
      <c r="E12" s="174" t="str">
        <f>SUM(E6,E8)</f>
        <v>#REF!</v>
      </c>
      <c r="F12" s="165"/>
      <c r="G12" s="171"/>
      <c r="H12" s="171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</row>
    <row r="13">
      <c r="A13" s="177" t="s">
        <v>1800</v>
      </c>
      <c r="B13" s="178">
        <v>16.0</v>
      </c>
      <c r="C13" s="160"/>
      <c r="D13" s="179"/>
      <c r="E13" s="169"/>
      <c r="F13" s="160"/>
      <c r="G13" s="171"/>
      <c r="H13" s="171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</row>
    <row r="14">
      <c r="A14" s="177" t="s">
        <v>1801</v>
      </c>
      <c r="B14" s="178">
        <v>30.0</v>
      </c>
      <c r="C14" s="160"/>
      <c r="D14" s="179"/>
      <c r="E14" s="169"/>
      <c r="F14" s="160"/>
      <c r="G14" s="171"/>
      <c r="H14" s="171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</row>
    <row r="15">
      <c r="A15" s="177" t="s">
        <v>1802</v>
      </c>
      <c r="B15" s="178">
        <v>50.21</v>
      </c>
      <c r="C15" s="160"/>
      <c r="D15" s="179"/>
      <c r="E15" s="169"/>
      <c r="F15" s="160"/>
      <c r="G15" s="171"/>
      <c r="H15" s="171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</row>
    <row r="16">
      <c r="A16" s="177" t="s">
        <v>1803</v>
      </c>
      <c r="B16" s="178">
        <f>17.94+53.85</f>
        <v>71.79</v>
      </c>
      <c r="C16" s="160"/>
      <c r="D16" s="179"/>
      <c r="E16" s="169"/>
      <c r="F16" s="160"/>
      <c r="G16" s="171"/>
      <c r="H16" s="171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</row>
    <row r="17">
      <c r="A17" s="177" t="s">
        <v>1804</v>
      </c>
      <c r="B17" s="178">
        <v>30.0</v>
      </c>
      <c r="C17" s="160"/>
      <c r="D17" s="179"/>
      <c r="E17" s="169"/>
      <c r="F17" s="160"/>
      <c r="G17" s="171"/>
      <c r="H17" s="171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</row>
    <row r="18">
      <c r="A18" s="172" t="s">
        <v>1805</v>
      </c>
      <c r="B18" s="183">
        <f>SUM(B6:B17)</f>
        <v>528.9</v>
      </c>
      <c r="C18" s="160"/>
      <c r="D18" s="179"/>
      <c r="E18" s="169"/>
      <c r="F18" s="160"/>
      <c r="G18" s="171"/>
      <c r="H18" s="171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</row>
    <row r="19">
      <c r="A19" s="160"/>
      <c r="B19" s="160"/>
      <c r="C19" s="160"/>
      <c r="D19" s="160"/>
      <c r="E19" s="164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</row>
    <row r="20">
      <c r="A20" s="160"/>
      <c r="B20" s="160"/>
      <c r="C20" s="160"/>
      <c r="D20" s="160"/>
      <c r="E20" s="164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</row>
    <row r="21">
      <c r="A21" s="184" t="s">
        <v>1806</v>
      </c>
      <c r="B21" s="185" t="str">
        <f>SUM(E8,E6)</f>
        <v>#REF!</v>
      </c>
      <c r="C21" s="160"/>
      <c r="D21" s="160"/>
      <c r="E21" s="164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</row>
    <row r="22">
      <c r="A22" s="184" t="s">
        <v>1807</v>
      </c>
      <c r="B22" s="186" t="str">
        <f>SUM(B21-B18)</f>
        <v>#REF!</v>
      </c>
      <c r="C22" s="160"/>
      <c r="D22" s="160"/>
      <c r="E22" s="164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</row>
    <row r="23">
      <c r="A23" s="160"/>
      <c r="B23" s="160"/>
      <c r="C23" s="160"/>
      <c r="D23" s="160"/>
      <c r="E23" s="164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</row>
    <row r="24">
      <c r="A24" s="160"/>
      <c r="B24" s="160"/>
      <c r="C24" s="160"/>
      <c r="D24" s="160"/>
      <c r="E24" s="164"/>
      <c r="F24" s="160"/>
      <c r="G24" s="187">
        <v>45904.0</v>
      </c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>
      <c r="A25" s="160"/>
      <c r="B25" s="160"/>
      <c r="C25" s="160"/>
      <c r="D25" s="160"/>
      <c r="E25" s="164"/>
      <c r="F25" s="160"/>
      <c r="G25" s="188">
        <v>45899.0</v>
      </c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</row>
    <row r="26">
      <c r="A26" s="161"/>
      <c r="B26" s="161"/>
      <c r="C26" s="160"/>
      <c r="D26" s="160"/>
      <c r="E26" s="164"/>
      <c r="F26" s="160"/>
      <c r="G26" s="187">
        <v>45906.0</v>
      </c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</row>
    <row r="27">
      <c r="A27" s="161"/>
      <c r="B27" s="161"/>
      <c r="C27" s="160"/>
      <c r="D27" s="160"/>
      <c r="E27" s="164"/>
      <c r="F27" s="160"/>
      <c r="G27" s="187">
        <v>45924.0</v>
      </c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</row>
    <row r="28">
      <c r="A28" s="161"/>
      <c r="B28" s="189"/>
      <c r="C28" s="160"/>
      <c r="D28" s="160"/>
      <c r="E28" s="164"/>
      <c r="F28" s="160"/>
      <c r="G28" s="187">
        <v>45960.0</v>
      </c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</row>
    <row r="29">
      <c r="A29" s="161"/>
      <c r="B29" s="190"/>
      <c r="C29" s="160"/>
      <c r="D29" s="160"/>
      <c r="E29" s="164"/>
      <c r="F29" s="160"/>
      <c r="G29" s="187">
        <v>45960.0</v>
      </c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</row>
    <row r="30">
      <c r="A30" s="161"/>
      <c r="B30" s="189"/>
      <c r="C30" s="160"/>
      <c r="D30" s="160"/>
      <c r="E30" s="164"/>
      <c r="F30" s="160"/>
      <c r="G30" s="187">
        <v>45960.0</v>
      </c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</row>
    <row r="31">
      <c r="A31" s="161"/>
      <c r="B31" s="189"/>
      <c r="C31" s="160"/>
      <c r="D31" s="160"/>
      <c r="E31" s="164"/>
      <c r="F31" s="160"/>
      <c r="G31" s="187">
        <v>45960.0</v>
      </c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</row>
    <row r="32">
      <c r="A32" s="161"/>
      <c r="B32" s="189"/>
      <c r="C32" s="160"/>
      <c r="D32" s="160"/>
      <c r="E32" s="164"/>
      <c r="F32" s="160"/>
      <c r="G32" s="187">
        <v>45960.0</v>
      </c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</row>
    <row r="33">
      <c r="A33" s="161"/>
      <c r="B33" s="189"/>
      <c r="C33" s="160"/>
      <c r="D33" s="160"/>
      <c r="E33" s="164"/>
      <c r="F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</row>
    <row r="34">
      <c r="A34" s="161"/>
      <c r="B34" s="189"/>
      <c r="C34" s="160"/>
      <c r="D34" s="160"/>
      <c r="E34" s="164"/>
      <c r="F34" s="165"/>
      <c r="G34" s="187">
        <v>45960.0</v>
      </c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</row>
    <row r="35">
      <c r="A35" s="161"/>
      <c r="B35" s="189"/>
      <c r="C35" s="160"/>
      <c r="D35" s="160"/>
      <c r="E35" s="164"/>
      <c r="F35" s="165"/>
      <c r="G35" s="187">
        <v>45960.0</v>
      </c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</row>
    <row r="36">
      <c r="A36" s="161"/>
      <c r="B36" s="190"/>
      <c r="C36" s="160"/>
      <c r="D36" s="160"/>
      <c r="E36" s="164"/>
      <c r="F36" s="165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</row>
    <row r="37">
      <c r="A37" s="161"/>
      <c r="B37" s="189"/>
      <c r="C37" s="160"/>
      <c r="D37" s="160"/>
      <c r="E37" s="164"/>
      <c r="F37" s="165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</row>
    <row r="38">
      <c r="A38" s="161"/>
      <c r="B38" s="189"/>
      <c r="C38" s="160"/>
      <c r="D38" s="160"/>
      <c r="E38" s="164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</row>
    <row r="39">
      <c r="A39" s="161"/>
      <c r="B39" s="161"/>
      <c r="C39" s="160"/>
      <c r="D39" s="160"/>
      <c r="E39" s="164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</row>
    <row r="40">
      <c r="A40" s="161"/>
      <c r="B40" s="161"/>
      <c r="C40" s="160"/>
      <c r="D40" s="160"/>
      <c r="E40" s="164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</row>
    <row r="41">
      <c r="A41" s="160"/>
      <c r="B41" s="160"/>
      <c r="C41" s="160"/>
      <c r="D41" s="160"/>
      <c r="E41" s="164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</row>
    <row r="42">
      <c r="A42" s="160"/>
      <c r="B42" s="160"/>
      <c r="C42" s="160"/>
      <c r="D42" s="160"/>
      <c r="E42" s="164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</row>
    <row r="43">
      <c r="A43" s="160"/>
      <c r="B43" s="160"/>
      <c r="C43" s="160"/>
      <c r="D43" s="160"/>
      <c r="E43" s="164"/>
      <c r="F43" s="160"/>
      <c r="G43" s="13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</row>
    <row r="44">
      <c r="A44" s="160"/>
      <c r="B44" s="160"/>
      <c r="C44" s="160"/>
      <c r="D44" s="160"/>
      <c r="E44" s="164"/>
      <c r="F44" s="160"/>
      <c r="G44" s="13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</row>
    <row r="45">
      <c r="A45" s="160"/>
      <c r="B45" s="160"/>
      <c r="C45" s="160"/>
      <c r="D45" s="160"/>
      <c r="E45" s="164"/>
      <c r="F45" s="160"/>
      <c r="G45" s="13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</row>
    <row r="46">
      <c r="A46" s="160"/>
      <c r="B46" s="160"/>
      <c r="C46" s="160"/>
      <c r="D46" s="160"/>
      <c r="E46" s="164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</row>
    <row r="47">
      <c r="A47" s="160"/>
      <c r="B47" s="160"/>
      <c r="C47" s="160"/>
      <c r="D47" s="160"/>
      <c r="E47" s="164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</row>
    <row r="48">
      <c r="A48" s="160"/>
      <c r="B48" s="160"/>
      <c r="C48" s="160"/>
      <c r="D48" s="160"/>
      <c r="E48" s="165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</row>
    <row r="49">
      <c r="A49" s="160"/>
      <c r="B49" s="160"/>
      <c r="C49" s="160"/>
      <c r="D49" s="160"/>
      <c r="E49" s="165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</row>
    <row r="50">
      <c r="A50" s="160"/>
      <c r="B50" s="160"/>
      <c r="C50" s="160"/>
      <c r="D50" s="160"/>
      <c r="E50" s="165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</row>
    <row r="51">
      <c r="A51" s="160"/>
      <c r="B51" s="160"/>
      <c r="C51" s="160"/>
      <c r="D51" s="160"/>
      <c r="E51" s="165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</row>
    <row r="52">
      <c r="A52" s="160"/>
      <c r="B52" s="160"/>
      <c r="C52" s="160"/>
      <c r="D52" s="160"/>
      <c r="E52" s="165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</row>
    <row r="53">
      <c r="A53" s="160"/>
      <c r="B53" s="160"/>
      <c r="C53" s="160"/>
      <c r="D53" s="160"/>
      <c r="E53" s="165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</row>
    <row r="54">
      <c r="A54" s="160"/>
      <c r="B54" s="160"/>
      <c r="C54" s="160"/>
      <c r="D54" s="160"/>
      <c r="E54" s="165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</row>
    <row r="55">
      <c r="A55" s="160"/>
      <c r="B55" s="160"/>
      <c r="C55" s="160"/>
      <c r="D55" s="160"/>
      <c r="E55" s="165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</row>
    <row r="56">
      <c r="A56" s="160"/>
      <c r="B56" s="160"/>
      <c r="C56" s="160"/>
      <c r="D56" s="160"/>
      <c r="E56" s="165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</row>
    <row r="57">
      <c r="A57" s="160"/>
      <c r="B57" s="160"/>
      <c r="C57" s="160"/>
      <c r="D57" s="160"/>
      <c r="E57" s="165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</row>
    <row r="58">
      <c r="A58" s="160"/>
      <c r="B58" s="160"/>
      <c r="C58" s="160"/>
      <c r="D58" s="160"/>
      <c r="E58" s="165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</row>
    <row r="59">
      <c r="A59" s="160"/>
      <c r="B59" s="160"/>
      <c r="C59" s="160"/>
      <c r="D59" s="160"/>
      <c r="E59" s="165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</row>
    <row r="60">
      <c r="A60" s="160"/>
      <c r="B60" s="160"/>
      <c r="C60" s="160"/>
      <c r="D60" s="160"/>
      <c r="E60" s="165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</row>
    <row r="61">
      <c r="A61" s="160"/>
      <c r="B61" s="160"/>
      <c r="C61" s="160"/>
      <c r="D61" s="160"/>
      <c r="E61" s="165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</row>
    <row r="62">
      <c r="A62" s="160"/>
      <c r="B62" s="160"/>
      <c r="C62" s="160"/>
      <c r="D62" s="160"/>
      <c r="E62" s="165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</row>
    <row r="63">
      <c r="A63" s="160"/>
      <c r="B63" s="160"/>
      <c r="C63" s="160"/>
      <c r="D63" s="160"/>
      <c r="E63" s="165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</row>
    <row r="64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</row>
    <row r="65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</row>
    <row r="66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</row>
    <row r="67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</row>
    <row r="68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</row>
    <row r="69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</row>
    <row r="70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</row>
    <row r="71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</row>
    <row r="72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</row>
    <row r="73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</row>
    <row r="74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</row>
    <row r="75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</row>
    <row r="76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</row>
    <row r="77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</row>
    <row r="78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</row>
    <row r="79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</row>
    <row r="80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</row>
    <row r="81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</row>
    <row r="82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</row>
    <row r="83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</row>
    <row r="84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</row>
    <row r="85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</row>
    <row r="86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</row>
    <row r="87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</row>
    <row r="88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</row>
    <row r="89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</row>
    <row r="90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</row>
    <row r="91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</row>
    <row r="92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</row>
    <row r="93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</row>
    <row r="94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</row>
    <row r="95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</row>
    <row r="96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</row>
    <row r="97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</row>
    <row r="98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</row>
    <row r="99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</row>
    <row r="100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</row>
    <row r="101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</row>
    <row r="102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</row>
    <row r="103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</row>
    <row r="104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</row>
    <row r="105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</row>
    <row r="106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</row>
    <row r="107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</row>
    <row r="108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</row>
    <row r="109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</row>
    <row r="110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</row>
    <row r="111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</row>
    <row r="112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</row>
    <row r="113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</row>
    <row r="114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</row>
    <row r="115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</row>
    <row r="116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</row>
    <row r="117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</row>
    <row r="118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</row>
    <row r="119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</row>
    <row r="120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</row>
    <row r="121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</row>
    <row r="122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</row>
    <row r="123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</row>
    <row r="124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</row>
    <row r="125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</row>
    <row r="126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</row>
    <row r="127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</row>
    <row r="128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</row>
    <row r="129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</row>
    <row r="130">
      <c r="A130" s="160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</row>
    <row r="131">
      <c r="A131" s="160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</row>
    <row r="132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</row>
    <row r="133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</row>
    <row r="134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</row>
    <row r="135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</row>
    <row r="136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</row>
    <row r="137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</row>
    <row r="138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</row>
    <row r="139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</row>
    <row r="140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</row>
    <row r="141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</row>
    <row r="142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</row>
    <row r="143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</row>
    <row r="144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</row>
    <row r="145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</row>
    <row r="146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</row>
    <row r="147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</row>
    <row r="148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</row>
    <row r="149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</row>
    <row r="150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</row>
    <row r="151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</row>
    <row r="152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</row>
    <row r="153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</row>
    <row r="154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</row>
    <row r="155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</row>
    <row r="156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</row>
    <row r="157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</row>
    <row r="158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</row>
    <row r="159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</row>
    <row r="160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</row>
    <row r="161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</row>
    <row r="162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</row>
    <row r="163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</row>
    <row r="164">
      <c r="A164" s="160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</row>
    <row r="165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</row>
    <row r="166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</row>
    <row r="167">
      <c r="A167" s="160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</row>
    <row r="168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</row>
    <row r="169">
      <c r="A169" s="160"/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</row>
    <row r="170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</row>
    <row r="171">
      <c r="A171" s="160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</row>
    <row r="172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</row>
    <row r="173">
      <c r="A173" s="160"/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</row>
    <row r="174">
      <c r="A174" s="160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</row>
    <row r="175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</row>
    <row r="176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</row>
    <row r="177">
      <c r="A177" s="160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</row>
    <row r="178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</row>
    <row r="179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</row>
    <row r="180">
      <c r="A180" s="160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</row>
    <row r="181">
      <c r="A181" s="160"/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</row>
    <row r="182">
      <c r="A182" s="160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</row>
    <row r="183">
      <c r="A183" s="160"/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</row>
    <row r="184">
      <c r="A184" s="160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</row>
    <row r="185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</row>
    <row r="186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</row>
    <row r="187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</row>
    <row r="188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</row>
    <row r="189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</row>
    <row r="190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</row>
    <row r="191">
      <c r="A191" s="160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</row>
    <row r="192">
      <c r="A192" s="160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</row>
    <row r="193">
      <c r="A193" s="160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</row>
    <row r="194">
      <c r="A194" s="160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</row>
    <row r="195">
      <c r="A195" s="160"/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</row>
    <row r="196">
      <c r="A196" s="160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</row>
    <row r="197">
      <c r="A197" s="160"/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</row>
    <row r="198">
      <c r="A198" s="160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</row>
    <row r="199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</row>
    <row r="200">
      <c r="A200" s="160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</row>
    <row r="201">
      <c r="A201" s="160"/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</row>
    <row r="202">
      <c r="A202" s="160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</row>
    <row r="203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</row>
    <row r="204">
      <c r="A204" s="160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</row>
    <row r="205">
      <c r="A205" s="160"/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</row>
    <row r="206">
      <c r="A206" s="160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</row>
    <row r="207">
      <c r="A207" s="160"/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</row>
    <row r="208">
      <c r="A208" s="160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</row>
    <row r="209">
      <c r="A209" s="160"/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</row>
    <row r="210">
      <c r="A210" s="160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</row>
    <row r="211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</row>
    <row r="212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</row>
    <row r="213">
      <c r="A213" s="160"/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</row>
    <row r="214">
      <c r="A214" s="160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</row>
    <row r="215">
      <c r="A215" s="160"/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</row>
    <row r="216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</row>
    <row r="217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</row>
    <row r="218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</row>
    <row r="219">
      <c r="A219" s="160"/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</row>
    <row r="220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</row>
    <row r="221">
      <c r="A221" s="160"/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</row>
    <row r="222">
      <c r="A222" s="160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</row>
    <row r="223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</row>
    <row r="224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</row>
    <row r="225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</row>
    <row r="226">
      <c r="A226" s="160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</row>
    <row r="227">
      <c r="A227" s="160"/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</row>
    <row r="228">
      <c r="A228" s="160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</row>
    <row r="229">
      <c r="A229" s="160"/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</row>
    <row r="230">
      <c r="A230" s="160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</row>
    <row r="231">
      <c r="A231" s="160"/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</row>
    <row r="232">
      <c r="A232" s="160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</row>
    <row r="233">
      <c r="A233" s="160"/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</row>
    <row r="234">
      <c r="A234" s="160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</row>
    <row r="235">
      <c r="A235" s="160"/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</row>
    <row r="236">
      <c r="A236" s="160"/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</row>
    <row r="237">
      <c r="A237" s="160"/>
      <c r="B237" s="160"/>
      <c r="C237" s="160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</row>
    <row r="238">
      <c r="A238" s="160"/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</row>
    <row r="239">
      <c r="A239" s="160"/>
      <c r="B239" s="160"/>
      <c r="C239" s="160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</row>
    <row r="240">
      <c r="A240" s="160"/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</row>
    <row r="241">
      <c r="A241" s="160"/>
      <c r="B241" s="160"/>
      <c r="C241" s="160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</row>
    <row r="242">
      <c r="A242" s="160"/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</row>
    <row r="243">
      <c r="A243" s="160"/>
      <c r="B243" s="160"/>
      <c r="C243" s="160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</row>
    <row r="244">
      <c r="A244" s="160"/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</row>
    <row r="245">
      <c r="A245" s="160"/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</row>
    <row r="246">
      <c r="A246" s="160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</row>
    <row r="247">
      <c r="A247" s="160"/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</row>
    <row r="248">
      <c r="A248" s="160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</row>
    <row r="249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</row>
    <row r="250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</row>
    <row r="251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</row>
    <row r="252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</row>
    <row r="253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</row>
    <row r="254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</row>
    <row r="255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</row>
    <row r="256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</row>
    <row r="257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</row>
    <row r="258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</row>
    <row r="259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</row>
    <row r="260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</row>
    <row r="261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</row>
    <row r="262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</row>
    <row r="263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</row>
    <row r="264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</row>
    <row r="265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</row>
    <row r="266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</row>
    <row r="267">
      <c r="A267" s="160"/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</row>
    <row r="268">
      <c r="A268" s="160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</row>
    <row r="269">
      <c r="A269" s="160"/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</row>
    <row r="270">
      <c r="A270" s="160"/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</row>
    <row r="271">
      <c r="A271" s="160"/>
      <c r="B271" s="160"/>
      <c r="C271" s="160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</row>
    <row r="272">
      <c r="A272" s="160"/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</row>
    <row r="273">
      <c r="A273" s="160"/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</row>
    <row r="274">
      <c r="A274" s="160"/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</row>
    <row r="275">
      <c r="A275" s="160"/>
      <c r="B275" s="160"/>
      <c r="C275" s="160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</row>
    <row r="276">
      <c r="A276" s="160"/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</row>
    <row r="277">
      <c r="A277" s="160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</row>
    <row r="278">
      <c r="A278" s="160"/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</row>
    <row r="279">
      <c r="A279" s="160"/>
      <c r="B279" s="160"/>
      <c r="C279" s="160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</row>
    <row r="280">
      <c r="A280" s="160"/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</row>
    <row r="281">
      <c r="A281" s="160"/>
      <c r="B281" s="160"/>
      <c r="C281" s="160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</row>
    <row r="282">
      <c r="A282" s="160"/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</row>
    <row r="283">
      <c r="A283" s="160"/>
      <c r="B283" s="160"/>
      <c r="C283" s="160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</row>
    <row r="284">
      <c r="A284" s="160"/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</row>
    <row r="285">
      <c r="A285" s="160"/>
      <c r="B285" s="160"/>
      <c r="C285" s="160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</row>
    <row r="286">
      <c r="A286" s="160"/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</row>
    <row r="287">
      <c r="A287" s="160"/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</row>
    <row r="288">
      <c r="A288" s="160"/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</row>
    <row r="289">
      <c r="A289" s="160"/>
      <c r="B289" s="160"/>
      <c r="C289" s="160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</row>
    <row r="290">
      <c r="A290" s="160"/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</row>
    <row r="291">
      <c r="A291" s="160"/>
      <c r="B291" s="160"/>
      <c r="C291" s="160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</row>
    <row r="292">
      <c r="A292" s="160"/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</row>
    <row r="293">
      <c r="A293" s="160"/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</row>
    <row r="294">
      <c r="A294" s="160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</row>
    <row r="295">
      <c r="A295" s="160"/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</row>
    <row r="296">
      <c r="A296" s="160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</row>
    <row r="297">
      <c r="A297" s="160"/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</row>
    <row r="298">
      <c r="A298" s="160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</row>
    <row r="299">
      <c r="A299" s="160"/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</row>
    <row r="300">
      <c r="A300" s="160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</row>
    <row r="301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</row>
    <row r="302">
      <c r="A302" s="160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</row>
    <row r="303">
      <c r="A303" s="160"/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</row>
    <row r="304">
      <c r="A304" s="160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</row>
    <row r="305">
      <c r="A305" s="160"/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</row>
    <row r="306">
      <c r="A306" s="160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</row>
    <row r="307">
      <c r="A307" s="160"/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</row>
    <row r="308">
      <c r="A308" s="160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</row>
    <row r="309">
      <c r="A309" s="160"/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</row>
    <row r="310">
      <c r="A310" s="160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</row>
    <row r="311">
      <c r="A311" s="160"/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</row>
    <row r="312">
      <c r="A312" s="160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</row>
    <row r="313">
      <c r="A313" s="160"/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</row>
    <row r="314">
      <c r="A314" s="160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</row>
    <row r="315">
      <c r="A315" s="160"/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</row>
    <row r="316">
      <c r="A316" s="160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</row>
    <row r="317">
      <c r="A317" s="160"/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</row>
    <row r="318">
      <c r="A318" s="160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</row>
    <row r="319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</row>
    <row r="320">
      <c r="A320" s="160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</row>
    <row r="321">
      <c r="A321" s="160"/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</row>
    <row r="322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</row>
    <row r="323">
      <c r="A323" s="160"/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</row>
    <row r="324">
      <c r="A324" s="160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</row>
    <row r="325">
      <c r="A325" s="160"/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</row>
    <row r="326">
      <c r="A326" s="160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</row>
    <row r="327">
      <c r="A327" s="160"/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</row>
    <row r="328">
      <c r="A328" s="160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</row>
    <row r="329">
      <c r="A329" s="160"/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</row>
    <row r="330">
      <c r="A330" s="160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</row>
    <row r="331">
      <c r="A331" s="160"/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</row>
    <row r="332">
      <c r="A332" s="160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</row>
    <row r="333">
      <c r="A333" s="160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</row>
    <row r="334">
      <c r="A334" s="160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</row>
    <row r="335">
      <c r="A335" s="160"/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</row>
    <row r="336">
      <c r="A336" s="160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</row>
    <row r="337">
      <c r="A337" s="160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</row>
    <row r="338">
      <c r="A338" s="160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</row>
    <row r="339">
      <c r="A339" s="160"/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</row>
    <row r="340">
      <c r="A340" s="160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</row>
    <row r="341">
      <c r="A341" s="160"/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</row>
    <row r="342">
      <c r="A342" s="160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</row>
    <row r="343">
      <c r="A343" s="160"/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</row>
    <row r="344">
      <c r="A344" s="160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</row>
    <row r="345">
      <c r="A345" s="160"/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</row>
    <row r="346">
      <c r="A346" s="160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</row>
    <row r="347">
      <c r="A347" s="160"/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</row>
    <row r="348">
      <c r="A348" s="160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</row>
    <row r="349">
      <c r="A349" s="160"/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</row>
    <row r="350">
      <c r="A350" s="160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</row>
    <row r="351">
      <c r="A351" s="160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</row>
    <row r="352">
      <c r="A352" s="160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</row>
    <row r="353">
      <c r="A353" s="160"/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</row>
    <row r="354">
      <c r="A354" s="160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</row>
    <row r="355">
      <c r="A355" s="160"/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</row>
    <row r="356">
      <c r="A356" s="160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</row>
    <row r="357">
      <c r="A357" s="160"/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</row>
    <row r="358">
      <c r="A358" s="160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</row>
    <row r="359">
      <c r="A359" s="160"/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</row>
    <row r="360">
      <c r="A360" s="160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</row>
    <row r="361">
      <c r="A361" s="160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</row>
    <row r="362">
      <c r="A362" s="160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</row>
    <row r="363">
      <c r="A363" s="160"/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</row>
    <row r="364">
      <c r="A364" s="160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</row>
    <row r="365">
      <c r="A365" s="160"/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</row>
    <row r="366">
      <c r="A366" s="160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</row>
    <row r="367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</row>
    <row r="368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</row>
    <row r="369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</row>
    <row r="370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</row>
    <row r="371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</row>
    <row r="372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</row>
    <row r="373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</row>
    <row r="374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</row>
    <row r="375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</row>
    <row r="376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</row>
    <row r="377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</row>
    <row r="378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</row>
    <row r="379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</row>
    <row r="380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</row>
    <row r="381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</row>
    <row r="382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</row>
    <row r="383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</row>
    <row r="384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</row>
    <row r="385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</row>
    <row r="386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</row>
    <row r="387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</row>
    <row r="388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</row>
    <row r="389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</row>
    <row r="390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</row>
    <row r="391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</row>
    <row r="392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</row>
    <row r="393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</row>
    <row r="394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</row>
    <row r="395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</row>
    <row r="396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</row>
    <row r="397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</row>
    <row r="398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</row>
    <row r="399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</row>
    <row r="400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</row>
    <row r="401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</row>
    <row r="402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</row>
    <row r="403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</row>
    <row r="404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</row>
    <row r="405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</row>
    <row r="406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</row>
    <row r="407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</row>
    <row r="408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</row>
    <row r="409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</row>
    <row r="410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</row>
    <row r="411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</row>
    <row r="412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</row>
    <row r="413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</row>
    <row r="414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</row>
    <row r="415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</row>
    <row r="416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</row>
    <row r="417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</row>
    <row r="418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</row>
    <row r="419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</row>
    <row r="420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</row>
    <row r="421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</row>
    <row r="422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</row>
    <row r="423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</row>
    <row r="424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</row>
    <row r="425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</row>
    <row r="426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</row>
    <row r="427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</row>
    <row r="428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</row>
    <row r="429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</row>
    <row r="430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</row>
    <row r="431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</row>
    <row r="432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</row>
    <row r="433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</row>
    <row r="434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</row>
    <row r="435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</row>
    <row r="436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</row>
    <row r="437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</row>
    <row r="438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</row>
    <row r="439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</row>
    <row r="440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</row>
    <row r="441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</row>
    <row r="442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</row>
    <row r="443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</row>
    <row r="444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</row>
    <row r="445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</row>
    <row r="446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</row>
    <row r="447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</row>
    <row r="448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</row>
    <row r="449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</row>
    <row r="450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</row>
    <row r="451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</row>
    <row r="452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</row>
    <row r="453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</row>
    <row r="454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</row>
    <row r="455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</row>
    <row r="456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</row>
    <row r="457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</row>
    <row r="458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</row>
    <row r="459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</row>
    <row r="460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</row>
    <row r="461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</row>
    <row r="462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</row>
    <row r="463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</row>
    <row r="464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</row>
    <row r="465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</row>
    <row r="466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</row>
    <row r="467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</row>
    <row r="468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</row>
    <row r="469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</row>
    <row r="470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</row>
    <row r="471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</row>
    <row r="472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</row>
    <row r="473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</row>
    <row r="474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</row>
    <row r="475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</row>
    <row r="476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</row>
    <row r="477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</row>
    <row r="478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</row>
    <row r="479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</row>
    <row r="480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</row>
    <row r="481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</row>
    <row r="482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</row>
    <row r="483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</row>
    <row r="484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</row>
    <row r="485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</row>
    <row r="486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</row>
    <row r="487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</row>
    <row r="488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</row>
    <row r="489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</row>
    <row r="490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</row>
    <row r="491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</row>
    <row r="492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</row>
    <row r="493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</row>
    <row r="494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</row>
    <row r="495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</row>
    <row r="496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</row>
    <row r="497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</row>
    <row r="498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</row>
    <row r="499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</row>
    <row r="500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</row>
    <row r="501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</row>
    <row r="502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</row>
    <row r="503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</row>
    <row r="504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</row>
    <row r="505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</row>
    <row r="506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</row>
    <row r="507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</row>
    <row r="508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</row>
    <row r="509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</row>
    <row r="510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</row>
    <row r="511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</row>
    <row r="512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</row>
    <row r="513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</row>
    <row r="514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</row>
    <row r="515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</row>
    <row r="516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</row>
    <row r="517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</row>
    <row r="518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</row>
    <row r="519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</row>
    <row r="520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</row>
    <row r="521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</row>
    <row r="522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</row>
    <row r="523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</row>
    <row r="524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</row>
    <row r="525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</row>
    <row r="526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</row>
    <row r="527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</row>
    <row r="528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</row>
    <row r="529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</row>
    <row r="530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</row>
    <row r="531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</row>
    <row r="532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</row>
    <row r="533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</row>
    <row r="534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</row>
    <row r="535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</row>
    <row r="536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</row>
    <row r="537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</row>
    <row r="538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</row>
    <row r="539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</row>
    <row r="540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</row>
    <row r="541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</row>
    <row r="542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</row>
    <row r="543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</row>
    <row r="544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</row>
    <row r="545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</row>
    <row r="546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</row>
    <row r="547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</row>
    <row r="548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</row>
    <row r="549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</row>
    <row r="550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</row>
    <row r="551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</row>
    <row r="552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</row>
    <row r="553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</row>
    <row r="554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</row>
    <row r="555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</row>
    <row r="556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</row>
    <row r="557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</row>
    <row r="558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</row>
    <row r="559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</row>
    <row r="560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</row>
    <row r="561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</row>
    <row r="562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</row>
    <row r="563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</row>
    <row r="564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</row>
    <row r="565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</row>
    <row r="566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</row>
    <row r="567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</row>
    <row r="568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</row>
    <row r="569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</row>
    <row r="570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</row>
    <row r="571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</row>
    <row r="572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</row>
    <row r="573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</row>
    <row r="574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</row>
    <row r="575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</row>
    <row r="576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</row>
    <row r="577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</row>
    <row r="578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</row>
    <row r="579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</row>
    <row r="580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</row>
    <row r="581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</row>
    <row r="582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</row>
    <row r="583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</row>
    <row r="584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</row>
    <row r="585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</row>
    <row r="586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</row>
    <row r="587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</row>
    <row r="588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</row>
    <row r="589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</row>
    <row r="590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</row>
    <row r="591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</row>
    <row r="592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</row>
    <row r="593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</row>
    <row r="594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</row>
    <row r="595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</row>
    <row r="596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</row>
    <row r="597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</row>
    <row r="598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</row>
    <row r="599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</row>
    <row r="600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</row>
    <row r="601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</row>
    <row r="602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</row>
    <row r="603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</row>
    <row r="604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</row>
    <row r="605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</row>
    <row r="606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</row>
    <row r="607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</row>
    <row r="608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</row>
    <row r="609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</row>
    <row r="610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</row>
    <row r="611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</row>
    <row r="612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</row>
    <row r="613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</row>
    <row r="614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</row>
    <row r="615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</row>
    <row r="616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</row>
    <row r="617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</row>
    <row r="618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</row>
    <row r="619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</row>
    <row r="620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</row>
    <row r="621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</row>
    <row r="622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</row>
    <row r="623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</row>
    <row r="624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</row>
    <row r="625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</row>
    <row r="626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</row>
    <row r="627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</row>
    <row r="628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</row>
    <row r="629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</row>
    <row r="630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</row>
    <row r="631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</row>
    <row r="632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</row>
    <row r="633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</row>
    <row r="634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</row>
    <row r="635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</row>
    <row r="636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</row>
    <row r="637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</row>
    <row r="638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</row>
    <row r="639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</row>
    <row r="640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</row>
    <row r="641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</row>
    <row r="642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</row>
    <row r="643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</row>
    <row r="644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</row>
    <row r="645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</row>
    <row r="646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</row>
    <row r="647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</row>
    <row r="648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</row>
    <row r="649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</row>
    <row r="650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</row>
    <row r="651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</row>
    <row r="652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</row>
    <row r="653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</row>
    <row r="654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</row>
    <row r="655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</row>
    <row r="656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</row>
    <row r="657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</row>
    <row r="658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</row>
    <row r="659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</row>
    <row r="660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</row>
    <row r="661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</row>
    <row r="662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</row>
    <row r="663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</row>
    <row r="664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</row>
    <row r="665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</row>
    <row r="666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</row>
    <row r="667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</row>
    <row r="668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</row>
    <row r="669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</row>
    <row r="670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</row>
    <row r="671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</row>
    <row r="672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</row>
    <row r="673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</row>
    <row r="674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</row>
    <row r="675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</row>
    <row r="676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</row>
    <row r="677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</row>
    <row r="678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</row>
    <row r="679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</row>
    <row r="680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</row>
    <row r="681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</row>
    <row r="682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</row>
    <row r="683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</row>
    <row r="684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</row>
    <row r="685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</row>
    <row r="686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</row>
    <row r="687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</row>
    <row r="688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</row>
    <row r="689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</row>
    <row r="690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</row>
    <row r="691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</row>
    <row r="692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</row>
    <row r="693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</row>
    <row r="694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</row>
    <row r="695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</row>
    <row r="696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</row>
    <row r="697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</row>
    <row r="698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</row>
    <row r="699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</row>
    <row r="700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</row>
    <row r="701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</row>
    <row r="702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</row>
    <row r="703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</row>
    <row r="704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</row>
    <row r="705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</row>
    <row r="706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</row>
    <row r="707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</row>
    <row r="708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</row>
    <row r="709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</row>
    <row r="710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</row>
    <row r="711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</row>
    <row r="712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</row>
    <row r="713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</row>
    <row r="714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</row>
    <row r="715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</row>
    <row r="716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</row>
    <row r="717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</row>
    <row r="718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</row>
    <row r="719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</row>
    <row r="720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</row>
    <row r="721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</row>
    <row r="722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</row>
    <row r="723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</row>
    <row r="724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</row>
    <row r="725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</row>
    <row r="726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</row>
    <row r="727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</row>
    <row r="728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</row>
    <row r="729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</row>
    <row r="730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</row>
    <row r="731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</row>
    <row r="732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</row>
    <row r="733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</row>
    <row r="734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</row>
    <row r="735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</row>
    <row r="736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</row>
    <row r="737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</row>
    <row r="738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</row>
    <row r="739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</row>
    <row r="740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</row>
    <row r="741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</row>
    <row r="742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</row>
    <row r="743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</row>
    <row r="744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</row>
    <row r="745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</row>
    <row r="746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</row>
    <row r="747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</row>
    <row r="748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</row>
    <row r="749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</row>
    <row r="750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</row>
    <row r="751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</row>
    <row r="752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</row>
    <row r="753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</row>
    <row r="754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</row>
    <row r="755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</row>
    <row r="756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</row>
    <row r="757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</row>
    <row r="758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</row>
    <row r="759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</row>
    <row r="760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</row>
    <row r="761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</row>
    <row r="762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</row>
    <row r="763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</row>
    <row r="764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</row>
    <row r="765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</row>
    <row r="766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</row>
    <row r="767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</row>
    <row r="768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</row>
    <row r="769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</row>
    <row r="770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</row>
    <row r="771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</row>
    <row r="772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</row>
    <row r="773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</row>
    <row r="774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</row>
    <row r="775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</row>
    <row r="776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</row>
    <row r="777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</row>
    <row r="778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</row>
    <row r="779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</row>
    <row r="780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</row>
    <row r="781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</row>
    <row r="782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</row>
    <row r="783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</row>
    <row r="784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</row>
    <row r="785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</row>
    <row r="786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</row>
    <row r="787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</row>
    <row r="788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</row>
    <row r="789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</row>
    <row r="790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</row>
    <row r="791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</row>
    <row r="792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</row>
    <row r="793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</row>
    <row r="794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</row>
    <row r="795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</row>
    <row r="796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</row>
    <row r="797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</row>
    <row r="798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</row>
    <row r="799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</row>
    <row r="800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</row>
    <row r="801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</row>
    <row r="802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</row>
    <row r="803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</row>
    <row r="804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</row>
    <row r="805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</row>
    <row r="806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</row>
    <row r="807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</row>
    <row r="808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</row>
    <row r="809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</row>
    <row r="810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</row>
    <row r="811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</row>
    <row r="812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</row>
    <row r="813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</row>
    <row r="814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</row>
    <row r="815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</row>
    <row r="816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</row>
    <row r="817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</row>
    <row r="818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</row>
    <row r="819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</row>
    <row r="820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</row>
    <row r="821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</row>
    <row r="822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</row>
    <row r="823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</row>
    <row r="824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</row>
    <row r="825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</row>
    <row r="826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</row>
    <row r="827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</row>
    <row r="828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</row>
    <row r="829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</row>
    <row r="830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</row>
    <row r="831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</row>
    <row r="832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</row>
    <row r="833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</row>
    <row r="834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</row>
    <row r="835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</row>
    <row r="836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</row>
    <row r="837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</row>
    <row r="838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</row>
    <row r="839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</row>
    <row r="840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</row>
    <row r="841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</row>
    <row r="842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</row>
    <row r="843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</row>
    <row r="844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</row>
    <row r="845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</row>
    <row r="846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</row>
    <row r="847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</row>
    <row r="848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</row>
    <row r="849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</row>
    <row r="850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</row>
    <row r="851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</row>
    <row r="852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</row>
    <row r="853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</row>
    <row r="854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</row>
    <row r="855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</row>
    <row r="856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</row>
    <row r="857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</row>
    <row r="858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</row>
    <row r="859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</row>
    <row r="860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</row>
    <row r="861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</row>
    <row r="862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</row>
    <row r="863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</row>
    <row r="864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</row>
    <row r="865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</row>
    <row r="866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</row>
    <row r="867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</row>
    <row r="868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</row>
    <row r="869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</row>
    <row r="870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</row>
    <row r="871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</row>
    <row r="872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</row>
    <row r="873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</row>
    <row r="874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</row>
    <row r="875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</row>
    <row r="876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</row>
    <row r="877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</row>
    <row r="878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</row>
    <row r="879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</row>
    <row r="880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</row>
    <row r="881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</row>
    <row r="882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</row>
    <row r="883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</row>
    <row r="884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</row>
    <row r="885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</row>
    <row r="886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</row>
    <row r="887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</row>
    <row r="888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</row>
    <row r="889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</row>
    <row r="890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</row>
    <row r="891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</row>
    <row r="892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</row>
    <row r="893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</row>
    <row r="894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</row>
    <row r="895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</row>
    <row r="896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</row>
    <row r="897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</row>
    <row r="898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</row>
    <row r="899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</row>
    <row r="900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</row>
    <row r="901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</row>
    <row r="902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</row>
    <row r="903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</row>
    <row r="904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</row>
    <row r="905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</row>
    <row r="906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</row>
    <row r="907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</row>
    <row r="908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</row>
    <row r="909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</row>
    <row r="910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</row>
    <row r="911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</row>
    <row r="912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</row>
    <row r="913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</row>
    <row r="914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</row>
    <row r="915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</row>
    <row r="916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</row>
    <row r="917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</row>
    <row r="918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</row>
    <row r="919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</row>
    <row r="920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</row>
    <row r="921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</row>
    <row r="922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</row>
    <row r="923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</row>
    <row r="924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</row>
    <row r="925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</row>
    <row r="926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</row>
    <row r="927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</row>
    <row r="928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</row>
    <row r="929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</row>
    <row r="930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</row>
    <row r="931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</row>
    <row r="932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</row>
    <row r="933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</row>
    <row r="934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</row>
    <row r="935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</row>
    <row r="936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</row>
    <row r="937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</row>
    <row r="938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</row>
    <row r="939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</row>
    <row r="940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</row>
    <row r="941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</row>
    <row r="942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</row>
    <row r="943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</row>
    <row r="944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</row>
    <row r="945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</row>
    <row r="946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</row>
    <row r="947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</row>
    <row r="948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</row>
    <row r="949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</row>
    <row r="950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</row>
    <row r="951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</row>
    <row r="952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</row>
    <row r="953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</row>
    <row r="954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</row>
    <row r="955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</row>
    <row r="956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</row>
    <row r="957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</row>
    <row r="958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</row>
    <row r="959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</row>
    <row r="960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</row>
    <row r="961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</row>
    <row r="962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</row>
    <row r="963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</row>
    <row r="964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</row>
    <row r="965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</row>
    <row r="966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</row>
    <row r="967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</row>
    <row r="968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</row>
    <row r="969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</row>
    <row r="970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</row>
    <row r="971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</row>
    <row r="972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</row>
    <row r="973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</row>
    <row r="974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</row>
    <row r="975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</row>
    <row r="976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</row>
    <row r="977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</row>
    <row r="978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</row>
    <row r="979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</row>
    <row r="980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</row>
    <row r="981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</row>
    <row r="982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</row>
    <row r="983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</row>
    <row r="984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</row>
    <row r="985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</row>
    <row r="986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</row>
    <row r="987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</row>
    <row r="988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</row>
    <row r="989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</row>
    <row r="990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</row>
    <row r="991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</row>
    <row r="992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</row>
    <row r="993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</row>
    <row r="994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</row>
    <row r="995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</row>
    <row r="996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</row>
    <row r="997">
      <c r="A997" s="160"/>
      <c r="B997" s="160"/>
      <c r="C997" s="160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</row>
    <row r="998">
      <c r="A998" s="160"/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</row>
    <row r="999">
      <c r="A999" s="160"/>
      <c r="B999" s="160"/>
      <c r="C999" s="160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</row>
    <row r="1000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</row>
    <row r="1001">
      <c r="A1001" s="160"/>
      <c r="B1001" s="160"/>
      <c r="C1001" s="160"/>
      <c r="D1001" s="160"/>
      <c r="E1001" s="160"/>
      <c r="F1001" s="160"/>
      <c r="G1001" s="160"/>
      <c r="H1001" s="160"/>
      <c r="I1001" s="160"/>
      <c r="J1001" s="160"/>
      <c r="K1001" s="160"/>
      <c r="L1001" s="160"/>
      <c r="M1001" s="160"/>
      <c r="N1001" s="160"/>
      <c r="O1001" s="160"/>
      <c r="P1001" s="160"/>
      <c r="Q1001" s="160"/>
      <c r="R1001" s="160"/>
      <c r="S1001" s="160"/>
      <c r="T1001" s="160"/>
      <c r="U1001" s="160"/>
      <c r="V1001" s="160"/>
      <c r="W1001" s="160"/>
      <c r="X1001" s="160"/>
      <c r="Y1001" s="160"/>
      <c r="Z1001" s="160"/>
    </row>
    <row r="1002">
      <c r="A1002" s="160"/>
      <c r="B1002" s="160"/>
      <c r="C1002" s="160"/>
      <c r="D1002" s="160"/>
      <c r="E1002" s="160"/>
      <c r="F1002" s="160"/>
      <c r="G1002" s="160"/>
      <c r="H1002" s="160"/>
      <c r="I1002" s="160"/>
      <c r="J1002" s="160"/>
      <c r="K1002" s="160"/>
      <c r="L1002" s="160"/>
      <c r="M1002" s="160"/>
      <c r="N1002" s="160"/>
      <c r="O1002" s="160"/>
      <c r="P1002" s="160"/>
      <c r="Q1002" s="160"/>
      <c r="R1002" s="160"/>
      <c r="S1002" s="160"/>
      <c r="T1002" s="160"/>
      <c r="U1002" s="160"/>
      <c r="V1002" s="160"/>
      <c r="W1002" s="160"/>
      <c r="X1002" s="160"/>
      <c r="Y1002" s="160"/>
      <c r="Z1002" s="160"/>
    </row>
    <row r="1003">
      <c r="A1003" s="160"/>
      <c r="B1003" s="160"/>
      <c r="C1003" s="160"/>
      <c r="D1003" s="160"/>
      <c r="E1003" s="160"/>
      <c r="F1003" s="160"/>
      <c r="G1003" s="160"/>
      <c r="H1003" s="160"/>
      <c r="I1003" s="160"/>
      <c r="J1003" s="160"/>
      <c r="K1003" s="160"/>
      <c r="L1003" s="160"/>
      <c r="M1003" s="160"/>
      <c r="N1003" s="160"/>
      <c r="O1003" s="160"/>
      <c r="P1003" s="160"/>
      <c r="Q1003" s="160"/>
      <c r="R1003" s="160"/>
      <c r="S1003" s="160"/>
      <c r="T1003" s="160"/>
      <c r="U1003" s="160"/>
      <c r="V1003" s="160"/>
      <c r="W1003" s="160"/>
      <c r="X1003" s="160"/>
      <c r="Y1003" s="160"/>
      <c r="Z1003" s="160"/>
    </row>
    <row r="1004">
      <c r="A1004" s="160"/>
      <c r="B1004" s="160"/>
      <c r="C1004" s="160"/>
      <c r="D1004" s="160"/>
      <c r="E1004" s="160"/>
      <c r="F1004" s="160"/>
      <c r="G1004" s="160"/>
      <c r="H1004" s="160"/>
      <c r="I1004" s="160"/>
      <c r="J1004" s="160"/>
      <c r="K1004" s="160"/>
      <c r="L1004" s="160"/>
      <c r="M1004" s="160"/>
      <c r="N1004" s="160"/>
      <c r="O1004" s="160"/>
      <c r="P1004" s="160"/>
      <c r="Q1004" s="160"/>
      <c r="R1004" s="160"/>
      <c r="S1004" s="160"/>
      <c r="T1004" s="160"/>
      <c r="U1004" s="160"/>
      <c r="V1004" s="160"/>
      <c r="W1004" s="160"/>
      <c r="X1004" s="160"/>
      <c r="Y1004" s="160"/>
      <c r="Z1004" s="160"/>
    </row>
  </sheetData>
  <drawing r:id="rId1"/>
  <tableParts count="1">
    <tablePart r:id="rId3"/>
  </tableParts>
</worksheet>
</file>