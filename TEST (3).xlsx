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ats" sheetId="1" r:id="rId4"/>
    <sheet state="visible" name="Stock" sheetId="2" r:id="rId5"/>
    <sheet state="visible" name="Ventes" sheetId="3" r:id="rId6"/>
    <sheet state="visible" name="Frais" sheetId="4" r:id="rId7"/>
    <sheet state="visible" name="Achatsmoisarticles" sheetId="5" r:id="rId8"/>
    <sheet state="visible" name="StockOld" sheetId="6" r:id="rId9"/>
    <sheet state="visible" name="Ventes(old)" sheetId="7" r:id="rId10"/>
    <sheet state="visible" name="Comptabilité" sheetId="8" r:id="rId11"/>
  </sheets>
  <definedNames>
    <definedName name="MARQUES">Achats!$B$2:$B$18</definedName>
    <definedName name="GENRE">Achats!$D$2:$D$18</definedName>
    <definedName name="ARTICLES">Achats!$A$2:$A$18</definedName>
    <definedName name="DATE_ACHAT">Achats!$E$2:$E$18</definedName>
    <definedName name="SKU">Achats!$F$2:$F$18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<sst xmlns="http://schemas.openxmlformats.org/spreadsheetml/2006/main" count="2277" uniqueCount="1510">
  <si>
    <t>ARTICLES</t>
  </si>
  <si>
    <t>MARQUE</t>
  </si>
  <si>
    <t>GENRE</t>
  </si>
  <si>
    <t>DATE D'ACHAT</t>
  </si>
  <si>
    <t>GRADE</t>
  </si>
  <si>
    <t>FOURNISSEUR/CODE</t>
  </si>
  <si>
    <t xml:space="preserve">DATE DE LIVRAISON </t>
  </si>
  <si>
    <t>PRIX D'ACHAT SHIP INCLUS</t>
  </si>
  <si>
    <t>QUANTITÉ COMMANDÉE</t>
  </si>
  <si>
    <t>QUANTITÉ RECUE</t>
  </si>
  <si>
    <t>FRAIS DE LAVAGE</t>
  </si>
  <si>
    <t>TOTAL TTC</t>
  </si>
  <si>
    <t>TRACKING</t>
  </si>
  <si>
    <t>PRËT POUR MISE EN STOCK</t>
  </si>
  <si>
    <t xml:space="preserve">MIS EN STOCK LE </t>
  </si>
  <si>
    <t>JEANS</t>
  </si>
  <si>
    <t>LEVIS</t>
  </si>
  <si>
    <t>♀️/ Kevin</t>
  </si>
  <si>
    <t>A</t>
  </si>
  <si>
    <t>SUPPLY GDD EXPORT/ 1</t>
  </si>
  <si>
    <t>AOÛT</t>
  </si>
  <si>
    <t>08</t>
  </si>
  <si>
    <t>VÊTEMENTS</t>
  </si>
  <si>
    <t>PERSO</t>
  </si>
  <si>
    <t>♂️/ Benoît</t>
  </si>
  <si>
    <t>BENOIT STAMBACH</t>
  </si>
  <si>
    <t>FÉVRIER</t>
  </si>
  <si>
    <t>02</t>
  </si>
  <si>
    <t>TYMAN</t>
  </si>
  <si>
    <t>♀️ / ♂️</t>
  </si>
  <si>
    <t xml:space="preserve">TYMAN </t>
  </si>
  <si>
    <t>JACKET</t>
  </si>
  <si>
    <t>MIX</t>
  </si>
  <si>
    <t>B</t>
  </si>
  <si>
    <t>SEPTEMBRE</t>
  </si>
  <si>
    <t>09</t>
  </si>
  <si>
    <t>POLAIRE</t>
  </si>
  <si>
    <t>THE NORTH FACE</t>
  </si>
  <si>
    <t>♀️</t>
  </si>
  <si>
    <t>SUPPLY / 105</t>
  </si>
  <si>
    <t>3652902223 DHL</t>
  </si>
  <si>
    <t>COLUMBIA</t>
  </si>
  <si>
    <t>GDD EXPORT / 1</t>
  </si>
  <si>
    <t>SUPPLY GDD EXPORT / 1</t>
  </si>
  <si>
    <t>CARHARTT REWORK</t>
  </si>
  <si>
    <t>SUPPLY CODE 103</t>
  </si>
  <si>
    <t>OCTOBRE</t>
  </si>
  <si>
    <t>10</t>
  </si>
  <si>
    <t/>
  </si>
  <si>
    <t>PULL</t>
  </si>
  <si>
    <t>TOMMY HILFIGER</t>
  </si>
  <si>
    <t xml:space="preserve">SUPPLY CODE 3 </t>
  </si>
  <si>
    <t xml:space="preserve">SUPPLY GDD 1 </t>
  </si>
  <si>
    <t xml:space="preserve">LEVIS </t>
  </si>
  <si>
    <t>SKU(ancienne nomenclature)</t>
  </si>
  <si>
    <t>SKU</t>
  </si>
  <si>
    <t>DATE DE LIVRAISON</t>
  </si>
  <si>
    <t>DATE DE MISE EN STOCK</t>
  </si>
  <si>
    <t>MIS EN LIGNE</t>
  </si>
  <si>
    <t>DATE DE MISE EN LIGNE</t>
  </si>
  <si>
    <t>PUBLIÉ</t>
  </si>
  <si>
    <t>DATE DE PUBLICATION</t>
  </si>
  <si>
    <t>VENDU(par rétroaction)</t>
  </si>
  <si>
    <t>VENDU</t>
  </si>
  <si>
    <t>DATE DE VENTE</t>
  </si>
  <si>
    <t>PRIX DE VENTE</t>
  </si>
  <si>
    <t>VALIDER LA SAISIE</t>
  </si>
  <si>
    <t>VÊTEMENTS PERSO Homme/ Benoît</t>
  </si>
  <si>
    <t>VPHB-1</t>
  </si>
  <si>
    <t>VPHB-2</t>
  </si>
  <si>
    <t>VPHB-3</t>
  </si>
  <si>
    <t>VPHB-4</t>
  </si>
  <si>
    <t>VPHB-5</t>
  </si>
  <si>
    <t>VPHB-6</t>
  </si>
  <si>
    <t>VPHB-7</t>
  </si>
  <si>
    <t>VPHB-8</t>
  </si>
  <si>
    <t>VPHB-9</t>
  </si>
  <si>
    <t>VPHB-10</t>
  </si>
  <si>
    <t>VPHB-11</t>
  </si>
  <si>
    <t>VPHB-12</t>
  </si>
  <si>
    <t>VPHB-13</t>
  </si>
  <si>
    <t>VPHB-14</t>
  </si>
  <si>
    <t>VPHB-15</t>
  </si>
  <si>
    <t>VPHB-16</t>
  </si>
  <si>
    <t>VPHB-17</t>
  </si>
  <si>
    <t>JEANS LEVIS Femme/ Kevin</t>
  </si>
  <si>
    <t>JLFK-21</t>
  </si>
  <si>
    <t>JLFK-22</t>
  </si>
  <si>
    <t>JLFK-23</t>
  </si>
  <si>
    <t>JLFK-24</t>
  </si>
  <si>
    <t>JLFK-25</t>
  </si>
  <si>
    <t>JLFK-26</t>
  </si>
  <si>
    <t>JLFK-27</t>
  </si>
  <si>
    <t>JLFK-28</t>
  </si>
  <si>
    <t>JLFK-29</t>
  </si>
  <si>
    <t>JLFK-30</t>
  </si>
  <si>
    <t>JLFK-31</t>
  </si>
  <si>
    <t>JLFK-32</t>
  </si>
  <si>
    <t>JLFK-33</t>
  </si>
  <si>
    <t>JLFK-34</t>
  </si>
  <si>
    <t>JLFK-35</t>
  </si>
  <si>
    <t>JLFK-36</t>
  </si>
  <si>
    <t>JLFK-37</t>
  </si>
  <si>
    <t>JLFK-38</t>
  </si>
  <si>
    <t>JLFK-39</t>
  </si>
  <si>
    <t>JLFK-40</t>
  </si>
  <si>
    <t>JLFK-41</t>
  </si>
  <si>
    <t>JLFK-42</t>
  </si>
  <si>
    <t>JLFK-43</t>
  </si>
  <si>
    <t>JLFK-44</t>
  </si>
  <si>
    <t>JLFK-45</t>
  </si>
  <si>
    <t>JLFK-46</t>
  </si>
  <si>
    <t>JLFK-47</t>
  </si>
  <si>
    <t>JLFK-48</t>
  </si>
  <si>
    <t>JLFK-49</t>
  </si>
  <si>
    <t>JLFK-50</t>
  </si>
  <si>
    <t>JLFK-51</t>
  </si>
  <si>
    <t>JLFK-52</t>
  </si>
  <si>
    <t>JLFK-53</t>
  </si>
  <si>
    <t>JLFK-54</t>
  </si>
  <si>
    <t>JLFK-55</t>
  </si>
  <si>
    <t>JLFK-56</t>
  </si>
  <si>
    <t>JLFK-57</t>
  </si>
  <si>
    <t>JLFK-58</t>
  </si>
  <si>
    <t>JLFK-59</t>
  </si>
  <si>
    <t>JLFK-60</t>
  </si>
  <si>
    <t>JLFK-61</t>
  </si>
  <si>
    <t>JLFK-62</t>
  </si>
  <si>
    <t>JLFK-63</t>
  </si>
  <si>
    <t>JLFK-64</t>
  </si>
  <si>
    <t>JLFK-65</t>
  </si>
  <si>
    <t>JLFK-66</t>
  </si>
  <si>
    <t>JLFK-67</t>
  </si>
  <si>
    <t>JLFK-68</t>
  </si>
  <si>
    <t>JLFK-69</t>
  </si>
  <si>
    <t>JLFK-70</t>
  </si>
  <si>
    <t>JLFK-71</t>
  </si>
  <si>
    <t>JLFK-72</t>
  </si>
  <si>
    <t>JLFK-73</t>
  </si>
  <si>
    <t>JLFK-74</t>
  </si>
  <si>
    <t>JLFK-75</t>
  </si>
  <si>
    <t>JLFK-76</t>
  </si>
  <si>
    <t>JLFK-77</t>
  </si>
  <si>
    <t>JLFK-78</t>
  </si>
  <si>
    <t>JLFK-79</t>
  </si>
  <si>
    <t>JLFK-80</t>
  </si>
  <si>
    <t>JLFK-81</t>
  </si>
  <si>
    <t>JLFK-82</t>
  </si>
  <si>
    <t>VÊTEMENTS TYMAN Homme/ Femme</t>
  </si>
  <si>
    <t>VTHF-1</t>
  </si>
  <si>
    <t>VTHF-2</t>
  </si>
  <si>
    <t>VTHF-3</t>
  </si>
  <si>
    <t>VTHF-4</t>
  </si>
  <si>
    <t>VTHF-5</t>
  </si>
  <si>
    <t>VTHF-6</t>
  </si>
  <si>
    <t>VTHF-7</t>
  </si>
  <si>
    <t>VTHF-8</t>
  </si>
  <si>
    <t>VTHF-9</t>
  </si>
  <si>
    <t>VTHF-10</t>
  </si>
  <si>
    <t>VTHF-11</t>
  </si>
  <si>
    <t>VTHF-12</t>
  </si>
  <si>
    <t>VTHF-13</t>
  </si>
  <si>
    <t>VTHF-14</t>
  </si>
  <si>
    <t>VTHF-15</t>
  </si>
  <si>
    <t>VTHF-16</t>
  </si>
  <si>
    <t>VTHF-17</t>
  </si>
  <si>
    <t>VTHF-18</t>
  </si>
  <si>
    <t>VTHF-19</t>
  </si>
  <si>
    <t>VTHF-20</t>
  </si>
  <si>
    <t>VTHF-21</t>
  </si>
  <si>
    <t>VTHF-22</t>
  </si>
  <si>
    <t>VTHF-23</t>
  </si>
  <si>
    <t>VTHF-24</t>
  </si>
  <si>
    <t>VTHF-25</t>
  </si>
  <si>
    <t>VTHF-26</t>
  </si>
  <si>
    <t>VTHF-27</t>
  </si>
  <si>
    <t>VTHF-28</t>
  </si>
  <si>
    <t>VTHF-29</t>
  </si>
  <si>
    <t>VTHF-30</t>
  </si>
  <si>
    <t>VTHF-31</t>
  </si>
  <si>
    <t>VTHF-32</t>
  </si>
  <si>
    <t>VTHF-33</t>
  </si>
  <si>
    <t>VTHF-34</t>
  </si>
  <si>
    <t>VTHF-35</t>
  </si>
  <si>
    <t>VTHF-36</t>
  </si>
  <si>
    <t>VTHF-37</t>
  </si>
  <si>
    <t>VTHF-38</t>
  </si>
  <si>
    <t>VTHF-39</t>
  </si>
  <si>
    <t>VTHF-40</t>
  </si>
  <si>
    <t>VTHF-41</t>
  </si>
  <si>
    <t>VTHF-42</t>
  </si>
  <si>
    <t>VTHF-43</t>
  </si>
  <si>
    <t>VTHF-44</t>
  </si>
  <si>
    <t>VTHF-45</t>
  </si>
  <si>
    <t>VTHF-46</t>
  </si>
  <si>
    <t>VTHF-47</t>
  </si>
  <si>
    <t>VTHF-48</t>
  </si>
  <si>
    <t>VTHF-49</t>
  </si>
  <si>
    <t>VTHF-50</t>
  </si>
  <si>
    <t>VTHF-51</t>
  </si>
  <si>
    <t>VTHF-52</t>
  </si>
  <si>
    <t>VTHF-53</t>
  </si>
  <si>
    <t>VTHF-54</t>
  </si>
  <si>
    <t>VTHF-55</t>
  </si>
  <si>
    <t>VTHF-56</t>
  </si>
  <si>
    <t>VTHF-57</t>
  </si>
  <si>
    <t>VTHF-58</t>
  </si>
  <si>
    <t>VTHF-59</t>
  </si>
  <si>
    <t>VTHF-60</t>
  </si>
  <si>
    <t>VTHF-61</t>
  </si>
  <si>
    <t>VTHF-62</t>
  </si>
  <si>
    <t>VTHF-63</t>
  </si>
  <si>
    <t>VTHF-64</t>
  </si>
  <si>
    <t>VTHF-65</t>
  </si>
  <si>
    <t>VTHF-66</t>
  </si>
  <si>
    <t>VTHF-67</t>
  </si>
  <si>
    <t>VTHF-68</t>
  </si>
  <si>
    <t>VTHF-69</t>
  </si>
  <si>
    <t>VTHF-70</t>
  </si>
  <si>
    <t>VTHF-71</t>
  </si>
  <si>
    <t>VTHF-72</t>
  </si>
  <si>
    <t>VTHF-73</t>
  </si>
  <si>
    <t>VTHF-74</t>
  </si>
  <si>
    <t>VTHF-75</t>
  </si>
  <si>
    <t>VTHF-76</t>
  </si>
  <si>
    <t>VTHF-77</t>
  </si>
  <si>
    <t>VTHF-78</t>
  </si>
  <si>
    <t>VTHF-79</t>
  </si>
  <si>
    <t>VTHF-80</t>
  </si>
  <si>
    <t>VTHF-81</t>
  </si>
  <si>
    <t>VTHF-82</t>
  </si>
  <si>
    <t>VTHF-83</t>
  </si>
  <si>
    <t>VTHF-84</t>
  </si>
  <si>
    <t>JACKET MIX Homme/ Femme</t>
  </si>
  <si>
    <t>JMB-81</t>
  </si>
  <si>
    <t>JMHF-81</t>
  </si>
  <si>
    <t>JMHF-82</t>
  </si>
  <si>
    <t>JMHF-83</t>
  </si>
  <si>
    <t>JMHF-84</t>
  </si>
  <si>
    <t>JMHF-85</t>
  </si>
  <si>
    <t>JMHF-86</t>
  </si>
  <si>
    <t>JMHF-87</t>
  </si>
  <si>
    <t>JMHF-88</t>
  </si>
  <si>
    <t>JMHF-89</t>
  </si>
  <si>
    <t>JMHF-90</t>
  </si>
  <si>
    <t>JMHF-91</t>
  </si>
  <si>
    <t>JMHF-92</t>
  </si>
  <si>
    <t>JMHF-93</t>
  </si>
  <si>
    <t>JMHF-94</t>
  </si>
  <si>
    <t>JMHF-95</t>
  </si>
  <si>
    <t>JMHF-96</t>
  </si>
  <si>
    <t>JMHF-97</t>
  </si>
  <si>
    <t>JMHF-98</t>
  </si>
  <si>
    <t>JMHF-99</t>
  </si>
  <si>
    <t>JMHF-100</t>
  </si>
  <si>
    <t>JMHF-101</t>
  </si>
  <si>
    <t>JMHF-102</t>
  </si>
  <si>
    <t>JMHF-103</t>
  </si>
  <si>
    <t>JMHF-104</t>
  </si>
  <si>
    <t>JMHF-105</t>
  </si>
  <si>
    <t>JMHF-106</t>
  </si>
  <si>
    <t>JMHF-107</t>
  </si>
  <si>
    <t>JMHF-108</t>
  </si>
  <si>
    <t>JMHF-109</t>
  </si>
  <si>
    <t>JMHF-110</t>
  </si>
  <si>
    <t>JMHF-111</t>
  </si>
  <si>
    <t>JMHF-112</t>
  </si>
  <si>
    <t>JMHF-113</t>
  </si>
  <si>
    <t>JMHF-114</t>
  </si>
  <si>
    <t>JMHF-115</t>
  </si>
  <si>
    <t>JMHF-116</t>
  </si>
  <si>
    <t>JMHF-117</t>
  </si>
  <si>
    <t>JMHF-118</t>
  </si>
  <si>
    <t>JMHF-119</t>
  </si>
  <si>
    <t>JMHF-120</t>
  </si>
  <si>
    <t>JMHF-121</t>
  </si>
  <si>
    <t>JMHF-122</t>
  </si>
  <si>
    <t>JMHF-123</t>
  </si>
  <si>
    <t>JMHF-124</t>
  </si>
  <si>
    <t>JMHF-125</t>
  </si>
  <si>
    <t>JMHF-126</t>
  </si>
  <si>
    <t>JMHF-127</t>
  </si>
  <si>
    <t>JMHF-128</t>
  </si>
  <si>
    <t>JMHF-129</t>
  </si>
  <si>
    <t>JMHF-130</t>
  </si>
  <si>
    <t>JMHF-131</t>
  </si>
  <si>
    <t>JMHF-132</t>
  </si>
  <si>
    <t>JMHF-133</t>
  </si>
  <si>
    <t>JMHF-134</t>
  </si>
  <si>
    <t>JMHF-135</t>
  </si>
  <si>
    <t>JMHF-136</t>
  </si>
  <si>
    <t>JMHF-137</t>
  </si>
  <si>
    <t>JMHF-138</t>
  </si>
  <si>
    <t>JMHF-139</t>
  </si>
  <si>
    <t>JMHF-140</t>
  </si>
  <si>
    <t>JEANS LEVIS Femme</t>
  </si>
  <si>
    <t>JLF-1</t>
  </si>
  <si>
    <t>JLF-2</t>
  </si>
  <si>
    <t>JLF-3</t>
  </si>
  <si>
    <t>JLF-4</t>
  </si>
  <si>
    <t>JLF-5</t>
  </si>
  <si>
    <t>JLF-6</t>
  </si>
  <si>
    <t>JLF-7</t>
  </si>
  <si>
    <t>JLF-8</t>
  </si>
  <si>
    <t>JLF-9</t>
  </si>
  <si>
    <t>JLF-10</t>
  </si>
  <si>
    <t>JLF-11</t>
  </si>
  <si>
    <t>JLF-12</t>
  </si>
  <si>
    <t>JLF-13</t>
  </si>
  <si>
    <t>JLF-14</t>
  </si>
  <si>
    <t>JLF-15</t>
  </si>
  <si>
    <t>JLF-16</t>
  </si>
  <si>
    <t>JLF-17</t>
  </si>
  <si>
    <t>JLF-18</t>
  </si>
  <si>
    <t>JLF-19</t>
  </si>
  <si>
    <t>JLF-20</t>
  </si>
  <si>
    <t>JLF-21</t>
  </si>
  <si>
    <t>JLF-22</t>
  </si>
  <si>
    <t>JLF-23</t>
  </si>
  <si>
    <t>JLF-24</t>
  </si>
  <si>
    <t>JLF-25</t>
  </si>
  <si>
    <t>JLF-26</t>
  </si>
  <si>
    <t>JLF-27</t>
  </si>
  <si>
    <t>JLF-28</t>
  </si>
  <si>
    <t>JLF-29</t>
  </si>
  <si>
    <t>JLF-30</t>
  </si>
  <si>
    <t>JLF-31</t>
  </si>
  <si>
    <t>JLF-32</t>
  </si>
  <si>
    <t>JLF-33</t>
  </si>
  <si>
    <t>JLF-34</t>
  </si>
  <si>
    <t>JLF-35</t>
  </si>
  <si>
    <t>JLF-36</t>
  </si>
  <si>
    <t>JLF-37</t>
  </si>
  <si>
    <t>JLF-38</t>
  </si>
  <si>
    <t>JLF-39</t>
  </si>
  <si>
    <t>JLF-40</t>
  </si>
  <si>
    <t>JLF-41</t>
  </si>
  <si>
    <t>JLF-42</t>
  </si>
  <si>
    <t>JLF-43</t>
  </si>
  <si>
    <t>JLF-44</t>
  </si>
  <si>
    <t>JLF-45</t>
  </si>
  <si>
    <t>JLF-46</t>
  </si>
  <si>
    <t>JLF-47</t>
  </si>
  <si>
    <t>JLF-48</t>
  </si>
  <si>
    <t>JLF-49</t>
  </si>
  <si>
    <t>JLF-50</t>
  </si>
  <si>
    <t>JLF-51</t>
  </si>
  <si>
    <t>JLF-52</t>
  </si>
  <si>
    <t>JLF-53</t>
  </si>
  <si>
    <t>JLF-54</t>
  </si>
  <si>
    <t>JLF-55</t>
  </si>
  <si>
    <t>JLF-56</t>
  </si>
  <si>
    <t>JLF-57</t>
  </si>
  <si>
    <t>JLF-58</t>
  </si>
  <si>
    <t>JLF-59</t>
  </si>
  <si>
    <t>JLF-60</t>
  </si>
  <si>
    <t>JLF-61</t>
  </si>
  <si>
    <t>JLF-62</t>
  </si>
  <si>
    <t>JLF-63</t>
  </si>
  <si>
    <t>JLF-64</t>
  </si>
  <si>
    <t>POLAIRE THE NORTH FACE Femme</t>
  </si>
  <si>
    <t>PTNFF-1</t>
  </si>
  <si>
    <t>PTNFF-2</t>
  </si>
  <si>
    <t>PTNFF-3</t>
  </si>
  <si>
    <t>PTNFF-4</t>
  </si>
  <si>
    <t>PTNFF-5</t>
  </si>
  <si>
    <t>PTNFF-6</t>
  </si>
  <si>
    <t>PTNFF-7</t>
  </si>
  <si>
    <t>PTNFF-8</t>
  </si>
  <si>
    <t>PTNFF-9</t>
  </si>
  <si>
    <t>PTNFF-10</t>
  </si>
  <si>
    <t>PTNFF-11</t>
  </si>
  <si>
    <t>PTNFF-12</t>
  </si>
  <si>
    <t>PTNFF-13</t>
  </si>
  <si>
    <t>PTNFF-14</t>
  </si>
  <si>
    <t>PTNFF-15</t>
  </si>
  <si>
    <t>PTNFF-16</t>
  </si>
  <si>
    <t>PTNFF-17</t>
  </si>
  <si>
    <t>PTNFF-18</t>
  </si>
  <si>
    <t>PTNFF-19</t>
  </si>
  <si>
    <t>PTNFF-20</t>
  </si>
  <si>
    <t>PTNFF-21</t>
  </si>
  <si>
    <t>PTNFF-22</t>
  </si>
  <si>
    <t>PTNFF-23</t>
  </si>
  <si>
    <t>PTNFF-24</t>
  </si>
  <si>
    <t>PTNFF-25</t>
  </si>
  <si>
    <t>PTNFF-26</t>
  </si>
  <si>
    <t>PTNFF-27</t>
  </si>
  <si>
    <t>PTNFF-28</t>
  </si>
  <si>
    <t>PTNFF-29</t>
  </si>
  <si>
    <t>PTNFF-30</t>
  </si>
  <si>
    <t>PTNFF-31</t>
  </si>
  <si>
    <t>PTNFF-32</t>
  </si>
  <si>
    <t>PTNFF-33</t>
  </si>
  <si>
    <t>PTNFF-34</t>
  </si>
  <si>
    <t>PTNFF-35</t>
  </si>
  <si>
    <t>PTNFF-36</t>
  </si>
  <si>
    <t>PTNFF-37</t>
  </si>
  <si>
    <t>PTNFF-38</t>
  </si>
  <si>
    <t>PTNFF-39</t>
  </si>
  <si>
    <t>PTNFF-40</t>
  </si>
  <si>
    <t>PTNFF-41</t>
  </si>
  <si>
    <t>JLF-65</t>
  </si>
  <si>
    <t>JLF-66</t>
  </si>
  <si>
    <t>JLF-67</t>
  </si>
  <si>
    <t>JLF-68</t>
  </si>
  <si>
    <t>JLF-69</t>
  </si>
  <si>
    <t>JLF-70</t>
  </si>
  <si>
    <t>JLF-71</t>
  </si>
  <si>
    <t>JLF-72</t>
  </si>
  <si>
    <t>JLF-73</t>
  </si>
  <si>
    <t>JLF-74</t>
  </si>
  <si>
    <t>JLF-75</t>
  </si>
  <si>
    <t>JLF-76</t>
  </si>
  <si>
    <t>JLF-77</t>
  </si>
  <si>
    <t>JLF-78</t>
  </si>
  <si>
    <t>JLF-79</t>
  </si>
  <si>
    <t>JLF-80</t>
  </si>
  <si>
    <t>JLF-81</t>
  </si>
  <si>
    <t>JLF-82</t>
  </si>
  <si>
    <t>JLF-83</t>
  </si>
  <si>
    <t>JLF-84</t>
  </si>
  <si>
    <t>JLF-85</t>
  </si>
  <si>
    <t>JLF-86</t>
  </si>
  <si>
    <t>JLF-87</t>
  </si>
  <si>
    <t>JLF-88</t>
  </si>
  <si>
    <t>JLF-89</t>
  </si>
  <si>
    <t>JLF-90</t>
  </si>
  <si>
    <t>JLF-91</t>
  </si>
  <si>
    <t>JLF-92</t>
  </si>
  <si>
    <t>JLF-93</t>
  </si>
  <si>
    <t>JLF-94</t>
  </si>
  <si>
    <t>JLF-95</t>
  </si>
  <si>
    <t>JLF-96</t>
  </si>
  <si>
    <t>JLF-97</t>
  </si>
  <si>
    <t>JLF-98</t>
  </si>
  <si>
    <t>JLF-99</t>
  </si>
  <si>
    <t>JLF-100</t>
  </si>
  <si>
    <t>JLF-101</t>
  </si>
  <si>
    <t>JLF-102</t>
  </si>
  <si>
    <t>JLF-103</t>
  </si>
  <si>
    <t>JLF-104</t>
  </si>
  <si>
    <t>JLF-105</t>
  </si>
  <si>
    <t>JLF-106</t>
  </si>
  <si>
    <t>JLF-107</t>
  </si>
  <si>
    <t>JLF-108</t>
  </si>
  <si>
    <t>JLF-109</t>
  </si>
  <si>
    <t>JLF-110</t>
  </si>
  <si>
    <t>JLF-111</t>
  </si>
  <si>
    <t>JLF-112</t>
  </si>
  <si>
    <t>JLF-113</t>
  </si>
  <si>
    <t>JLF-114</t>
  </si>
  <si>
    <t>JLF-115</t>
  </si>
  <si>
    <t>JLF-116</t>
  </si>
  <si>
    <t>JLF-117</t>
  </si>
  <si>
    <t>JLF-118</t>
  </si>
  <si>
    <t>JLF-119</t>
  </si>
  <si>
    <t>JLF-120</t>
  </si>
  <si>
    <t>JLF-121</t>
  </si>
  <si>
    <t>JLF-122</t>
  </si>
  <si>
    <t>JLF-123</t>
  </si>
  <si>
    <t>JLF-124</t>
  </si>
  <si>
    <t>JLF-125</t>
  </si>
  <si>
    <t>JLF-126</t>
  </si>
  <si>
    <t>JLF-127</t>
  </si>
  <si>
    <t>JLF-128</t>
  </si>
  <si>
    <t>JLF-129</t>
  </si>
  <si>
    <t>JLF-130</t>
  </si>
  <si>
    <t>JLF-131</t>
  </si>
  <si>
    <t>JLF-132</t>
  </si>
  <si>
    <t>JLF-133</t>
  </si>
  <si>
    <t>JLF-134</t>
  </si>
  <si>
    <t>JLF-135</t>
  </si>
  <si>
    <t>JLF-136</t>
  </si>
  <si>
    <t>JLF-137</t>
  </si>
  <si>
    <t>PULL TOMMY HILFIGER Femme</t>
  </si>
  <si>
    <t>PTHF-1</t>
  </si>
  <si>
    <t>PTHF-2</t>
  </si>
  <si>
    <t>PTHF-3</t>
  </si>
  <si>
    <t>PTHF-4</t>
  </si>
  <si>
    <t>PTHF-5</t>
  </si>
  <si>
    <t>PTHF-6</t>
  </si>
  <si>
    <t>PTHF-7</t>
  </si>
  <si>
    <t>PTHF-8</t>
  </si>
  <si>
    <t>PTHF-9</t>
  </si>
  <si>
    <t>PTHF-10</t>
  </si>
  <si>
    <t>PTHF-11</t>
  </si>
  <si>
    <t>PTHF-12</t>
  </si>
  <si>
    <t>PTHF-13</t>
  </si>
  <si>
    <t>PTHF-14</t>
  </si>
  <si>
    <t>PTHF-15</t>
  </si>
  <si>
    <t>PTHF-16</t>
  </si>
  <si>
    <t>PTHF-17</t>
  </si>
  <si>
    <t>PTHF-18</t>
  </si>
  <si>
    <t>PTHF-19</t>
  </si>
  <si>
    <t>PTHF-20</t>
  </si>
  <si>
    <t>PTHF-21</t>
  </si>
  <si>
    <t>PTHF-22</t>
  </si>
  <si>
    <t>PTHF-23</t>
  </si>
  <si>
    <t>PTHF-24</t>
  </si>
  <si>
    <t>PTHF-25</t>
  </si>
  <si>
    <t>PTHF-26</t>
  </si>
  <si>
    <t>PTHF-27</t>
  </si>
  <si>
    <t>PTHF-28</t>
  </si>
  <si>
    <t>PTHF-29</t>
  </si>
  <si>
    <t>PTHF-30</t>
  </si>
  <si>
    <t>PTHF-31</t>
  </si>
  <si>
    <t>PTHF-32</t>
  </si>
  <si>
    <t>PTHF-33</t>
  </si>
  <si>
    <t>PTHF-34</t>
  </si>
  <si>
    <t>PTHF-35</t>
  </si>
  <si>
    <t>PTHF-36</t>
  </si>
  <si>
    <t>PTHF-37</t>
  </si>
  <si>
    <t>PTHF-38</t>
  </si>
  <si>
    <t>PTHF-39</t>
  </si>
  <si>
    <t>PTHF-40</t>
  </si>
  <si>
    <t>PTHF-41</t>
  </si>
  <si>
    <t>PTHF-42</t>
  </si>
  <si>
    <t>PTHF-43</t>
  </si>
  <si>
    <t>PTHF-44</t>
  </si>
  <si>
    <t>PTHF-45</t>
  </si>
  <si>
    <t>PTHF-46</t>
  </si>
  <si>
    <t>PTHF-47</t>
  </si>
  <si>
    <t>PTHF-48</t>
  </si>
  <si>
    <t>PTHF-49</t>
  </si>
  <si>
    <t>PTHF-50</t>
  </si>
  <si>
    <t>PTHF-51</t>
  </si>
  <si>
    <t>PTHF-52</t>
  </si>
  <si>
    <t>PTHF-53</t>
  </si>
  <si>
    <t>PTHF-54</t>
  </si>
  <si>
    <t>PTHF-55</t>
  </si>
  <si>
    <t>PTHF-56</t>
  </si>
  <si>
    <t>JLF-138</t>
  </si>
  <si>
    <t>JLF-139</t>
  </si>
  <si>
    <t>JLF-140</t>
  </si>
  <si>
    <t>JLF-141</t>
  </si>
  <si>
    <t>JLF-142</t>
  </si>
  <si>
    <t>JLF-143</t>
  </si>
  <si>
    <t>JLF-144</t>
  </si>
  <si>
    <t>JLF-145</t>
  </si>
  <si>
    <t>JLF-146</t>
  </si>
  <si>
    <t>JLF-147</t>
  </si>
  <si>
    <t>JLF-148</t>
  </si>
  <si>
    <t>JLF-149</t>
  </si>
  <si>
    <t>JLF-150</t>
  </si>
  <si>
    <t>JLF-151</t>
  </si>
  <si>
    <t>JLF-152</t>
  </si>
  <si>
    <t>JLF-153</t>
  </si>
  <si>
    <t>JLF-154</t>
  </si>
  <si>
    <t>JLF-155</t>
  </si>
  <si>
    <t>JLF-156</t>
  </si>
  <si>
    <t>JLF-157</t>
  </si>
  <si>
    <t>JLF-158</t>
  </si>
  <si>
    <t>JLF-159</t>
  </si>
  <si>
    <t>JLF-160</t>
  </si>
  <si>
    <t>JLF-161</t>
  </si>
  <si>
    <t>JLF-162</t>
  </si>
  <si>
    <t>JLF-163</t>
  </si>
  <si>
    <t>JLF-164</t>
  </si>
  <si>
    <t>JLF-165</t>
  </si>
  <si>
    <t>JLF-166</t>
  </si>
  <si>
    <t>JLF-167</t>
  </si>
  <si>
    <t>JLF-168</t>
  </si>
  <si>
    <t>JLF-169</t>
  </si>
  <si>
    <t>JLF-170</t>
  </si>
  <si>
    <t>JLF-171</t>
  </si>
  <si>
    <t>JLF-172</t>
  </si>
  <si>
    <t>JLF-173</t>
  </si>
  <si>
    <t>JLF-174</t>
  </si>
  <si>
    <t>JLF-175</t>
  </si>
  <si>
    <t>JLF-176</t>
  </si>
  <si>
    <t>JLF-177</t>
  </si>
  <si>
    <t>JLF-178</t>
  </si>
  <si>
    <t>JLF-179</t>
  </si>
  <si>
    <t>JLF-180</t>
  </si>
  <si>
    <t>JLF-181</t>
  </si>
  <si>
    <t>JLF-182</t>
  </si>
  <si>
    <t>JLF-183</t>
  </si>
  <si>
    <t>JLF-184</t>
  </si>
  <si>
    <t>JLF-185</t>
  </si>
  <si>
    <t>JLF-186</t>
  </si>
  <si>
    <t>JLF-187</t>
  </si>
  <si>
    <t>JLF-188</t>
  </si>
  <si>
    <t>JLF-189</t>
  </si>
  <si>
    <t>JLF-190</t>
  </si>
  <si>
    <t>JLF-191</t>
  </si>
  <si>
    <t>JLF-192</t>
  </si>
  <si>
    <t>JLF-193</t>
  </si>
  <si>
    <t>JLF-194</t>
  </si>
  <si>
    <t>JLF-195</t>
  </si>
  <si>
    <t>JLF-196</t>
  </si>
  <si>
    <t>JLF-197</t>
  </si>
  <si>
    <t>JLF-198</t>
  </si>
  <si>
    <t>JLF-199</t>
  </si>
  <si>
    <t>JLF-200</t>
  </si>
  <si>
    <t>JLF-201</t>
  </si>
  <si>
    <t>JLF-202</t>
  </si>
  <si>
    <t>JLF-203</t>
  </si>
  <si>
    <t>JLF-204</t>
  </si>
  <si>
    <t>JLF-205</t>
  </si>
  <si>
    <t>JLF-206</t>
  </si>
  <si>
    <t>JLF-207</t>
  </si>
  <si>
    <t>JLF-208</t>
  </si>
  <si>
    <t>JLF-209</t>
  </si>
  <si>
    <t>JLF-210</t>
  </si>
  <si>
    <t>JLF-211</t>
  </si>
  <si>
    <t>JLF-212</t>
  </si>
  <si>
    <t>JLF-213</t>
  </si>
  <si>
    <t>JLF-214</t>
  </si>
  <si>
    <t>JLF-215</t>
  </si>
  <si>
    <t>JLF-216</t>
  </si>
  <si>
    <t>JLF-217</t>
  </si>
  <si>
    <t>JLF-218</t>
  </si>
  <si>
    <t>JLF-219</t>
  </si>
  <si>
    <t>JLF-220</t>
  </si>
  <si>
    <t>JLF-221</t>
  </si>
  <si>
    <t>JLF-222</t>
  </si>
  <si>
    <t>JLF-223</t>
  </si>
  <si>
    <t>JLF-224</t>
  </si>
  <si>
    <t>JLF-225</t>
  </si>
  <si>
    <t>JLF-226</t>
  </si>
  <si>
    <t>JLF-227</t>
  </si>
  <si>
    <t>JLF-228</t>
  </si>
  <si>
    <t>JLF-229</t>
  </si>
  <si>
    <t>JLF-230</t>
  </si>
  <si>
    <t>JLF-231</t>
  </si>
  <si>
    <t>JLF-232</t>
  </si>
  <si>
    <t>JLF-233</t>
  </si>
  <si>
    <t>JLF-234</t>
  </si>
  <si>
    <t>JLF-235</t>
  </si>
  <si>
    <t>JLF-236</t>
  </si>
  <si>
    <t>JLF-237</t>
  </si>
  <si>
    <t>PTNFF-42</t>
  </si>
  <si>
    <t>PTNFF-43</t>
  </si>
  <si>
    <t>PTNFF-44</t>
  </si>
  <si>
    <t>PTNFF-45</t>
  </si>
  <si>
    <t>PTNFF-46</t>
  </si>
  <si>
    <t>PTNFF-47</t>
  </si>
  <si>
    <t>PTNFF-48</t>
  </si>
  <si>
    <t>PTNFF-49</t>
  </si>
  <si>
    <t>PTNFF-50</t>
  </si>
  <si>
    <t>PTNFF-51</t>
  </si>
  <si>
    <t>PTNFF-52</t>
  </si>
  <si>
    <t>PTNFF-53</t>
  </si>
  <si>
    <t>PTNFF-54</t>
  </si>
  <si>
    <t>PTNFF-55</t>
  </si>
  <si>
    <t>PTNFF-56</t>
  </si>
  <si>
    <t>PTNFF-57</t>
  </si>
  <si>
    <t>PTNFF-58</t>
  </si>
  <si>
    <t>PTNFF-59</t>
  </si>
  <si>
    <t>PTNFF-60</t>
  </si>
  <si>
    <t>PTNFF-61</t>
  </si>
  <si>
    <t>POLAIRE COLUMBIA Femme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</si>
  <si>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</si>
  <si>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</si>
  <si>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</si>
  <si>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</si>
  <si>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</si>
  <si>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</si>
  <si>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</si>
  <si>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</si>
  <si>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</si>
  <si>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</si>
  <si>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ARTICLE</t>
  </si>
  <si>
    <t>PRIX VENTE</t>
  </si>
  <si>
    <t>DÉLAI D'IMMOBILISATION</t>
  </si>
  <si>
    <t>DELAI DE MISE EN LIGNE</t>
  </si>
  <si>
    <t>DELAI DE PUBLICATION</t>
  </si>
  <si>
    <t xml:space="preserve">DELAI DE VENTE </t>
  </si>
  <si>
    <t>LIVRÉ</t>
  </si>
  <si>
    <t>RETOUR</t>
  </si>
  <si>
    <t>MOIS NUM</t>
  </si>
  <si>
    <t>MOIS</t>
  </si>
  <si>
    <t>SUM de PRIX D'ACHAT SHIP INCLUS</t>
  </si>
  <si>
    <t>SUM de FRAIS DE LAVAGE</t>
  </si>
  <si>
    <t>SUM de TOTAL TTC</t>
  </si>
  <si>
    <t>Total général</t>
  </si>
  <si>
    <t>ARTICLES(1)</t>
  </si>
  <si>
    <t>DATE ACHAT</t>
  </si>
  <si>
    <t>ARTICLE(0)</t>
  </si>
  <si>
    <t xml:space="preserve">PRIX ACHAT </t>
  </si>
  <si>
    <t xml:space="preserve">DATE DE MISE EN LIGNE ESTIMÉE </t>
  </si>
  <si>
    <t xml:space="preserve">PRIX VENTE </t>
  </si>
  <si>
    <t>DÉLAI DE VENTE (EN JOURS)</t>
  </si>
  <si>
    <t>MARGE BRUTE</t>
  </si>
  <si>
    <t>COEFF MARGE</t>
  </si>
  <si>
    <t>SNEAKERS</t>
  </si>
  <si>
    <t>SNEAKERS NEW B 237</t>
  </si>
  <si>
    <t>VETEMENT 1</t>
  </si>
  <si>
    <t>VPB-1</t>
  </si>
  <si>
    <t>VETEMENT 2</t>
  </si>
  <si>
    <t>VPB-2</t>
  </si>
  <si>
    <t>VETEMENT 3</t>
  </si>
  <si>
    <t>VPB-3</t>
  </si>
  <si>
    <t>VETEMENT 4</t>
  </si>
  <si>
    <t>VPB-4</t>
  </si>
  <si>
    <t>VETEMENT 5</t>
  </si>
  <si>
    <t>VPB-5</t>
  </si>
  <si>
    <t>VETEMENT 6</t>
  </si>
  <si>
    <t>VPB-6</t>
  </si>
  <si>
    <t>VETEMENT 7</t>
  </si>
  <si>
    <t>VPB-7</t>
  </si>
  <si>
    <t>VETEMENT 8</t>
  </si>
  <si>
    <t>VPB-8</t>
  </si>
  <si>
    <t xml:space="preserve">JEANS LEVIS FEMME  </t>
  </si>
  <si>
    <t>JLFK-0825-21</t>
  </si>
  <si>
    <t>JLFK-0825-27</t>
  </si>
  <si>
    <t>JLFK-0825-31</t>
  </si>
  <si>
    <t>JLFK-0825-32</t>
  </si>
  <si>
    <t xml:space="preserve">JEANS LEVIS FEMME </t>
  </si>
  <si>
    <t>JLFK-0825-33</t>
  </si>
  <si>
    <t>JLFK-0825-37</t>
  </si>
  <si>
    <t>JLFK-0825-44</t>
  </si>
  <si>
    <t>JLFK-0825-46</t>
  </si>
  <si>
    <t>JLFK-0825-55</t>
  </si>
  <si>
    <t>JLFK-0825-60</t>
  </si>
  <si>
    <t>JLFK-0825-65</t>
  </si>
  <si>
    <t>JLFK-0825-69</t>
  </si>
  <si>
    <t>JLFK-0825-70</t>
  </si>
  <si>
    <t>JLFK-0825-72</t>
  </si>
  <si>
    <t>JLFK-0825-74</t>
  </si>
  <si>
    <t>VETEMENT DIVERS FEMME</t>
  </si>
  <si>
    <t>VDF-0825-8</t>
  </si>
  <si>
    <t>VDF-0825-9</t>
  </si>
  <si>
    <t>VDF-0825-10</t>
  </si>
  <si>
    <t>VDF-0825-11</t>
  </si>
  <si>
    <t>VDF-0825-12</t>
  </si>
  <si>
    <t>VDF-0825-13</t>
  </si>
  <si>
    <t>VDF-0825-14</t>
  </si>
  <si>
    <t>VDF-0825-15</t>
  </si>
  <si>
    <t>VDF-0825-16</t>
  </si>
  <si>
    <t>VDF-0825-17</t>
  </si>
  <si>
    <t>VDF-0825-18</t>
  </si>
  <si>
    <t>VDF-0825-19</t>
  </si>
  <si>
    <t>VDF-0825-20</t>
  </si>
  <si>
    <t>VDF-0825-21</t>
  </si>
  <si>
    <t>VDF-0825-22</t>
  </si>
  <si>
    <t>VDF-0825-23</t>
  </si>
  <si>
    <t>VDF-0825-24</t>
  </si>
  <si>
    <t>VDF-0825-25</t>
  </si>
  <si>
    <t>VDF-0825-26</t>
  </si>
  <si>
    <t>VDF-0825-27</t>
  </si>
  <si>
    <t>VDF-0825-28</t>
  </si>
  <si>
    <t>VDF-0825-29</t>
  </si>
  <si>
    <t>VDF-0825-30</t>
  </si>
  <si>
    <t>VDF-0825-31</t>
  </si>
  <si>
    <t>VDF-0825-32</t>
  </si>
  <si>
    <t>VDF-0825-33</t>
  </si>
  <si>
    <t>VDF-0825-34</t>
  </si>
  <si>
    <t>T-SHIRT SUPREME 1</t>
  </si>
  <si>
    <t>VPB-9</t>
  </si>
  <si>
    <t>VETEMENT DIVERS HOMME</t>
  </si>
  <si>
    <t>VDH-0825-10</t>
  </si>
  <si>
    <t>VDH-0825-11</t>
  </si>
  <si>
    <t>VDH-0825-12</t>
  </si>
  <si>
    <t>VDH-0825-13</t>
  </si>
  <si>
    <t>VDH-0825-14</t>
  </si>
  <si>
    <t>VDH-0825-15</t>
  </si>
  <si>
    <t>VDH-0825-16</t>
  </si>
  <si>
    <t>VDH-0825-17</t>
  </si>
  <si>
    <t>VDH-0825-18</t>
  </si>
  <si>
    <t>VDH-0825-19</t>
  </si>
  <si>
    <t>VDH-0825-20</t>
  </si>
  <si>
    <t>VDH-0825-21</t>
  </si>
  <si>
    <t>VDH-0825-22</t>
  </si>
  <si>
    <t>VDH-0825-23</t>
  </si>
  <si>
    <t>VDH-0825-24</t>
  </si>
  <si>
    <t>VDH-0825-25</t>
  </si>
  <si>
    <t>VDH-0825-26</t>
  </si>
  <si>
    <t>VDH-0825-27</t>
  </si>
  <si>
    <t>VDH-0825-28</t>
  </si>
  <si>
    <t>VDH-0825-29</t>
  </si>
  <si>
    <t xml:space="preserve">JACKET MIX MARQUES GRADE B </t>
  </si>
  <si>
    <t>JMHF-0925-081</t>
  </si>
  <si>
    <t>JMHF-0925-084</t>
  </si>
  <si>
    <t>JMHF-0925-086</t>
  </si>
  <si>
    <t>JMHF-0925-090</t>
  </si>
  <si>
    <t>JMHF-0925-092</t>
  </si>
  <si>
    <t>JMHF-0925-094</t>
  </si>
  <si>
    <t>JMHF-0925-098</t>
  </si>
  <si>
    <t>JMHF-0925-101</t>
  </si>
  <si>
    <t>JMHF-0925-105</t>
  </si>
  <si>
    <t>JACKET MIX MARQUES GRADE B JMB-106</t>
  </si>
  <si>
    <t>JMHF-0925-106</t>
  </si>
  <si>
    <t>JACKET MIX MARQUES GRADE B JMB-107</t>
  </si>
  <si>
    <t>JMHF-0925-107</t>
  </si>
  <si>
    <t>JACKET MIX MARQUES GRADE B JMB-110</t>
  </si>
  <si>
    <t>JMHF-0925-110</t>
  </si>
  <si>
    <t>JACKET MIX MARQUES GRADE B JMB-112</t>
  </si>
  <si>
    <t>JMHF-0925-112</t>
  </si>
  <si>
    <t>JACKET MIX MARQUES GRADE B JMB-113</t>
  </si>
  <si>
    <t>JMHF-0925-113</t>
  </si>
  <si>
    <t>JACKET MIX MARQUES GRADE B JMB-114</t>
  </si>
  <si>
    <t>JMHF-0925-114</t>
  </si>
  <si>
    <t>JACKET MIX MARQUES GRADE B JMB-117</t>
  </si>
  <si>
    <t>JMHF-0925-117</t>
  </si>
  <si>
    <t>JACKET MIX MARQUES GRADE B JMB-118</t>
  </si>
  <si>
    <t>JMHF-0925-118</t>
  </si>
  <si>
    <t>JACKET MIX MARQUES GRADE B JMB-120</t>
  </si>
  <si>
    <t>JMHF-0925-120</t>
  </si>
  <si>
    <t>JACKET MIX MARQUES GRADE B JMB-122</t>
  </si>
  <si>
    <t>JMHF-0925-122</t>
  </si>
  <si>
    <t>JACKET MIX MARQUES GRADE B JMB-123</t>
  </si>
  <si>
    <t>JMHF-0925-123</t>
  </si>
  <si>
    <t>JACKET MIX MARQUES GRADE B JMB-125</t>
  </si>
  <si>
    <t>JMHF-0925-125</t>
  </si>
  <si>
    <t>JACKET MIX MARQUES GRADE B JMB-128</t>
  </si>
  <si>
    <t>JMHF-0925-128</t>
  </si>
  <si>
    <t>JACKET MIX MARQUES GRADE B JMB-130</t>
  </si>
  <si>
    <t>JMHF-0925-130</t>
  </si>
  <si>
    <t>JACKET MIX MARQUES GRADE B JMB-132</t>
  </si>
  <si>
    <t>JMHF-0925-132</t>
  </si>
  <si>
    <t>JACKET MIX MARQUES GRADE B JMB-134</t>
  </si>
  <si>
    <t>JMHF-0925-134</t>
  </si>
  <si>
    <t>JACKET MIX MARQUES GRADE B JMB-138</t>
  </si>
  <si>
    <t>JMHF-0925-138</t>
  </si>
  <si>
    <t>JACKET MIX MARQUES GRADE B JMB-139</t>
  </si>
  <si>
    <t>JMHF-0925-139</t>
  </si>
  <si>
    <t>JACKET MIX MARQUES GRADE B JMB-140</t>
  </si>
  <si>
    <t>JMHF-0925-140</t>
  </si>
  <si>
    <t>JEAN LEVIS FEMME JLF9</t>
  </si>
  <si>
    <t>JLF-0925-9</t>
  </si>
  <si>
    <t>JEAN LEVIS FEMME JLF10</t>
  </si>
  <si>
    <t>JLF-0925-10</t>
  </si>
  <si>
    <t>JEAN LEVIS FEMME JLF14</t>
  </si>
  <si>
    <t>JLF-0925-14</t>
  </si>
  <si>
    <t>JEAN LEVIS FEMME JLF16</t>
  </si>
  <si>
    <t>JLF-0925-16</t>
  </si>
  <si>
    <t>JEAN LEVIS FEMME JLF24</t>
  </si>
  <si>
    <t>JLF-0925-24</t>
  </si>
  <si>
    <t>JEAN LEVIS FEMME JLF25</t>
  </si>
  <si>
    <t>JLF-0925-25</t>
  </si>
  <si>
    <t>JEAN LEVIS FEMME JLF30</t>
  </si>
  <si>
    <t>JLF-0925-30</t>
  </si>
  <si>
    <t>JEAN LEVIS FEMME JLF32</t>
  </si>
  <si>
    <t>JLF-0925-32</t>
  </si>
  <si>
    <t>JEAN LEVIS FEMME JLF33</t>
  </si>
  <si>
    <t>JLF-0925-33</t>
  </si>
  <si>
    <t>JEAN LEVIS FEMME JLF37</t>
  </si>
  <si>
    <t>JLF-0925-37</t>
  </si>
  <si>
    <t>JEAN LEVIS FEMME JLF44</t>
  </si>
  <si>
    <t>JLF-0925-44</t>
  </si>
  <si>
    <t>JEAN LEVIS FEMME JLF45</t>
  </si>
  <si>
    <t>JLF-0925-45</t>
  </si>
  <si>
    <t>JEAN LEVIS FEMME JLF50</t>
  </si>
  <si>
    <t>JLF-0925-50</t>
  </si>
  <si>
    <t>JEAN LEVIS FEMME JLF53</t>
  </si>
  <si>
    <t>JLF-0925-53</t>
  </si>
  <si>
    <t>JEAN LEVIS FEMME JLF56</t>
  </si>
  <si>
    <t>JLF-0925-56</t>
  </si>
  <si>
    <t>JEAN LEVIS FEMME JLF57</t>
  </si>
  <si>
    <t>JLF-0925-57</t>
  </si>
  <si>
    <t>JEAN LEVIS FEMME JLF60</t>
  </si>
  <si>
    <t>JLF-0925-60</t>
  </si>
  <si>
    <t>JEAN LEVIS FEMME JLF63</t>
  </si>
  <si>
    <t>JLF-0925-63</t>
  </si>
  <si>
    <t>JEAN LEVIS FEMME JLF65</t>
  </si>
  <si>
    <t>JLF-0925-65</t>
  </si>
  <si>
    <t>JEAN LEVIS FEMME JLF68</t>
  </si>
  <si>
    <t>JLF-0925-68</t>
  </si>
  <si>
    <t>JEAN LEVIS FEMME JLF71</t>
  </si>
  <si>
    <t>JLF-0925-71</t>
  </si>
  <si>
    <t>JEAN LEVIS FEMME JLF72</t>
  </si>
  <si>
    <t>JLF-0925-72</t>
  </si>
  <si>
    <t>JEAN LEVIS FEMME JLF74</t>
  </si>
  <si>
    <t>JLF-0925-74</t>
  </si>
  <si>
    <t>JEAN LEVIS FEMME JLF82</t>
  </si>
  <si>
    <t>JLF-0925-82</t>
  </si>
  <si>
    <t>JEAN LEVIS FEMME JLF83</t>
  </si>
  <si>
    <t>JLF-0925-83</t>
  </si>
  <si>
    <t>JEAN LEVIS FEMME JLF85</t>
  </si>
  <si>
    <t>JLF-0925-85</t>
  </si>
  <si>
    <t>JEAN LEVIS FEMME JLF87</t>
  </si>
  <si>
    <t>JLF-0925-87</t>
  </si>
  <si>
    <t>JEAN LEVIS FEMME JLF89</t>
  </si>
  <si>
    <t>JLF-0925-89</t>
  </si>
  <si>
    <t>JEAN LEVIS FEMME JLF93</t>
  </si>
  <si>
    <t>JLF-0925-93</t>
  </si>
  <si>
    <t>JEAN LEVIS FEMME JLF94</t>
  </si>
  <si>
    <t>JLF-0925-94</t>
  </si>
  <si>
    <t>JEAN LEVIS FEMME JLF95</t>
  </si>
  <si>
    <t>JLF-0925-95</t>
  </si>
  <si>
    <t>JEAN LEVIS FEMME JLF101</t>
  </si>
  <si>
    <t>JLF-0925-101</t>
  </si>
  <si>
    <t>JEAN LEVIS FEMME JLF104</t>
  </si>
  <si>
    <t>JLF-0925-104</t>
  </si>
  <si>
    <t>JEAN LEVIS FEMME JLF106</t>
  </si>
  <si>
    <t>JLF-0925-106</t>
  </si>
  <si>
    <t>JEAN LEVIS FEMME JLF107</t>
  </si>
  <si>
    <t>JLF-0925-107</t>
  </si>
  <si>
    <t>JEAN LEVIS FEMME JLF109</t>
  </si>
  <si>
    <t>JLF-0925-109</t>
  </si>
  <si>
    <t>JEAN LEVIS FEMME JLF111</t>
  </si>
  <si>
    <t>JLF-0925-111</t>
  </si>
  <si>
    <t>JEAN LEVIS FEMME JLF112</t>
  </si>
  <si>
    <t>JLF-0925-112</t>
  </si>
  <si>
    <t>JEAN LEVIS FEMME JLF114</t>
  </si>
  <si>
    <t>JLF-0925-114</t>
  </si>
  <si>
    <t>JEAN LEVIS FEMME JLF118</t>
  </si>
  <si>
    <t>JLF-0925-118</t>
  </si>
  <si>
    <t>JEAN LEVIS FEMME JLF119</t>
  </si>
  <si>
    <t>JLF-0925-119</t>
  </si>
  <si>
    <t>JEAN LEVIS FEMME JLF120</t>
  </si>
  <si>
    <t>JLF-0925-120</t>
  </si>
  <si>
    <t>JEAN LEVIS FEMME JLF125</t>
  </si>
  <si>
    <t>JLF-0925-125</t>
  </si>
  <si>
    <t>JEAN LEVIS FEMME JLF129</t>
  </si>
  <si>
    <t>JLF-0925-129</t>
  </si>
  <si>
    <t>JEAN LEVIS FEMME JLF130</t>
  </si>
  <si>
    <t>JLF-0925-130</t>
  </si>
  <si>
    <t>JEAN LEVIS FEMME JLF131</t>
  </si>
  <si>
    <t>JLF-0925-131</t>
  </si>
  <si>
    <t>JEAN LEVIS FEMME JLF132</t>
  </si>
  <si>
    <t>JLF-0925-132</t>
  </si>
  <si>
    <t>JEAN LEVIS FEMME JLF134</t>
  </si>
  <si>
    <t>JLF-0925-134</t>
  </si>
  <si>
    <t>JEAN LEVIS FEMME JLF136</t>
  </si>
  <si>
    <t>JLF-0925-136</t>
  </si>
  <si>
    <t>JEAN LEVIS FEMME JLF137</t>
  </si>
  <si>
    <t>JLF-0925-137</t>
  </si>
  <si>
    <t xml:space="preserve">PULL TOMMY FEMME 1 </t>
  </si>
  <si>
    <t>PTHF-1025-1</t>
  </si>
  <si>
    <t>PULL TOMMY FEMME 2</t>
  </si>
  <si>
    <t>PTHF-1025-2</t>
  </si>
  <si>
    <t>PULL TOMMY FEMME 3</t>
  </si>
  <si>
    <t>PTHF-1025-3</t>
  </si>
  <si>
    <t>PULL TOMMY FEMME 4</t>
  </si>
  <si>
    <t>PTHF-1025-4</t>
  </si>
  <si>
    <t>PULL TOMMY FEMME 5</t>
  </si>
  <si>
    <t>PTHF-1025-5</t>
  </si>
  <si>
    <t>PULL TOMMY FEMME 6</t>
  </si>
  <si>
    <t>PTHF-1025-6</t>
  </si>
  <si>
    <t>PULL TOMMY FEMME 7</t>
  </si>
  <si>
    <t>PTHF-1025-7</t>
  </si>
  <si>
    <t>PULL TOMMY FEMME 10</t>
  </si>
  <si>
    <t>PTHF-1025-10</t>
  </si>
  <si>
    <t>PULL TOMMY FEMME 11</t>
  </si>
  <si>
    <t>PTHF-1025-11</t>
  </si>
  <si>
    <t>PULL TOMMY FEMME 12</t>
  </si>
  <si>
    <t>PTHF-1025-12</t>
  </si>
  <si>
    <t>PULL TOMMY FEMME 13</t>
  </si>
  <si>
    <t>PTHF-1025-13</t>
  </si>
  <si>
    <t>PULL TOMMY FEMME 15</t>
  </si>
  <si>
    <t>PTHF-1025-15</t>
  </si>
  <si>
    <t>PULL TOMMY FEMME 17</t>
  </si>
  <si>
    <t>PTHF-1025-17</t>
  </si>
  <si>
    <t>PULL TOMMY FEMME 18</t>
  </si>
  <si>
    <t>PTHF-1025-18</t>
  </si>
  <si>
    <t>PULL TOMMY FEMME 19</t>
  </si>
  <si>
    <t>PTHF-1025-19</t>
  </si>
  <si>
    <t>PULL TOMMY FEMME 21</t>
  </si>
  <si>
    <t>PTHF-1025-21</t>
  </si>
  <si>
    <t>PULL TOMMY FEMME 24</t>
  </si>
  <si>
    <t>PTHF-1025-24</t>
  </si>
  <si>
    <t>PULL TOMMY FEMME 25</t>
  </si>
  <si>
    <t>PTHF-1025-25</t>
  </si>
  <si>
    <t>PULL TOMMY FEMME 26</t>
  </si>
  <si>
    <t>PTHF-1025-26</t>
  </si>
  <si>
    <t>PULL TOMMY FEMME 29</t>
  </si>
  <si>
    <t>PTHF-1025-27</t>
  </si>
  <si>
    <t>PULL TOMMY FEMME 31</t>
  </si>
  <si>
    <t>PTHF-1025-31</t>
  </si>
  <si>
    <t>PULL TOMMY FEMME 36</t>
  </si>
  <si>
    <t>PTHF-1025-36</t>
  </si>
  <si>
    <t>PULL TOMMY FEMME 37</t>
  </si>
  <si>
    <t>PTHF-1025-37</t>
  </si>
  <si>
    <t>PULL TOMMY FEMME 39</t>
  </si>
  <si>
    <t>PTHF-1025-39</t>
  </si>
  <si>
    <t>PULL TOMMY FEMME 42</t>
  </si>
  <si>
    <t>PTHF-1025-42</t>
  </si>
  <si>
    <t>PULL TOMMY FEMME 45</t>
  </si>
  <si>
    <t>PTHF-1025-45</t>
  </si>
  <si>
    <t>PULL TOMMY FEMME 46</t>
  </si>
  <si>
    <t>PTHF-1025-46</t>
  </si>
  <si>
    <t>PULL TOMMY FEMME 47</t>
  </si>
  <si>
    <t>PTHF-1025-47</t>
  </si>
  <si>
    <t>PULL TOMMY FEMME 48</t>
  </si>
  <si>
    <t>PTHF-1025-48</t>
  </si>
  <si>
    <t>PULL TOMMY FEMME 50</t>
  </si>
  <si>
    <t>PTHF-1025-50</t>
  </si>
  <si>
    <t>PULL TOMMY FEMME 53</t>
  </si>
  <si>
    <t>PTHF-1025-53</t>
  </si>
  <si>
    <t>PULL TOMMY FEMME 54</t>
  </si>
  <si>
    <t>PTHF-1025-54</t>
  </si>
  <si>
    <t>PULL TOMMY FEMME 55</t>
  </si>
  <si>
    <t>PTHF-1025-55</t>
  </si>
  <si>
    <t>PULL TOMMY FEMME 56</t>
  </si>
  <si>
    <t>PTHF-1025-56</t>
  </si>
  <si>
    <t>JEAN LEVIS FEMME JLF138</t>
  </si>
  <si>
    <t>JLF-1025-138</t>
  </si>
  <si>
    <t>JEAN LEVIS FEMME JLF140</t>
  </si>
  <si>
    <t>JLF-1025-140</t>
  </si>
  <si>
    <t>JEAN LEVIS FEMME JLF141</t>
  </si>
  <si>
    <t>JLF-1025-141</t>
  </si>
  <si>
    <t>JEAN LEVIS FEMME JLF142</t>
  </si>
  <si>
    <t>JLF-1025-142</t>
  </si>
  <si>
    <t>JEAN LEVIS FEMME JLF143</t>
  </si>
  <si>
    <t>JLF-1025-143</t>
  </si>
  <si>
    <t>JEAN LEVIS FEMME JLF144</t>
  </si>
  <si>
    <t>JLF-1025-144</t>
  </si>
  <si>
    <t>JEAN LEVIS FEMME JLF145</t>
  </si>
  <si>
    <t>JLF-1025-145</t>
  </si>
  <si>
    <t>JEAN LEVIS FEMME JLF146</t>
  </si>
  <si>
    <t>JLF-1025-146</t>
  </si>
  <si>
    <t>JEAN LEVIS FEMME JLF147</t>
  </si>
  <si>
    <t>JLF-1025-147</t>
  </si>
  <si>
    <t>JEAN LEVIS FEMME JLF148</t>
  </si>
  <si>
    <t>JLF-1025-148</t>
  </si>
  <si>
    <t>JEAN LEVIS FEMME JLF149</t>
  </si>
  <si>
    <t>JLF-1025-149</t>
  </si>
  <si>
    <t>JEAN LEVIS FEMME JLF150</t>
  </si>
  <si>
    <t>JLF-1025-150</t>
  </si>
  <si>
    <t>JEAN LEVIS FEMME JLF151</t>
  </si>
  <si>
    <t>JLF-1025-151</t>
  </si>
  <si>
    <t>JEAN LEVIS FEMME JLF152</t>
  </si>
  <si>
    <t>JLF-1025-152</t>
  </si>
  <si>
    <t>JEAN LEVIS FEMME JLF153</t>
  </si>
  <si>
    <t>JLF-1025-153</t>
  </si>
  <si>
    <t>JEAN LEVIS FEMME JLF154</t>
  </si>
  <si>
    <t>JLF-1025-154</t>
  </si>
  <si>
    <t>JEAN LEVIS FEMME JLF155</t>
  </si>
  <si>
    <t>JLF-1025-155</t>
  </si>
  <si>
    <t>JEAN LEVIS FEMME JLF156</t>
  </si>
  <si>
    <t>JLF-1025-156</t>
  </si>
  <si>
    <t>JEAN LEVIS FEMME JLF157</t>
  </si>
  <si>
    <t>JLF-1025-157</t>
  </si>
  <si>
    <t>JEAN LEVIS FEMME JLF158</t>
  </si>
  <si>
    <t>JLF-1025-158</t>
  </si>
  <si>
    <t>JEAN LEVIS FEMME JLF159</t>
  </si>
  <si>
    <t>JLF-1025-159</t>
  </si>
  <si>
    <t>JEAN LEVIS FEMME JLF160</t>
  </si>
  <si>
    <t>JLF-1025-160</t>
  </si>
  <si>
    <t>JEAN LEVIS FEMME JLF161</t>
  </si>
  <si>
    <t>JLF-1025-161</t>
  </si>
  <si>
    <t>JEAN LEVIS FEMME JLF162</t>
  </si>
  <si>
    <t>JLF-1025-162</t>
  </si>
  <si>
    <t>JEAN LEVIS FEMME JLF163</t>
  </si>
  <si>
    <t>JLF-1025-163</t>
  </si>
  <si>
    <t>JEAN LEVIS FEMME JLF164</t>
  </si>
  <si>
    <t>JLF-1025-164</t>
  </si>
  <si>
    <t>JEAN LEVIS FEMME JLF165</t>
  </si>
  <si>
    <t>JLF-1025-165</t>
  </si>
  <si>
    <t>JEAN LEVIS FEMME JLF166</t>
  </si>
  <si>
    <t>JLF-1025-166</t>
  </si>
  <si>
    <t>JEAN LEVIS FEMME JLF167</t>
  </si>
  <si>
    <t>JLF-1025-167</t>
  </si>
  <si>
    <t>JEAN LEVIS FEMME JLF168</t>
  </si>
  <si>
    <t>JLF-1025-168</t>
  </si>
  <si>
    <t>JEAN LEVIS FEMME JLF169</t>
  </si>
  <si>
    <t>JLF-1025-169</t>
  </si>
  <si>
    <t>JEAN LEVIS FEMME JLF170</t>
  </si>
  <si>
    <t>JLF-1025-170</t>
  </si>
  <si>
    <t>JEAN LEVIS FEMME JLF171</t>
  </si>
  <si>
    <t>JLF-1025-171</t>
  </si>
  <si>
    <t>JEAN LEVIS FEMME JLF172</t>
  </si>
  <si>
    <t>JLF-1025-172</t>
  </si>
  <si>
    <t>JEAN LEVIS FEMME JLF173</t>
  </si>
  <si>
    <t>JLF-1025-173</t>
  </si>
  <si>
    <t>JEAN LEVIS FEMME JLF174</t>
  </si>
  <si>
    <t>JLF-1025-174</t>
  </si>
  <si>
    <t>JEAN LEVIS FEMME JLF175</t>
  </si>
  <si>
    <t>JLF-1025-175</t>
  </si>
  <si>
    <t>JEAN LEVIS FEMME JLF176</t>
  </si>
  <si>
    <t>JLF-1025-176</t>
  </si>
  <si>
    <t>JEAN LEVIS FEMME JLF177</t>
  </si>
  <si>
    <t>JLF-1025-177</t>
  </si>
  <si>
    <t>JEAN LEVIS FEMME JLF178</t>
  </si>
  <si>
    <t>JLF-1025-178</t>
  </si>
  <si>
    <t>JEAN LEVIS FEMME JLF179</t>
  </si>
  <si>
    <t>JLF-1025-179</t>
  </si>
  <si>
    <t>JEAN LEVIS FEMME JLF180</t>
  </si>
  <si>
    <t>JLF-1025-180</t>
  </si>
  <si>
    <t>JEAN LEVIS FEMME JLF181</t>
  </si>
  <si>
    <t>JLF-1025-181</t>
  </si>
  <si>
    <t>JEAN LEVIS FEMME JLF182</t>
  </si>
  <si>
    <t>JLF-1025-182</t>
  </si>
  <si>
    <t>JEAN LEVIS FEMME JLF183</t>
  </si>
  <si>
    <t>JLF-1025-183</t>
  </si>
  <si>
    <t>JEAN LEVIS FEMME JLF184</t>
  </si>
  <si>
    <t>JLF-1025-184</t>
  </si>
  <si>
    <t>JEAN LEVIS FEMME JLF185</t>
  </si>
  <si>
    <t>JLF-1025-185</t>
  </si>
  <si>
    <t>JEAN LEVIS FEMME JLF186</t>
  </si>
  <si>
    <t>JLF-1025-186</t>
  </si>
  <si>
    <t>JEAN LEVIS FEMME JLF187</t>
  </si>
  <si>
    <t>JLF-1025-187</t>
  </si>
  <si>
    <t>JEAN LEVIS FEMME JLF188</t>
  </si>
  <si>
    <t>JLF-1025-188</t>
  </si>
  <si>
    <t>JEAN LEVIS FEMME JLF189</t>
  </si>
  <si>
    <t>JLF-1025-189</t>
  </si>
  <si>
    <t>JEAN LEVIS FEMME JLF190</t>
  </si>
  <si>
    <t>JLF-1025-190</t>
  </si>
  <si>
    <t>JEAN LEVIS FEMME JLF191</t>
  </si>
  <si>
    <t>JLF-1025-191</t>
  </si>
  <si>
    <t>JEAN LEVIS FEMME JLF192</t>
  </si>
  <si>
    <t>JLF-1025-192</t>
  </si>
  <si>
    <t>JEAN LEVIS FEMME JLF193</t>
  </si>
  <si>
    <t>JLF-1025-193</t>
  </si>
  <si>
    <t>JEAN LEVIS FEMME JLF194</t>
  </si>
  <si>
    <t>JLF-1025-194</t>
  </si>
  <si>
    <t>JEAN LEVIS FEMME JLF195</t>
  </si>
  <si>
    <t>JLF-1025-195</t>
  </si>
  <si>
    <t>JEAN LEVIS FEMME JLF196</t>
  </si>
  <si>
    <t>JLF-1025-196</t>
  </si>
  <si>
    <t>JEAN LEVIS FEMME JLF197</t>
  </si>
  <si>
    <t>JLF-1025-197</t>
  </si>
  <si>
    <t>JEAN LEVIS FEMME JLF198</t>
  </si>
  <si>
    <t>JLF-1025-198</t>
  </si>
  <si>
    <t>JEAN LEVIS FEMME JLF199</t>
  </si>
  <si>
    <t>JLF-1025-199</t>
  </si>
  <si>
    <t>JEAN LEVIS FEMME JLF200</t>
  </si>
  <si>
    <t>JLF-1025-200</t>
  </si>
  <si>
    <t>JEAN LEVIS FEMME JLF201</t>
  </si>
  <si>
    <t>JLF-1025-201</t>
  </si>
  <si>
    <t>JEAN LEVIS FEMME JLF202</t>
  </si>
  <si>
    <t>JLF-1025-202</t>
  </si>
  <si>
    <t>JEAN LEVIS FEMME JLF203</t>
  </si>
  <si>
    <t>JLF-1025-203</t>
  </si>
  <si>
    <t>JEAN LEVIS FEMME JLF204</t>
  </si>
  <si>
    <t>JLF-1025-204</t>
  </si>
  <si>
    <t>JEAN LEVIS FEMME JLF205</t>
  </si>
  <si>
    <t>JLF-1025-205</t>
  </si>
  <si>
    <t>JEAN LEVIS FEMME JLF206</t>
  </si>
  <si>
    <t>JLF-1025-206</t>
  </si>
  <si>
    <t>JEAN LEVIS FEMME JLF207</t>
  </si>
  <si>
    <t>JLF-1025-207</t>
  </si>
  <si>
    <t>JEAN LEVIS FEMME JLF208</t>
  </si>
  <si>
    <t>JLF-1025-208</t>
  </si>
  <si>
    <t>JEAN LEVIS FEMME JLF209</t>
  </si>
  <si>
    <t>JLF-1025-209</t>
  </si>
  <si>
    <t>JEAN LEVIS FEMME JLF210</t>
  </si>
  <si>
    <t>JLF-1025-210</t>
  </si>
  <si>
    <t>JEAN LEVIS FEMME JLF211</t>
  </si>
  <si>
    <t>JLF-1025-211</t>
  </si>
  <si>
    <t>JEAN LEVIS FEMME JLF212</t>
  </si>
  <si>
    <t>JLF-1025-212</t>
  </si>
  <si>
    <t>JEAN LEVIS FEMME JLF213</t>
  </si>
  <si>
    <t>JLF-1025-213</t>
  </si>
  <si>
    <t>JEAN LEVIS FEMME JLF214</t>
  </si>
  <si>
    <t>JLF-1025-214</t>
  </si>
  <si>
    <t>JEAN LEVIS FEMME JLF215</t>
  </si>
  <si>
    <t>JLF-1025-215</t>
  </si>
  <si>
    <t>JEAN LEVIS FEMME JLF216</t>
  </si>
  <si>
    <t>JLF-1025-216</t>
  </si>
  <si>
    <t>JEAN LEVIS FEMME JLF217</t>
  </si>
  <si>
    <t>JLF-1025-217</t>
  </si>
  <si>
    <t>JEAN LEVIS FEMME JLF218</t>
  </si>
  <si>
    <t>JLF-1025-218</t>
  </si>
  <si>
    <t>JEAN LEVIS FEMME JLF219</t>
  </si>
  <si>
    <t>JLF-1025-219</t>
  </si>
  <si>
    <t>JEAN LEVIS FEMME JLF220</t>
  </si>
  <si>
    <t>JLF-1025-220</t>
  </si>
  <si>
    <t>JEAN LEVIS FEMME JLF221</t>
  </si>
  <si>
    <t>JLF-1025-221</t>
  </si>
  <si>
    <t>JEAN LEVIS FEMME JLF222</t>
  </si>
  <si>
    <t>JLF-1025-222</t>
  </si>
  <si>
    <t>JEAN LEVIS FEMME JLF223</t>
  </si>
  <si>
    <t>JLF-1025-223</t>
  </si>
  <si>
    <t>JEAN LEVIS FEMME JLF224</t>
  </si>
  <si>
    <t>JLF-1025-224</t>
  </si>
  <si>
    <t>JEAN LEVIS FEMME JLF225</t>
  </si>
  <si>
    <t>JLF-1025-225</t>
  </si>
  <si>
    <t>JEAN LEVIS FEMME JLF226</t>
  </si>
  <si>
    <t>JLF-1025-226</t>
  </si>
  <si>
    <t>JEAN LEVIS FEMME JLF227</t>
  </si>
  <si>
    <t>JLF-1025-227</t>
  </si>
  <si>
    <t>JEAN LEVIS FEMME JLF228</t>
  </si>
  <si>
    <t>JLF-1025-228</t>
  </si>
  <si>
    <t>JEAN LEVIS FEMME JLF229</t>
  </si>
  <si>
    <t>JLF-1025-229</t>
  </si>
  <si>
    <t>JEAN LEVIS FEMME JLF230</t>
  </si>
  <si>
    <t>JLF-1025-230</t>
  </si>
  <si>
    <t>JEAN LEVIS FEMME JLF231</t>
  </si>
  <si>
    <t>JLF-1025-231</t>
  </si>
  <si>
    <t>JEAN LEVIS FEMME JLF232</t>
  </si>
  <si>
    <t>JLF-1025-232</t>
  </si>
  <si>
    <t>JEAN LEVIS FEMME JLF233</t>
  </si>
  <si>
    <t>JLF-1025-233</t>
  </si>
  <si>
    <t>JEAN LEVIS FEMME JLF234</t>
  </si>
  <si>
    <t>JLF-1025-234</t>
  </si>
  <si>
    <t>JEAN LEVIS FEMME JLF235</t>
  </si>
  <si>
    <t>JLF-1025-235</t>
  </si>
  <si>
    <t>JEAN LEVIS FEMME JLF236</t>
  </si>
  <si>
    <t>JLF-1025-236</t>
  </si>
  <si>
    <t>JEAN LEVIS FEMME JLF237</t>
  </si>
  <si>
    <t>JLF-1025-237</t>
  </si>
  <si>
    <t>FLEECE TNF 42</t>
  </si>
  <si>
    <t>PTNFF-0925-42</t>
  </si>
  <si>
    <t>FLEECE TNF 43</t>
  </si>
  <si>
    <t>PTNFF-0925-43</t>
  </si>
  <si>
    <t>FLEECE TNF 44</t>
  </si>
  <si>
    <t>PTNFF-0925-44</t>
  </si>
  <si>
    <t>FLEECE TNF 45</t>
  </si>
  <si>
    <t>PTNFF-0925-45</t>
  </si>
  <si>
    <t>FLEECE TNF 46</t>
  </si>
  <si>
    <t>PTNFF-0925-46</t>
  </si>
  <si>
    <t>FLEECE TNF 47</t>
  </si>
  <si>
    <t>PTNFF-0925-47</t>
  </si>
  <si>
    <t>FLEECE TNF 48</t>
  </si>
  <si>
    <t>PTNFF-0925-48</t>
  </si>
  <si>
    <t>FLEECE TNF 49</t>
  </si>
  <si>
    <t>PTNFF-0925-49</t>
  </si>
  <si>
    <t>FLEECE TNF 50</t>
  </si>
  <si>
    <t>PTNFF-0925-50</t>
  </si>
  <si>
    <t>FLEECE TNF 51</t>
  </si>
  <si>
    <t>PTNFF-0925-51</t>
  </si>
  <si>
    <t>FLEECE TNF 52</t>
  </si>
  <si>
    <t>PTNFF-0925-52</t>
  </si>
  <si>
    <t>FLEECE TNF 53</t>
  </si>
  <si>
    <t>PTNFF-0925-53</t>
  </si>
  <si>
    <t>FLEECE TNF 54</t>
  </si>
  <si>
    <t>PTNFF-0925-54</t>
  </si>
  <si>
    <t>FLEECE TNF 55</t>
  </si>
  <si>
    <t>PTNFF-0925-55</t>
  </si>
  <si>
    <t>FLEECE TNF 56</t>
  </si>
  <si>
    <t>PTNFF-0925-56</t>
  </si>
  <si>
    <t>FLEECE TNF 57</t>
  </si>
  <si>
    <t>PTNFF-0925-57</t>
  </si>
  <si>
    <t>FLEECE TNF 58</t>
  </si>
  <si>
    <t>PTNFF-0925-58</t>
  </si>
  <si>
    <t>FLEECE TNF 59</t>
  </si>
  <si>
    <t>PTNFF-0925-59</t>
  </si>
  <si>
    <t>FLEECE TNF 60</t>
  </si>
  <si>
    <t>PTNFF-0925-60</t>
  </si>
  <si>
    <t>FLEECE TNF 61</t>
  </si>
  <si>
    <t>PTNFF-0925-61</t>
  </si>
  <si>
    <t>FLEECE COLUMBIA 1</t>
  </si>
  <si>
    <t>PCF-0925-1</t>
  </si>
  <si>
    <t>FLEECE COLUMBIA 2</t>
  </si>
  <si>
    <t>PCF-0925-2</t>
  </si>
  <si>
    <t>FLEECE COLUMBIA 3</t>
  </si>
  <si>
    <t>PCF-0925-3</t>
  </si>
  <si>
    <t>FLEECE COLUMBIA 4</t>
  </si>
  <si>
    <t>PCF-0925-4</t>
  </si>
  <si>
    <t>FLEECE COLUMBIA 5</t>
  </si>
  <si>
    <t>PCF-0925-5</t>
  </si>
  <si>
    <t>FLEECE COLUMBIA 6</t>
  </si>
  <si>
    <t>PCF-0925-6</t>
  </si>
  <si>
    <t>FLEECE COLUMBIA 7</t>
  </si>
  <si>
    <t>PCF-0925-7</t>
  </si>
  <si>
    <t>FLEECE COLUMBIA 8</t>
  </si>
  <si>
    <t>PCF-0925-8</t>
  </si>
  <si>
    <t>FLEECE COLUMBIA 9</t>
  </si>
  <si>
    <t>PCF-0925-9</t>
  </si>
  <si>
    <t>FLEECE COLUMBIA 10</t>
  </si>
  <si>
    <t>PCF-0925-10</t>
  </si>
  <si>
    <t>FLEECE TNF 1</t>
  </si>
  <si>
    <t>PTNFF-0925-1</t>
  </si>
  <si>
    <t>FLEECE TNF 2</t>
  </si>
  <si>
    <t>PTNFF-0925-2</t>
  </si>
  <si>
    <t>FLEECE TNF 3</t>
  </si>
  <si>
    <t>PTNFF-0925-3</t>
  </si>
  <si>
    <t>FLEECE TNF 4</t>
  </si>
  <si>
    <t>PTNFF-0925-4</t>
  </si>
  <si>
    <t>FLEECE TNF 5</t>
  </si>
  <si>
    <t>PTNFF-0925-5</t>
  </si>
  <si>
    <t>FLEECE TNF 6</t>
  </si>
  <si>
    <t>PTNFF-0925-6</t>
  </si>
  <si>
    <t>FLEECE TNF 7</t>
  </si>
  <si>
    <t>PTNFF-0925-7</t>
  </si>
  <si>
    <t>FLEECE TNF 8</t>
  </si>
  <si>
    <t>PTNFF-0925-8</t>
  </si>
  <si>
    <t>FLEECE TNF 9</t>
  </si>
  <si>
    <t>PTNFF-0925-9</t>
  </si>
  <si>
    <t>FLEECE TNF 10</t>
  </si>
  <si>
    <t>PTNFF-0925-10</t>
  </si>
  <si>
    <t>FLEECE TNF 11</t>
  </si>
  <si>
    <t>PTNFF-0925-11</t>
  </si>
  <si>
    <t>FLEECE TNF 12</t>
  </si>
  <si>
    <t>PTNFF-0925-12</t>
  </si>
  <si>
    <t>FLEECE TNF 13</t>
  </si>
  <si>
    <t>PTNFF-0925-13</t>
  </si>
  <si>
    <t>FLEECE TNF 14</t>
  </si>
  <si>
    <t>PTNFF-0925-14</t>
  </si>
  <si>
    <t>FLEECE TNF 15</t>
  </si>
  <si>
    <t>PTNFF-0925-15</t>
  </si>
  <si>
    <t>FLEECE TNF 16</t>
  </si>
  <si>
    <t>PTNFF-0925-16</t>
  </si>
  <si>
    <t>FLEECE TNF 17</t>
  </si>
  <si>
    <t>PTNFF-0925-17</t>
  </si>
  <si>
    <t>FLEECE TNF 18</t>
  </si>
  <si>
    <t>PTNFF-0925-18</t>
  </si>
  <si>
    <t>FLEECE TNF 19</t>
  </si>
  <si>
    <t>PTNFF-0925-19</t>
  </si>
  <si>
    <t>FLEECE TNF 20</t>
  </si>
  <si>
    <t>PTNFF-0925-20</t>
  </si>
  <si>
    <t>FLEECE TNF 21</t>
  </si>
  <si>
    <t>PTNFF-0925-21</t>
  </si>
  <si>
    <t>FLEECE TNF 22</t>
  </si>
  <si>
    <t>PTNFF-0925-22</t>
  </si>
  <si>
    <t>FLEECE TNF 23</t>
  </si>
  <si>
    <t>PTNFF-0925-23</t>
  </si>
  <si>
    <t>FLEECE TNF 24</t>
  </si>
  <si>
    <t>PTNFF-0925-24</t>
  </si>
  <si>
    <t>FLEECE TNF 25</t>
  </si>
  <si>
    <t>PTNFF-0925-25</t>
  </si>
  <si>
    <t>FLEECE TNF 26</t>
  </si>
  <si>
    <t>PTNFF-0925-26</t>
  </si>
  <si>
    <t>FLEECE TNF 27</t>
  </si>
  <si>
    <t>PTNFF-0925-27</t>
  </si>
  <si>
    <t>FLEECE TNF 28</t>
  </si>
  <si>
    <t>PTNFF-0925-28</t>
  </si>
  <si>
    <t>FLEECE TNF 29</t>
  </si>
  <si>
    <t>PTNFF-0925-29</t>
  </si>
  <si>
    <t>FLEECE TNF 30</t>
  </si>
  <si>
    <t>PTNFF-0925-30</t>
  </si>
  <si>
    <t>FLEECE TNF 31</t>
  </si>
  <si>
    <t>PTNFF-0925-31</t>
  </si>
  <si>
    <t>FLEECE TNF 32</t>
  </si>
  <si>
    <t>PTNFF-0925-32</t>
  </si>
  <si>
    <t>FLEECE TNF 33</t>
  </si>
  <si>
    <t>PTNFF-0925-33</t>
  </si>
  <si>
    <t>FLEECE TNF 34</t>
  </si>
  <si>
    <t>PTNFF-0925-34</t>
  </si>
  <si>
    <t>FLEECE TNF 35</t>
  </si>
  <si>
    <t>PTNFF-0925-35</t>
  </si>
  <si>
    <t>FLEECE TNF 36</t>
  </si>
  <si>
    <t>PTNFF-0925-36</t>
  </si>
  <si>
    <t>FLEECE TNF 37</t>
  </si>
  <si>
    <t>PTNFF-0925-37</t>
  </si>
  <si>
    <t>FLEECE TNF 38</t>
  </si>
  <si>
    <t>PTNFF-0925-38</t>
  </si>
  <si>
    <t>FLEECE TNF 39</t>
  </si>
  <si>
    <t>PTNFF-0925-39</t>
  </si>
  <si>
    <t>FLEECE TNF 40</t>
  </si>
  <si>
    <t>PTNFF-0925-40</t>
  </si>
  <si>
    <t>FLEECE TNF 41</t>
  </si>
  <si>
    <t>PTNFF-0925-41</t>
  </si>
  <si>
    <t xml:space="preserve">TOTAL </t>
  </si>
  <si>
    <t>LIBELLÉS</t>
  </si>
  <si>
    <t>PRIX ACHAT</t>
  </si>
  <si>
    <t>DATE DE RÉCEPTION</t>
  </si>
  <si>
    <r>
      <rPr>
        <rFont val="Arial"/>
        <color theme="1"/>
      </rPr>
      <t xml:space="preserve">DÉLAI D'IMMOBILISATION (EN JOURS)
</t>
    </r>
    <r>
      <rPr>
        <rFont val="Arial"/>
        <i/>
        <color theme="1"/>
        <sz val="8.0"/>
      </rPr>
      <t>"date de réception - date de vente"</t>
    </r>
  </si>
  <si>
    <r>
      <rPr>
        <rFont val="Arial"/>
        <color theme="1"/>
      </rPr>
      <t xml:space="preserve">DÉLAI DE VENTE (EN JOURS)
</t>
    </r>
    <r>
      <rPr>
        <rFont val="Arial"/>
        <i/>
        <color theme="1"/>
        <sz val="8.0"/>
      </rPr>
      <t>"besoin de la date de mise en ligne // date de mise en ligne - date de vente"</t>
    </r>
  </si>
  <si>
    <t>NBR PCS VENDU</t>
  </si>
  <si>
    <t>SEMAINE 1 01/10/2025 AU 05/10/2025</t>
  </si>
  <si>
    <t>JACKET MIX MARQUES GRADE B JMB-099</t>
  </si>
  <si>
    <t>JACKET MIX MARQUES GRADE B JMB-127</t>
  </si>
  <si>
    <t>JEANS LEVIS FEMME JLFK-35</t>
  </si>
  <si>
    <t>VETEMENT HOMME TYMAN 7</t>
  </si>
  <si>
    <t>JACKET MIX MARQUES GRADE B JMB-091</t>
  </si>
  <si>
    <t>JACKET MIX MARQUES GRADE B JMB-119</t>
  </si>
  <si>
    <t>JACKET MIX MARQUES GRADE B JMB-126</t>
  </si>
  <si>
    <t>JACKET MIX MARQUES GRADE B JMB-131</t>
  </si>
  <si>
    <t>JACKET MIX MARQUES GRADE B JMB-135</t>
  </si>
  <si>
    <t>JACKET MIX MARQUES GRADE B JMB-136</t>
  </si>
  <si>
    <t>SEMAINE 2 06/10/2025 AU 12/10/2025</t>
  </si>
  <si>
    <t>JEANS LEVIS FEMME JLFK-43</t>
  </si>
  <si>
    <t>JEANS LEVIS FEMME JLFK-51</t>
  </si>
  <si>
    <t>JEANS LEVIS FEMME JLFK-79</t>
  </si>
  <si>
    <t>JACKET MIX MARQUES GRADE B JMB-111</t>
  </si>
  <si>
    <t>JACKET MIX MARQUES GRADE B JMB-116</t>
  </si>
  <si>
    <t>JACKET MIX MARQUES GRADE B JMB-124</t>
  </si>
  <si>
    <t>JEAN LEVIS FEMME JLF1</t>
  </si>
  <si>
    <t>JEAN LEVIS FEMME JLF3</t>
  </si>
  <si>
    <t>JEAN LEVIS FEMME JLF4</t>
  </si>
  <si>
    <t>JEAN LEVIS FEMME JLF5</t>
  </si>
  <si>
    <t>JEAN LEVIS FEMME JLF6</t>
  </si>
  <si>
    <t>JEAN LEVIS FEMME JLF8</t>
  </si>
  <si>
    <t>JEAN LEVIS FEMME JLF17</t>
  </si>
  <si>
    <t>SEMAINE 3 13/10/2025 au 19/10/2025</t>
  </si>
  <si>
    <t>JEAN LEVIS FEMME JLF2</t>
  </si>
  <si>
    <t>JEAN LEVIS FEMME JLF18</t>
  </si>
  <si>
    <t>JEAN LEVIS FEMME JLF22</t>
  </si>
  <si>
    <t>JEAN LEVIS FEMME JLF27</t>
  </si>
  <si>
    <t>JACKET MIX MARQUES GRADE B JMB-087</t>
  </si>
  <si>
    <t>JEANS LEVIS FEMME JLFK-56</t>
  </si>
  <si>
    <t>JEAN LEVIS FEMME JLF23</t>
  </si>
  <si>
    <t>JEAN LEVIS FEMME JLF26</t>
  </si>
  <si>
    <t>JACKET MIX MARQUES GRADE B JMB-137</t>
  </si>
  <si>
    <t>JEAN LEVIS FEMME JLF31</t>
  </si>
  <si>
    <t>JEAN LEVIS FEMME JLF42</t>
  </si>
  <si>
    <t>JEAN LEVIS FEMME JLF46</t>
  </si>
  <si>
    <t>JEAN LEVIS FEMME JLF47</t>
  </si>
  <si>
    <t>JEAN LEVIS FEMME JLF49</t>
  </si>
  <si>
    <t>JEAN LEVIS FEMME JLF55</t>
  </si>
  <si>
    <t>JEAN LEVIS FEMME JLF58</t>
  </si>
  <si>
    <t>JEANS LEVIS FEMME JLFK-30</t>
  </si>
  <si>
    <t>JEANS LEVIS FEMME JLFK-40</t>
  </si>
  <si>
    <t>VETEMENT FEMME TYMAN 6</t>
  </si>
  <si>
    <t>JACKET MIX MARQUES GRADE B JMB-121</t>
  </si>
  <si>
    <t>JEAN LEVIS FEMME JLF34</t>
  </si>
  <si>
    <t>JEAN LEVIS FEMME JLF43</t>
  </si>
  <si>
    <t>JEAN LEVIS FEMME JLF51</t>
  </si>
  <si>
    <t>JEAN LEVIS FEMME JLF52</t>
  </si>
  <si>
    <t>JEAN LEVIS FEMME JLF54</t>
  </si>
  <si>
    <t>JEAN LEVIS FEMME JLF59</t>
  </si>
  <si>
    <t>JEAN LEVIS FEMME JLF61</t>
  </si>
  <si>
    <t>JEAN LEVIS FEMME JLF62</t>
  </si>
  <si>
    <t>JEAN LEVIS FEMME JLF64</t>
  </si>
  <si>
    <t>JEAN LEVIS FEMME JLF66</t>
  </si>
  <si>
    <t>JEAN LEVIS FEMME JLF73</t>
  </si>
  <si>
    <t>JEAN LEVIS FEMME JLF75</t>
  </si>
  <si>
    <t>JEAN LEVIS FEMME JLF76</t>
  </si>
  <si>
    <t>JEANS LEVIS FEMME JLFK-49</t>
  </si>
  <si>
    <t>JEANS LEVIS FEMME JLFK-66</t>
  </si>
  <si>
    <t>JEAN LEVIS FEMME JLF7</t>
  </si>
  <si>
    <t>JEAN LEVIS FEMME JLF11</t>
  </si>
  <si>
    <t>JEAN LEVIS FEMME JLF35</t>
  </si>
  <si>
    <t>JEAN LEVIS FEMME JLF36</t>
  </si>
  <si>
    <t>JEAN LEVIS FEMME JLF40</t>
  </si>
  <si>
    <t>JEAN LEVIS FEMME JLF69</t>
  </si>
  <si>
    <t>JEAN LEVIS FEMME JLF77</t>
  </si>
  <si>
    <t>JEAN LEVIS FEMME JLF80</t>
  </si>
  <si>
    <t>JEAN LEVIS FEMME JLF81</t>
  </si>
  <si>
    <t>JEAN LEVIS FEMME JLF86</t>
  </si>
  <si>
    <t>JEAN LEVIS FEMME JLF90</t>
  </si>
  <si>
    <t>SEMAINE 4 20/102025 au 26/10/205</t>
  </si>
  <si>
    <t>VETEMENT FEMME TYMAN 7</t>
  </si>
  <si>
    <t>JEAN LEVIS FEMME JLF13</t>
  </si>
  <si>
    <t>JEAN LEVIS FEMME JLF20</t>
  </si>
  <si>
    <t>JEAN LEVIS FEMME JLF41</t>
  </si>
  <si>
    <t>JEAN LEVIS FEMME JLF79</t>
  </si>
  <si>
    <t>JEAN LEVIS FEMME JLF91</t>
  </si>
  <si>
    <t>JEAN LEVIS FEMME JLF96</t>
  </si>
  <si>
    <t>JEAN LEVIS FEMME JLF97</t>
  </si>
  <si>
    <t>JEAN LEVIS FEMME JLF98</t>
  </si>
  <si>
    <t>JEAN LEVIS FEMME JLF99</t>
  </si>
  <si>
    <t>JEAN LEVIS FEMME JLF100</t>
  </si>
  <si>
    <t>JEAN LEVIS FEMME JLF102</t>
  </si>
  <si>
    <t>JEAN LEVIS FEMME JLF110</t>
  </si>
  <si>
    <t>JEAN LEVIS FEMME JLF116</t>
  </si>
  <si>
    <t>JACKET MIX MARQUES GRADE B JMB-129</t>
  </si>
  <si>
    <t>JEAN LEVIS FEMME JLF67</t>
  </si>
  <si>
    <t>JEAN LEVIS FEMME JLF78</t>
  </si>
  <si>
    <t>JEAN LEVIS FEMME JLF88</t>
  </si>
  <si>
    <t>JEAN LEVIS FEMME JLF115</t>
  </si>
  <si>
    <t>JEAN LEVIS FEMME JLF122</t>
  </si>
  <si>
    <t>JEAN LEVIS FEMME JLF127</t>
  </si>
  <si>
    <t>JEAN LEVIS FEMME JLF70</t>
  </si>
  <si>
    <t>JEAN LEVIS FEMME JLF117</t>
  </si>
  <si>
    <t>JEAN LEVIS FEMME JLF133</t>
  </si>
  <si>
    <t>JEANS LEVIS FEMME JLFK-77</t>
  </si>
  <si>
    <t>JACKET MIX MARQUES GRADE B JMB-133</t>
  </si>
  <si>
    <t>JEAN LEVIS FEMME JLF12</t>
  </si>
  <si>
    <t>JEAN LEVIS FEMME JLF15</t>
  </si>
  <si>
    <t>JEAN LEVIS FEMME JLF21</t>
  </si>
  <si>
    <t>JEAN LEVIS FEMME JLF29</t>
  </si>
  <si>
    <t>JEAN LEVIS FEMME JLF39</t>
  </si>
  <si>
    <t>JEAN LEVIS FEMME JLF105</t>
  </si>
  <si>
    <t>JEAN LEVIS FEMME JLF108</t>
  </si>
  <si>
    <t>JEAN LEVIS FEMME JLF135</t>
  </si>
  <si>
    <t>PULL TOMMY FEMME 8</t>
  </si>
  <si>
    <t>PULL TOMMY FEMME 9</t>
  </si>
  <si>
    <t>JEAN LEVIS FEMME JLF84</t>
  </si>
  <si>
    <t>VETEMENT HOMME TYMAN 8</t>
  </si>
  <si>
    <t>JEAN LEVIS FEMME JLF48</t>
  </si>
  <si>
    <t>JEAN LEVIS FEMME JLF92</t>
  </si>
  <si>
    <t>JEAN LEVIS FEMME JLF103</t>
  </si>
  <si>
    <t>JEAN LEVIS FEMME JLF113</t>
  </si>
  <si>
    <t>JEAN LEVIS FEMME JLF121</t>
  </si>
  <si>
    <t>JEAN LEVIS FEMME JLF123</t>
  </si>
  <si>
    <t>JEAN LEVIS FEMME JLF126</t>
  </si>
  <si>
    <t>PULL TOMMY FEMME 14</t>
  </si>
  <si>
    <t>PULL TOMMY FEMME 16</t>
  </si>
  <si>
    <t>SEMAINE 5 27/10/2025 au 31/10/2025</t>
  </si>
  <si>
    <t>PULL TOMMY FEMME 20</t>
  </si>
  <si>
    <t>PULL TOMMY FEMME 22</t>
  </si>
  <si>
    <t>PULL TOMMY FEMME 23</t>
  </si>
  <si>
    <t>PULL TOMMY FEMME 27</t>
  </si>
  <si>
    <t>PULL TOMMY FEMME 28</t>
  </si>
  <si>
    <t>PULL TOMMY FEMME 30</t>
  </si>
  <si>
    <t>PULL TOMMY FEMME 32</t>
  </si>
  <si>
    <t>PULL TOMMY FEMME 33</t>
  </si>
  <si>
    <t>PULL TOMMY FEMME 34</t>
  </si>
  <si>
    <t>PULL TOMMY FEMME 35</t>
  </si>
  <si>
    <t>PULL TOMMY FEMME 38</t>
  </si>
  <si>
    <t>PULL TOMMY FEMME 41</t>
  </si>
  <si>
    <t>PULL TOMMY FEMME 43</t>
  </si>
  <si>
    <t>PULL TOMMY FEMME 44</t>
  </si>
  <si>
    <t>VETEMENT HOMME TYMAN 9</t>
  </si>
  <si>
    <t>JEAN LEVIS FEMME JLF19</t>
  </si>
  <si>
    <t>JEAN LEVIS FEMME JLF28</t>
  </si>
  <si>
    <t>JEAN LEVIS FEMME JLF38</t>
  </si>
  <si>
    <t>JEAN LEVIS FEMME JLF124</t>
  </si>
  <si>
    <t>JEAN LEVIS FEMME JLF128</t>
  </si>
  <si>
    <t>PULL TOMMY FEMME 40</t>
  </si>
  <si>
    <t>PULL TOMMY FEMME 49</t>
  </si>
  <si>
    <t>PULL TOMMY FEMME 51</t>
  </si>
  <si>
    <t>PULL TOMMY FEMME 52</t>
  </si>
  <si>
    <t>JEAN LEVIS FEMME JLF139</t>
  </si>
  <si>
    <t xml:space="preserve">COMPTABILITÉ </t>
  </si>
  <si>
    <t>SORTIE</t>
  </si>
  <si>
    <t>ENTRÉE</t>
  </si>
  <si>
    <t>STOCK</t>
  </si>
  <si>
    <t>DÉPENSE</t>
  </si>
  <si>
    <t>MONTANT</t>
  </si>
  <si>
    <t>CA VENTE</t>
  </si>
  <si>
    <t>VALEUR DE STOCK</t>
  </si>
  <si>
    <t>CLEMZ</t>
  </si>
  <si>
    <t xml:space="preserve">CHATGPT </t>
  </si>
  <si>
    <t xml:space="preserve">MARGE BRUT </t>
  </si>
  <si>
    <t>REVOLUT</t>
  </si>
  <si>
    <t xml:space="preserve">COEFF MARGE </t>
  </si>
  <si>
    <t xml:space="preserve">CONEVERT LABEL </t>
  </si>
  <si>
    <t xml:space="preserve">WHATNOT </t>
  </si>
  <si>
    <t xml:space="preserve">DRESSING  VINTED </t>
  </si>
  <si>
    <t>BOOST</t>
  </si>
  <si>
    <t>CA TOTAL</t>
  </si>
  <si>
    <t xml:space="preserve">ESSENCE livraison, lavomatique, etc </t>
  </si>
  <si>
    <t>LAVERIE (machine+séche linge)</t>
  </si>
  <si>
    <t>MARGE BRUT TOTAL</t>
  </si>
  <si>
    <t>NETTOYANT lessive, adoucissant, decolor stop,détachant</t>
  </si>
  <si>
    <t>FOURNITURE DE BUREAU pochettes d'envoie, bordereau</t>
  </si>
  <si>
    <t>TEMU x2 double portant,</t>
  </si>
  <si>
    <t>AMAZON eau, cintres, rouleau a poile</t>
  </si>
  <si>
    <t>BRICOLAGE planche armoire</t>
  </si>
  <si>
    <t>TOTAL DÉPENSE</t>
  </si>
  <si>
    <t>BÉNÉFICE MOIS</t>
  </si>
  <si>
    <t>BENEFICE MOIS - TOTAL DEPENSE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</si>
</sst>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€-1]"/>
    <numFmt numFmtId="165" formatCode="dd/MM/yyyy"/>
    <numFmt numFmtId="166" formatCode="dd/mm/yyyy"/>
    <numFmt numFmtId="167" formatCode="#,##0.00;(#,##0.00)"/>
    <numFmt numFmtId="168" formatCode="d/m/yyyy"/>
    <numFmt numFmtId="169" formatCode="d/m"/>
    <numFmt numFmtId="170" formatCode="#,##0&quot;€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color rgb="FFFFFFFF"/>
      <name val="Roboto"/>
    </font>
    <font>
      <b/>
      <color theme="1"/>
      <name val="Arial"/>
      <scheme val="minor"/>
    </font>
    <font>
      <b/>
      <sz val="14.0"/>
      <color theme="1"/>
      <name val="Arial"/>
    </font>
    <font>
      <b/>
      <i/>
      <sz val="14.0"/>
      <color theme="1"/>
      <name val="Arial"/>
    </font>
    <font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</fills>
  <borders count="10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165" xfId="0" applyAlignment="1" applyFont="1" applyNumberFormat="1">
      <alignment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2" xfId="0" applyAlignment="1" applyFont="1" applyNumberFormat="1">
      <alignment shrinkToFit="0" wrapText="0"/>
    </xf>
    <xf borderId="0" fillId="0" fontId="1" numFmtId="0" xfId="0" applyFont="1"/>
    <xf borderId="0" fillId="0" fontId="3" numFmtId="0" xfId="0" applyAlignment="1" applyFont="1">
      <alignment readingOrder="0" vertical="bottom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readingOrder="0" shrinkToFit="0" wrapText="0"/>
    </xf>
    <xf borderId="0" fillId="0" fontId="1" numFmtId="166" xfId="0" applyAlignment="1" applyFont="1" applyNumberForma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3" numFmtId="14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2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6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6" numFmtId="4" xfId="0" applyAlignment="1" applyFont="1" applyNumberFormat="1">
      <alignment shrinkToFit="0" vertical="center" wrapText="0"/>
    </xf>
    <xf borderId="0" fillId="0" fontId="6" numFmtId="167" xfId="0" applyAlignment="1" applyFont="1" applyNumberFormat="1">
      <alignment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shrinkToFit="0" wrapText="0"/>
    </xf>
    <xf borderId="3" fillId="0" fontId="1" numFmtId="164" xfId="0" applyBorder="1" applyFont="1" applyNumberFormat="1"/>
    <xf borderId="3" fillId="0" fontId="1" numFmtId="165" xfId="0" applyBorder="1" applyFont="1" applyNumberFormat="1"/>
    <xf borderId="3" fillId="0" fontId="1" numFmtId="168" xfId="0" applyBorder="1" applyFont="1" applyNumberFormat="1"/>
    <xf borderId="3" fillId="0" fontId="1" numFmtId="164" xfId="0" applyBorder="1" applyFont="1" applyNumberFormat="1"/>
    <xf borderId="3" fillId="0" fontId="1" numFmtId="169" xfId="0" applyBorder="1" applyFont="1" applyNumberFormat="1"/>
    <xf borderId="3" fillId="0" fontId="1" numFmtId="0" xfId="0" applyBorder="1" applyFont="1"/>
    <xf borderId="3" fillId="0" fontId="1" numFmtId="4" xfId="0" applyBorder="1" applyFont="1" applyNumberFormat="1"/>
    <xf borderId="4" fillId="0" fontId="6" numFmtId="0" xfId="0" applyBorder="1" applyFont="1"/>
    <xf borderId="5" fillId="0" fontId="1" numFmtId="0" xfId="0" applyAlignment="1" applyBorder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3" xfId="0" applyAlignment="1" applyFont="1" applyNumberFormat="1">
      <alignment shrinkToFit="0" wrapText="0"/>
    </xf>
    <xf borderId="0" fillId="0" fontId="1" numFmtId="4" xfId="0" applyAlignment="1" applyFont="1" applyNumberFormat="1">
      <alignment shrinkToFit="0" wrapText="0"/>
    </xf>
    <xf borderId="6" fillId="0" fontId="1" numFmtId="0" xfId="0" applyBorder="1" applyFont="1"/>
    <xf borderId="0" fillId="0" fontId="1" numFmtId="167" xfId="0" applyAlignment="1" applyFont="1" applyNumberFormat="1">
      <alignment shrinkToFit="0" wrapText="0"/>
    </xf>
    <xf borderId="7" fillId="0" fontId="6" numFmtId="0" xfId="0" applyAlignment="1" applyBorder="1" applyFont="1">
      <alignment readingOrder="0" shrinkToFit="0" wrapText="0"/>
    </xf>
    <xf borderId="8" fillId="0" fontId="6" numFmtId="164" xfId="0" applyBorder="1" applyFont="1" applyNumberFormat="1"/>
    <xf borderId="8" fillId="0" fontId="6" numFmtId="165" xfId="0" applyBorder="1" applyFont="1" applyNumberFormat="1"/>
    <xf borderId="8" fillId="0" fontId="6" numFmtId="168" xfId="0" applyBorder="1" applyFont="1" applyNumberFormat="1"/>
    <xf borderId="8" fillId="0" fontId="6" numFmtId="164" xfId="0" applyAlignment="1" applyBorder="1" applyFont="1" applyNumberFormat="1">
      <alignment shrinkToFit="0" wrapText="0"/>
    </xf>
    <xf borderId="8" fillId="0" fontId="6" numFmtId="3" xfId="0" applyAlignment="1" applyBorder="1" applyFont="1" applyNumberFormat="1">
      <alignment shrinkToFit="0" wrapText="0"/>
    </xf>
    <xf borderId="8" fillId="0" fontId="6" numFmtId="4" xfId="0" applyAlignment="1" applyBorder="1" applyFont="1" applyNumberFormat="1">
      <alignment shrinkToFit="0" wrapText="0"/>
    </xf>
    <xf borderId="9" fillId="0" fontId="6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164" xfId="0" applyFont="1" applyNumberFormat="1"/>
    <xf borderId="0" fillId="0" fontId="6" numFmtId="165" xfId="0" applyFont="1" applyNumberFormat="1"/>
    <xf borderId="0" fillId="0" fontId="6" numFmtId="164" xfId="0" applyFont="1" applyNumberFormat="1"/>
    <xf borderId="0" fillId="0" fontId="6" numFmtId="3" xfId="0" applyFont="1" applyNumberFormat="1"/>
    <xf borderId="3" fillId="0" fontId="6" numFmtId="164" xfId="0" applyBorder="1" applyFont="1" applyNumberFormat="1"/>
    <xf borderId="3" fillId="0" fontId="6" numFmtId="165" xfId="0" applyBorder="1" applyFont="1" applyNumberFormat="1"/>
    <xf borderId="3" fillId="0" fontId="6" numFmtId="164" xfId="0" applyBorder="1" applyFont="1" applyNumberFormat="1"/>
    <xf borderId="3" fillId="0" fontId="6" numFmtId="3" xfId="0" applyBorder="1" applyFont="1" applyNumberFormat="1"/>
    <xf borderId="3" fillId="0" fontId="6" numFmtId="0" xfId="0" applyBorder="1" applyFont="1"/>
    <xf borderId="0" fillId="0" fontId="1" numFmtId="4" xfId="0" applyFont="1" applyNumberFormat="1"/>
    <xf borderId="8" fillId="0" fontId="6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165" xfId="0" applyFont="1" applyNumberFormat="1"/>
    <xf borderId="0" fillId="0" fontId="1" numFmtId="164" xfId="0" applyFont="1" applyNumberFormat="1"/>
    <xf borderId="0" fillId="0" fontId="1" numFmtId="3" xfId="0" applyFont="1" applyNumberFormat="1"/>
    <xf borderId="5" fillId="0" fontId="1" numFmtId="165" xfId="0" applyAlignment="1" applyBorder="1" applyFont="1" applyNumberFormat="1">
      <alignment shrinkToFit="0" wrapText="0"/>
    </xf>
    <xf borderId="8" fillId="0" fontId="6" numFmtId="167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8" fillId="0" fontId="6" numFmtId="0" xfId="0" applyAlignment="1" applyBorder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3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1" numFmtId="4" xfId="0" applyAlignment="1" applyFont="1" applyNumberFormat="1">
      <alignment shrinkToFit="0" wrapText="0"/>
    </xf>
    <xf borderId="0" fillId="0" fontId="1" numFmtId="0" xfId="0" applyFont="1"/>
    <xf borderId="0" fillId="0" fontId="3" numFmtId="16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3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168" xfId="0" applyAlignment="1" applyFont="1" applyNumberFormat="1">
      <alignment vertical="bottom"/>
    </xf>
    <xf borderId="0" fillId="0" fontId="3" numFmtId="169" xfId="0" applyAlignment="1" applyFont="1" applyNumberFormat="1">
      <alignment vertical="bottom"/>
    </xf>
    <xf borderId="0" fillId="2" fontId="8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5" fontId="3" numFmtId="168" xfId="0" applyAlignment="1" applyFont="1" applyNumberFormat="1">
      <alignment vertical="bottom"/>
    </xf>
    <xf borderId="0" fillId="6" fontId="8" numFmtId="0" xfId="0" applyAlignment="1" applyFill="1" applyFont="1">
      <alignment vertical="bottom"/>
    </xf>
    <xf borderId="0" fillId="6" fontId="3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5" fontId="9" numFmtId="164" xfId="0" applyAlignment="1" applyFont="1" applyNumberFormat="1">
      <alignment horizontal="right" vertical="bottom"/>
    </xf>
    <xf borderId="0" fillId="6" fontId="7" numFmtId="0" xfId="0" applyAlignment="1" applyFont="1">
      <alignment vertical="bottom"/>
    </xf>
    <xf borderId="0" fillId="6" fontId="9" numFmtId="164" xfId="0" applyAlignment="1" applyFont="1" applyNumberFormat="1">
      <alignment horizontal="right" vertical="bottom"/>
    </xf>
    <xf borderId="0" fillId="2" fontId="9" numFmtId="0" xfId="0" applyAlignment="1" applyFont="1">
      <alignment vertical="bottom"/>
    </xf>
    <xf borderId="0" fillId="2" fontId="9" numFmtId="16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5" fontId="3" numFmtId="164" xfId="0" applyAlignment="1" applyFont="1" applyNumberFormat="1">
      <alignment vertical="bottom"/>
    </xf>
    <xf borderId="0" fillId="5" fontId="9" numFmtId="2" xfId="0" applyAlignment="1" applyFont="1" applyNumberFormat="1">
      <alignment horizontal="right" vertical="bottom"/>
    </xf>
    <xf borderId="0" fillId="5" fontId="3" numFmtId="169" xfId="0" applyAlignment="1" applyFont="1" applyNumberFormat="1">
      <alignment vertical="bottom"/>
    </xf>
    <xf borderId="0" fillId="2" fontId="7" numFmtId="164" xfId="0" applyAlignment="1" applyFont="1" applyNumberFormat="1">
      <alignment horizontal="right" vertical="bottom"/>
    </xf>
    <xf borderId="0" fillId="7" fontId="7" numFmtId="0" xfId="0" applyAlignment="1" applyFill="1" applyFont="1">
      <alignment vertical="bottom"/>
    </xf>
    <xf borderId="0" fillId="7" fontId="9" numFmtId="164" xfId="0" applyAlignment="1" applyFont="1" applyNumberFormat="1">
      <alignment horizontal="right" vertical="bottom"/>
    </xf>
    <xf borderId="0" fillId="7" fontId="7" numFmtId="164" xfId="0" applyAlignment="1" applyFont="1" applyNumberFormat="1">
      <alignment horizontal="right" vertical="bottom"/>
    </xf>
    <xf borderId="0" fillId="3" fontId="3" numFmtId="164" xfId="0" applyAlignment="1" applyFont="1" applyNumberFormat="1">
      <alignment vertical="bottom"/>
    </xf>
    <xf borderId="0" fillId="3" fontId="3" numFmtId="170" xfId="0" applyAlignment="1" applyFont="1" applyNumberForma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0B5394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BF9000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</dxfs>
  <tableStyles count="10">
    <tableStyle count="3" pivot="0" name="Achats-style">
      <tableStyleElement dxfId="1" type="headerRow"/>
      <tableStyleElement dxfId="2" type="firstRowStripe"/>
      <tableStyleElement dxfId="3" type="secondRowStripe"/>
    </tableStyle>
    <tableStyle count="4" pivot="0" name="Stock-style">
      <tableStyleElement dxfId="11" type="headerRow"/>
      <tableStyleElement dxfId="2" type="firstRowStripe"/>
      <tableStyleElement dxfId="12" type="secondRowStripe"/>
      <tableStyleElement dxfId="13" size="0" type="wholeTable"/>
    </tableStyle>
    <tableStyle count="4" pivot="0" name="Ventes-style">
      <tableStyleElement dxfId="11" type="headerRow"/>
      <tableStyleElement dxfId="2" type="firstRowStripe"/>
      <tableStyleElement dxfId="12" type="secondRowStripe"/>
      <tableStyleElement dxfId="13" size="0" type="wholeTable"/>
    </tableStyle>
    <tableStyle count="4" pivot="0" name="StockOld-style">
      <tableStyleElement dxfId="11" type="headerRow"/>
      <tableStyleElement dxfId="14" type="firstRowStripe"/>
      <tableStyleElement dxfId="15" type="secondRowStripe"/>
      <tableStyleElement dxfId="13" size="0" type="wholeTable"/>
    </tableStyle>
    <tableStyle count="4" pivot="0" name="Ventes(old)-style">
      <tableStyleElement dxfId="1" type="headerRow"/>
      <tableStyleElement dxfId="2" type="firstRowStripe"/>
      <tableStyleElement dxfId="3" type="secondRowStripe"/>
      <tableStyleElement dxfId="16" type="totalRow"/>
    </tableStyle>
    <tableStyle count="4" pivot="0" name="Ventes(old)-style 2">
      <tableStyleElement dxfId="1" type="headerRow"/>
      <tableStyleElement dxfId="2" type="firstRowStripe"/>
      <tableStyleElement dxfId="3" type="secondRowStripe"/>
      <tableStyleElement dxfId="16" type="totalRow"/>
    </tableStyle>
    <tableStyle count="4" pivot="0" name="Ventes(old)-style 3">
      <tableStyleElement dxfId="1" type="headerRow"/>
      <tableStyleElement dxfId="2" type="firstRowStripe"/>
      <tableStyleElement dxfId="3" type="secondRowStripe"/>
      <tableStyleElement dxfId="16" type="totalRow"/>
    </tableStyle>
    <tableStyle count="4" pivot="0" name="Ventes(old)-style 4">
      <tableStyleElement dxfId="1" type="headerRow"/>
      <tableStyleElement dxfId="2" type="firstRowStripe"/>
      <tableStyleElement dxfId="3" type="secondRowStripe"/>
      <tableStyleElement dxfId="16" type="totalRow"/>
    </tableStyle>
    <tableStyle count="4" pivot="0" name="Ventes(old)-style 5">
      <tableStyleElement dxfId="1" type="headerRow"/>
      <tableStyleElement dxfId="2" type="firstRowStripe"/>
      <tableStyleElement dxfId="3" type="secondRowStripe"/>
      <tableStyleElement dxfId="16" type="totalRow"/>
    </tableStyle>
    <tableStyle count="2" pivot="0" name="Comptabilité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4" sheet="Achats"/>
  </cacheSource>
  <cacheFields>
    <cacheField name="ARTICLES" numFmtId="0">
      <sharedItems>
        <s v="JEANS"/>
        <s v="VÊTEMENTS"/>
        <s v="JACKET"/>
        <s v="POLAIRE"/>
        <s v="PULL"/>
      </sharedItems>
    </cacheField>
    <cacheField name="MARQUE" numFmtId="0">
      <sharedItems>
        <s v="LEVIS"/>
        <s v="PERSO"/>
        <s v="TYMAN"/>
        <s v="MIX"/>
        <s v="THE NORTH FACE"/>
        <s v="COLUMBIA"/>
        <s v="CARHARTT REWORK"/>
        <s v="TOMMY HILFIGER"/>
        <s v="LEVIS "/>
      </sharedItems>
    </cacheField>
    <cacheField name="GENRE" numFmtId="0">
      <sharedItems>
        <s v="♀️/ Kevin"/>
        <s v="♂️/ Benoît"/>
        <s v="♀️ / ♂️"/>
        <s v="♀️"/>
      </sharedItems>
    </cacheField>
    <cacheField name="GENRE(data)" numFmtId="0">
      <sharedItems>
        <s v="Femme/ Kevin"/>
        <s v="Homme/ Benoît"/>
        <s v="Homme/ Femme"/>
        <s v="Femme"/>
      </sharedItems>
    </cacheField>
    <cacheField name="DATE D'ACHAT" numFmtId="165">
      <sharedItems containsSemiMixedTypes="0" containsDate="1" containsString="0">
        <d v="2025-08-29T00:00:00Z"/>
        <d v="2020-02-29T00:00:00Z"/>
        <d v="2025-08-30T00:00:00Z"/>
        <d v="2025-09-10T00:00:00Z"/>
        <d v="2025-09-23T00:00:00Z"/>
        <d v="2025-09-25T00:00:00Z"/>
        <d v="2025-09-28T00:00:00Z"/>
        <d v="2025-10-04T00:00:00Z"/>
        <d v="2025-10-09T00:00:00Z"/>
        <d v="2025-10-11T00:00:00Z"/>
        <d v="2025-10-23T00:00:00Z"/>
      </sharedItems>
    </cacheField>
    <cacheField name="REFERENCE" numFmtId="0">
      <sharedItems>
        <s v="JLFK"/>
        <s v="VPHB"/>
        <s v="VTHF"/>
        <s v="JMHF"/>
        <s v="PTNFF"/>
        <s v="PCF"/>
        <s v="JLF"/>
        <s v="JCRF"/>
        <s v="PTHF"/>
      </sharedItems>
    </cacheField>
    <cacheField name="GRADE" numFmtId="0">
      <sharedItems>
        <s v="A"/>
        <s v="B"/>
      </sharedItems>
    </cacheField>
    <cacheField name="FOURNISSEUR/CODE" numFmtId="0">
      <sharedItems>
        <s v="SUPPLY GDD EXPORT/ 1"/>
        <s v="BENOIT STAMBACH"/>
        <s v="TYMAN "/>
        <s v="SUPPLY / 105"/>
        <s v="GDD EXPORT / 1"/>
        <s v="SUPPLY GDD EXPORT / 1"/>
        <s v="SUPPLY CODE 103"/>
        <s v="SUPPLY CODE 3 "/>
        <s v="SUPPLY GDD 1 "/>
      </sharedItems>
    </cacheField>
    <cacheField name="MOIS" numFmtId="0">
      <sharedItems>
        <s v="AOÛT"/>
        <s v="FÉVRIER"/>
        <s v="SEPTEMBRE"/>
        <s v="OCTOBRE"/>
      </sharedItems>
    </cacheField>
    <cacheField name="MOIS NUM" numFmtId="0">
      <sharedItems>
        <s v="08"/>
        <s v="02"/>
        <s v="09"/>
        <s v="10"/>
      </sharedItems>
    </cacheField>
    <cacheField name="DATE DE LIVRAISON " numFmtId="165">
      <sharedItems containsDate="1" containsString="0" containsBlank="1">
        <d v="2025-09-04T00:00:00Z"/>
        <d v="2020-03-01T00:00:00Z"/>
        <d v="2025-09-06T00:00:00Z"/>
        <d v="2025-09-22T00:00:00Z"/>
        <d v="2025-10-22T00:00:00Z"/>
        <d v="2025-10-07T00:00:00Z"/>
        <m/>
        <d v="2025-10-14T00:00:00Z"/>
        <d v="2025-10-17T00:00:00Z"/>
        <d v="2025-10-29T00:00:00Z"/>
      </sharedItems>
    </cacheField>
    <cacheField name="DELAI DE LIVRAISON">
      <sharedItems containsMixedTypes="1" containsNumber="1" containsInteger="1">
        <n v="6.0"/>
        <n v="1.0"/>
        <n v="7.0"/>
        <n v="12.0"/>
        <n v="29.0"/>
        <n v="9.0"/>
        <s v=""/>
        <n v="5.0"/>
      </sharedItems>
    </cacheField>
    <cacheField name="PRIX D'ACHAT SHIP INCLUS" numFmtId="164">
      <sharedItems containsSemiMixedTypes="0" containsString="0" containsNumber="1">
        <n v="408.0"/>
        <n v="0.0"/>
        <n v="120.04"/>
        <n v="238.0"/>
        <n v="184.0"/>
        <n v="65.0"/>
        <n v="436.0"/>
        <n v="464.0"/>
        <n v="525.0"/>
        <n v="200.0"/>
        <n v="654.0"/>
        <n v="634.0"/>
      </sharedItems>
    </cacheField>
    <cacheField name="QUANTITÉ COMMANDÉE" numFmtId="0">
      <sharedItems containsSemiMixedTypes="0" containsString="0" containsNumber="1" containsInteger="1">
        <n v="60.0"/>
        <n v="17.0"/>
        <n v="84.0"/>
        <n v="20.0"/>
        <n v="10.0"/>
        <n v="40.0"/>
        <n v="70.0"/>
        <n v="30.0"/>
        <n v="55.0"/>
        <n v="100.0"/>
      </sharedItems>
    </cacheField>
    <cacheField name="QUANTITÉ RECUE" numFmtId="0">
      <sharedItems containsString="0" containsBlank="1" containsNumber="1" containsInteger="1">
        <n v="62.0"/>
        <n v="17.0"/>
        <n v="84.0"/>
        <n v="60.0"/>
        <n v="20.0"/>
        <n v="10.0"/>
        <n v="64.0"/>
        <n v="41.0"/>
        <n v="73.0"/>
        <m/>
        <n v="56.0"/>
        <n v="100.0"/>
      </sharedItems>
    </cacheField>
    <cacheField name="PRIX UNITAIRE BRUTE">
      <sharedItems containsMixedTypes="1" containsNumber="1">
        <n v="6.580645161290323"/>
        <n v="0.0"/>
        <n v="1.4290476190476191"/>
        <n v="3.966666666666667"/>
        <n v="9.2"/>
        <n v="6.5"/>
        <n v="6.375"/>
        <n v="10.634146341463415"/>
        <n v="6.3561643835616435"/>
        <s v=""/>
        <n v="3.5714285714285716"/>
        <n v="6.54"/>
      </sharedItems>
    </cacheField>
    <cacheField name="FRAIS DE LAVAGE" numFmtId="164">
      <sharedItems containsString="0" containsBlank="1" containsNumber="1">
        <n v="30.5"/>
        <n v="0.0"/>
        <n v="47.0"/>
        <n v="15.33"/>
        <n v="7.66"/>
        <n v="45.45"/>
        <n v="30.05"/>
        <n v="52.78"/>
        <m/>
        <n v="26.0"/>
        <n v="55.0"/>
      </sharedItems>
    </cacheField>
    <cacheField name="TOTAL TTC" numFmtId="164">
      <sharedItems containsString="0" containsBlank="1" containsNumber="1">
        <n v="438.5"/>
        <n v="0.0"/>
        <n v="120.04"/>
        <n v="285.0"/>
        <n v="199.33"/>
        <n v="72.66"/>
        <n v="453.45"/>
        <n v="466.05"/>
        <n v="516.78"/>
        <n v="226.0"/>
        <n v="709.0"/>
        <m/>
      </sharedItems>
    </cacheField>
    <cacheField name="PRIX UNITAIRE TTC">
      <sharedItems containsMixedTypes="1" containsNumber="1">
        <n v="7.07258064516129"/>
        <n v="0.0"/>
        <n v="1.4290476190476191"/>
        <n v="4.75"/>
        <n v="9.9665"/>
        <n v="7.266"/>
        <n v="7.08515625"/>
        <n v="11.367073170731707"/>
        <n v="7.07917808219178"/>
        <s v=""/>
        <n v="4.035714285714286"/>
        <n v="7.0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chatsmoisarticles" cacheId="0" dataCaption="" compact="0" compactData="0">
  <location ref="A1:F11" firstHeaderRow="0" firstDataRow="4" firstDataCol="0"/>
  <pivotFields>
    <pivotField name="ARTICLES" axis="axisRow" compact="0" outline="0" multipleItemSelectionAllowed="1" showAll="0" sortType="ascending">
      <items>
        <item x="2"/>
        <item x="0"/>
        <item x="3"/>
        <item x="4"/>
        <item x="1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t="default"/>
      </items>
    </pivotField>
    <pivotField name="GENRE(data)" compact="0" outline="0" multipleItemSelectionAllowed="1" showAll="0">
      <items>
        <item x="0"/>
        <item x="1"/>
        <item x="2"/>
        <item x="3"/>
        <item t="default"/>
      </items>
    </pivotField>
    <pivotField name="DATE D'ACH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RADE" compact="0" outline="0" multipleItemSelectionAllowed="1" showAll="0">
      <items>
        <item x="0"/>
        <item x="1"/>
        <item t="default"/>
      </items>
    </pivotField>
    <pivotField name="FOURNISSEUR/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IS" axis="axisRow" compact="0" outline="0" multipleItemSelectionAllowed="1" showAll="0" sortType="ascending" defaultSubtotal="0">
      <items>
        <item x="0"/>
        <item x="1"/>
        <item x="3"/>
        <item x="2"/>
      </items>
    </pivotField>
    <pivotField name="MOIS NUM" axis="axisRow" compact="0" outline="0" multipleItemSelectionAllowed="1" showAll="0" sortType="ascending" defaultSubtotal="0">
      <items>
        <item x="1"/>
        <item x="0"/>
        <item x="2"/>
        <item x="3"/>
      </items>
    </pivotField>
    <pivotField name="DATE DE LIVRAISON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LAI DE LIVRAI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X D'ACHAT SHIP INCLU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NTITÉ COMMANDÉ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É REC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IX UNITAIRE BR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RAIS DE LAV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TTC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IX UNITAIRE T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9"/>
    <field x="8"/>
    <field x="0"/>
  </rowFields>
  <colFields>
    <field x="-2"/>
  </colFields>
  <dataFields>
    <dataField name="SUM of PRIX D'ACHAT SHIP INCLUS" fld="12" baseField="0"/>
    <dataField name="SUM of FRAIS DE LAVAGE" fld="16" baseField="0"/>
    <dataField name="SUM of TOTAL TTC" fld="17" baseField="0"/>
  </dataFields>
</pivotTableDefinition>
</file>

<file path=xl/tables/table1.xml><?xml version="1.0" encoding="utf-8"?>
<table xmlns="http://schemas.openxmlformats.org/spreadsheetml/2006/main" headerRowCount="0" ref="A1:AG18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ch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N589" displayName="Tableau1" name="Tableau1" id="2">
  <tableColumns count="14">
    <tableColumn name="ARTICLES" id="1"/>
    <tableColumn name="SKU(ancienne nomenclature)" id="2"/>
    <tableColumn name="SKU" id="3"/>
    <tableColumn name="DATE DE LIVRAISON" id="4"/>
    <tableColumn name="DATE DE MISE EN STOCK" id="5"/>
    <tableColumn name="MIS EN LIGNE" id="6"/>
    <tableColumn name="DATE DE MISE EN LIGNE" id="7"/>
    <tableColumn name="PUBLIÉ" id="8"/>
    <tableColumn name="DATE DE PUBLICATION" id="9"/>
    <tableColumn name="VENDU(par rétroaction)" id="10"/>
    <tableColumn name="VENDU" id="11"/>
    <tableColumn name="DATE DE VENTE" id="12"/>
    <tableColumn name="PRIX DE VENTE" id="13"/>
    <tableColumn name="VALIDER LA SAISIE" id="14"/>
  </tableColumns>
  <tableStyleInfo name="Stock-style" showColumnStripes="0" showFirstColumn="1" showLastColumn="1" showRowStripes="1"/>
</table>
</file>

<file path=xl/tables/table3.xml><?xml version="1.0" encoding="utf-8"?>
<table xmlns="http://schemas.openxmlformats.org/spreadsheetml/2006/main" ref="A1:J19" displayName="Tableau2" name="Tableau2" id="3">
  <tableColumns count="10">
    <tableColumn name="DATE DE VENTE" id="1"/>
    <tableColumn name="ARTICLE" id="2"/>
    <tableColumn name="SKU" id="3"/>
    <tableColumn name="PRIX VENTE" id="4"/>
    <tableColumn name="DÉLAI D'IMMOBILISATION" id="5"/>
    <tableColumn name="DELAI DE MISE EN LIGNE" id="6"/>
    <tableColumn name="DELAI DE PUBLICATION" id="7"/>
    <tableColumn name="DELAI DE VENTE " id="8"/>
    <tableColumn name="LIVRÉ" id="9"/>
    <tableColumn name="RETOUR" id="10"/>
  </tableColumns>
  <tableStyleInfo name="Ventes-style" showColumnStripes="0" showFirstColumn="1" showLastColumn="1" showRowStripes="1"/>
</table>
</file>

<file path=xl/tables/table4.xml><?xml version="1.0" encoding="utf-8"?>
<table xmlns="http://schemas.openxmlformats.org/spreadsheetml/2006/main" ref="A1:N370" displayName="Stock_disponible" name="Stock_disponible" id="4">
  <tableColumns count="14">
    <tableColumn name="ARTICLES(1)" id="1"/>
    <tableColumn name="MARQUE" id="2"/>
    <tableColumn name="GENRE" id="3"/>
    <tableColumn name="DATE ACHAT" id="4"/>
    <tableColumn name="ARTICLE(0)" id="5"/>
    <tableColumn name="SKU" id="6"/>
    <tableColumn name="PRIX ACHAT " id="7"/>
    <tableColumn name="DATE DE MISE EN LIGNE ESTIMÉE " id="8"/>
    <tableColumn name="VENDU" id="9"/>
    <tableColumn name="DATE DE VENTE" id="10"/>
    <tableColumn name="PRIX VENTE " id="11"/>
    <tableColumn name="DÉLAI DE VENTE (EN JOURS)" id="12"/>
    <tableColumn name="MARGE BRUTE" id="13"/>
    <tableColumn name="COEFF MARGE" id="14"/>
  </tableColumns>
  <tableStyleInfo name="StockOld-style" showColumnStripes="0" showFirstColumn="1" showLastColumn="1" showRowStripes="1"/>
</table>
</file>

<file path=xl/tables/table5.xml><?xml version="1.0" encoding="utf-8"?>
<table xmlns="http://schemas.openxmlformats.org/spreadsheetml/2006/main" totalsRowCount="1" headerRowCount="0" ref="A2:K13" displayName="Table_2" name="Table_2" id="5">
  <tableColumns count="11">
    <tableColumn totalsRowFunction="custom" name="Column1" id="1"/>
    <tableColumn name="Column2" id="2"/>
    <tableColumn name="Column3" id="3"/>
    <tableColumn name="Column4" id="4"/>
    <tableColumn name="Column5" id="5"/>
    <tableColumn totalsRowFunction="custom" name="Column6" id="6"/>
    <tableColumn totalsRowFunction="custom" name="Column7" id="7"/>
    <tableColumn name="Column8" id="8"/>
    <tableColumn totalsRowFunction="custom" name="Column9" id="9"/>
    <tableColumn totalsRowFunction="custom" name="Column10" id="10"/>
    <tableColumn totalsRowFunction="custom" name="Column11" id="11"/>
  </tableColumns>
  <tableStyleInfo name="Ventes(old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totalsRowCount="1" headerRowCount="0" ref="A15:K31" displayName="Table_3" name="Table_3" id="6">
  <tableColumns count="11">
    <tableColumn totalsRowFunction="custom" name="Column1" id="1"/>
    <tableColumn name="Column2" id="2"/>
    <tableColumn name="Column3" id="3"/>
    <tableColumn name="Column4" id="4"/>
    <tableColumn name="Column5" id="5"/>
    <tableColumn totalsRowFunction="custom" name="Column6" id="6"/>
    <tableColumn totalsRowFunction="custom" name="Column7" id="7"/>
    <tableColumn name="Column8" id="8"/>
    <tableColumn totalsRowFunction="custom" name="Column9" id="9"/>
    <tableColumn totalsRowFunction="custom" name="Column10" id="10"/>
    <tableColumn totalsRowFunction="custom" name="Column11" id="11"/>
  </tableColumns>
  <tableStyleInfo name="Ventes(old)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totalsRowCount="1" headerRowCount="0" ref="A33:K81" displayName="Table_4" name="Table_4" id="7">
  <tableColumns count="11">
    <tableColumn totalsRowFunction="custom" name="Column1" id="1"/>
    <tableColumn name="Column2" id="2"/>
    <tableColumn name="Column3" id="3"/>
    <tableColumn name="Column4" id="4"/>
    <tableColumn name="Column5" id="5"/>
    <tableColumn totalsRowFunction="custom" name="Column6" id="6"/>
    <tableColumn totalsRowFunction="custom" name="Column7" id="7"/>
    <tableColumn name="Column8" id="8"/>
    <tableColumn totalsRowFunction="custom" name="Column9" id="9"/>
    <tableColumn totalsRowFunction="custom" name="Column10" id="10"/>
    <tableColumn totalsRowFunction="custom" name="Column11" id="11"/>
  </tableColumns>
  <tableStyleInfo name="Ventes(old)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totalsRowCount="1" headerRowCount="0" ref="A83:K132" displayName="Table_5" name="Table_5" id="8">
  <tableColumns count="11">
    <tableColumn totalsRowFunction="custom" name="Column1" id="1"/>
    <tableColumn name="Column2" id="2"/>
    <tableColumn name="Column3" id="3"/>
    <tableColumn name="Column4" id="4"/>
    <tableColumn name="Column5" id="5"/>
    <tableColumn totalsRowFunction="custom" name="Column6" id="6"/>
    <tableColumn totalsRowFunction="custom" name="Column7" id="7"/>
    <tableColumn name="Column8" id="8"/>
    <tableColumn totalsRowFunction="custom" name="Column9" id="9"/>
    <tableColumn totalsRowFunction="custom" name="Column10" id="10"/>
    <tableColumn totalsRowFunction="custom" name="Column11" id="11"/>
  </tableColumns>
  <tableStyleInfo name="Ventes(old)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totalsRowCount="1" headerRowCount="0" ref="A134:K160" displayName="Table_6" name="Table_6" id="9">
  <tableColumns count="11">
    <tableColumn totalsRowFunction="custom" name="Column1" id="1"/>
    <tableColumn name="Column2" id="2"/>
    <tableColumn name="Column3" id="3"/>
    <tableColumn name="Column4" id="4"/>
    <tableColumn name="Column5" id="5"/>
    <tableColumn totalsRowFunction="custom" name="Column6" id="6"/>
    <tableColumn totalsRowFunction="custom" name="Column7" id="7"/>
    <tableColumn name="Column8" id="8"/>
    <tableColumn totalsRowFunction="custom" name="Column9" id="9"/>
    <tableColumn totalsRowFunction="custom" name="Column10" id="10"/>
    <tableColumn totalsRowFunction="custom" name="Column11" id="11"/>
  </tableColumns>
  <tableStyleInfo name="Ventes(old)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G24:G45" displayName="Table_7" name="Table_7" id="10">
  <tableColumns count="1">
    <tableColumn name="Column1" id="1"/>
  </tableColumns>
  <tableStyleInfo name="Comptabilit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13"/>
    <col customWidth="1" min="2" max="2" width="18.0"/>
    <col customWidth="1" min="3" max="3" width="8.25"/>
    <col customWidth="1" hidden="1" min="4" max="4" width="13.38"/>
    <col customWidth="1" min="5" max="5" width="10.25"/>
    <col customWidth="1" min="6" max="6" width="11.25"/>
    <col customWidth="1" min="7" max="7" width="6.88"/>
    <col customWidth="1" min="8" max="8" width="21.25"/>
    <col customWidth="1" hidden="1" min="9" max="10" width="11.25"/>
    <col customWidth="1" min="11" max="11" width="9.88"/>
    <col customWidth="1" min="12" max="12" width="11.13"/>
    <col customWidth="1" min="13" max="13" width="11.75"/>
    <col customWidth="1" min="14" max="14" width="12.0"/>
    <col customWidth="1" min="15" max="15" width="9.75"/>
    <col customWidth="1" min="16" max="17" width="8.63"/>
    <col customWidth="1" min="18" max="18" width="7.5"/>
    <col customWidth="1" min="19" max="19" width="8.63"/>
    <col customWidth="1" min="20" max="20" width="6.5"/>
    <col customWidth="1" min="21" max="21" width="10.75"/>
    <col customWidth="1" min="22" max="22" width="9.38"/>
  </cols>
  <sheetData>
    <row r="1">
      <c r="A1" s="1" t="s">
        <v>0</v>
      </c>
      <c r="B1" s="1" t="s">
        <v>1</v>
      </c>
      <c r="C1" s="2" t="s">
        <v>2</v>
      </c>
      <c r="D1" s="3" t="str">
        <f>IFERROR(__xludf.DUMMYFUNCTION("{""GENRE(data)"";
  MAP(C2:C18,
    LAMBDA(c,
      IF(c="""",
        """",
        IF(REGEXMATCH(c,""♀️ */ *♂️""),""Homme/ Femme"",
        IF(REGEXMATCH(c,""♀️ */ *Kevin""),""Femme/ Kevin"",
        IF(REGEXMATCH(c,""♂️ */ *Beno[îi]t""),""Homme/ Benoît"&amp;""",
        IF(REGEXMATCH(c,""♀️""),""Femme"",
        IF(REGEXMATCH(c,""♂️""),""Homme"","""")))))
      )
    )
  )
}
"),"GENRE(data)")</f>
        <v>GENRE(data)</v>
      </c>
      <c r="E1" s="4" t="s">
        <v>3</v>
      </c>
      <c r="F1" s="5" t="str">
        <f>IFERROR(__xludf.DUMMYFUNCTION("{""REFERENCE"";
 MAP(A2:A18,B2:B18,D2:D18,
  LAMBDA(a,b,c,
   IF(a="""","""", 
     TEXTJOIN("""",1,
       SUBSTITUTE(REGEXREPLACE("" ""&amp;UPPER(TRIM(a)),""(^| )([A-ZÀ-ÖØ-öø-ÿ])[^ ]*"",""$2""),"" "",""""),
       SUBSTITUTE(REGEXREPLACE("" ""&amp;UPPER(TRIM(b)"&amp;"),""(^| )([A-ZÀ-ÖØ-öø-ÿ])[^ ]*"",""$2""),"" "",""""),
       SUBSTITUTE(REGEXREPLACE("" ""&amp;UPPER(TRIM(c)),""(^| )([A-ZÀ-ÖØ-öø-ÿ])[^ ]*"",""$2""),"" "","""")
     ) &amp; IFERROR(TEXT(d,""MMYY""),"""")
   )
  )
)}
"),"REFERENCE")</f>
        <v>REFERENCE</v>
      </c>
      <c r="G1" s="5" t="s">
        <v>4</v>
      </c>
      <c r="H1" s="6" t="s">
        <v>5</v>
      </c>
      <c r="I1" s="5" t="str">
        <f t="array" ref="I1:I18">{"MOIS";
IF(E2:E18="","", 
  UPPER(TEXT(E2:E18,"mmmm"))
 )}
</f>
        <v>MOIS</v>
      </c>
      <c r="J1" s="5" t="str">
        <f t="array" ref="J1:J18">{"MOIS NUM";
IF(E2:E18="",
 "",
 TEXT(MONTH(E2:E18),"00"))}
</f>
        <v>MOIS NUM</v>
      </c>
      <c r="K1" s="4" t="s">
        <v>6</v>
      </c>
      <c r="L1" s="6" t="str">
        <f t="array" ref="L1:L18">{"DELAI DE LIVRAISON";IF(K2:K18="","",K2:K18-E2:E18)}</f>
        <v>DELAI DE LIVRAISON</v>
      </c>
      <c r="M1" s="6" t="s">
        <v>7</v>
      </c>
      <c r="N1" s="5" t="s">
        <v>8</v>
      </c>
      <c r="O1" s="5" t="s">
        <v>9</v>
      </c>
      <c r="P1" s="5" t="str">
        <f t="array" ref="P1:P18">{"PRIX UNITAIRE BRUTE";IF(O2:O18="","",M2:M18/O2:O18)}</f>
        <v>PRIX UNITAIRE BRUTE</v>
      </c>
      <c r="Q1" s="6" t="s">
        <v>10</v>
      </c>
      <c r="R1" s="6" t="s">
        <v>11</v>
      </c>
      <c r="S1" s="1" t="str">
        <f t="array" ref="S1:S18">{"PRIX UNITAIRE TTC";IF(O2:O18="","",R2:R18/O2:O18)}</f>
        <v>PRIX UNITAIRE TTC</v>
      </c>
      <c r="T1" s="6" t="s">
        <v>12</v>
      </c>
      <c r="U1" s="7" t="s">
        <v>13</v>
      </c>
      <c r="V1" s="7" t="s">
        <v>14</v>
      </c>
      <c r="W1" s="8"/>
      <c r="X1" s="8"/>
      <c r="Y1" s="8"/>
      <c r="Z1" s="8"/>
      <c r="AA1" s="8"/>
      <c r="AB1" s="8"/>
      <c r="AC1" s="8"/>
      <c r="AD1" s="8"/>
      <c r="AE1" s="9"/>
      <c r="AF1" s="9"/>
      <c r="AG1" s="9"/>
    </row>
    <row r="2">
      <c r="A2" s="10" t="s">
        <v>15</v>
      </c>
      <c r="B2" s="10" t="s">
        <v>16</v>
      </c>
      <c r="C2" s="11" t="s">
        <v>17</v>
      </c>
      <c r="D2" s="10" t="str">
        <f>IFERROR(__xludf.DUMMYFUNCTION("""COMPUTED_VALUE"""),"Femme/ Kevin")</f>
        <v>Femme/ Kevin</v>
      </c>
      <c r="E2" s="12">
        <v>45898.0</v>
      </c>
      <c r="F2" s="10" t="str">
        <f>IFERROR(__xludf.DUMMYFUNCTION("""COMPUTED_VALUE"""),"JLFK")</f>
        <v>JLFK</v>
      </c>
      <c r="G2" s="13" t="s">
        <v>18</v>
      </c>
      <c r="H2" s="14" t="s">
        <v>19</v>
      </c>
      <c r="I2" s="10" t="s">
        <v>20</v>
      </c>
      <c r="J2" s="10" t="s">
        <v>21</v>
      </c>
      <c r="K2" s="12">
        <v>45904.0</v>
      </c>
      <c r="L2" s="15">
        <v>6.0</v>
      </c>
      <c r="M2" s="16">
        <v>408.0</v>
      </c>
      <c r="N2" s="15">
        <v>60.0</v>
      </c>
      <c r="O2" s="15">
        <v>62.0</v>
      </c>
      <c r="P2" s="17">
        <v>6.580645161290323</v>
      </c>
      <c r="Q2" s="16">
        <v>30.5</v>
      </c>
      <c r="R2" s="16">
        <f>SUM(P2*O2+Q2)</f>
        <v>438.5</v>
      </c>
      <c r="S2" s="16">
        <v>7.07258064516129</v>
      </c>
      <c r="T2" s="18"/>
      <c r="U2" s="19" t="b">
        <v>1</v>
      </c>
      <c r="V2" s="20">
        <v>45904.0</v>
      </c>
      <c r="W2" s="21"/>
      <c r="X2" s="20">
        <v>45904.0</v>
      </c>
      <c r="Y2" s="21"/>
      <c r="Z2" s="21"/>
      <c r="AA2" s="21"/>
      <c r="AB2" s="21"/>
      <c r="AC2" s="21"/>
      <c r="AD2" s="21"/>
      <c r="AE2" s="18"/>
      <c r="AF2" s="18"/>
      <c r="AG2" s="18"/>
    </row>
    <row r="3">
      <c r="A3" s="10" t="s">
        <v>22</v>
      </c>
      <c r="B3" s="10" t="s">
        <v>23</v>
      </c>
      <c r="C3" s="11" t="s">
        <v>24</v>
      </c>
      <c r="D3" s="10" t="str">
        <f>IFERROR(__xludf.DUMMYFUNCTION("""COMPUTED_VALUE"""),"Homme/ Benoît")</f>
        <v>Homme/ Benoît</v>
      </c>
      <c r="E3" s="22">
        <v>43890.0</v>
      </c>
      <c r="F3" s="23" t="str">
        <f>IFERROR(__xludf.DUMMYFUNCTION("""COMPUTED_VALUE"""),"VPHB")</f>
        <v>VPHB</v>
      </c>
      <c r="G3" s="13" t="s">
        <v>18</v>
      </c>
      <c r="H3" s="10" t="s">
        <v>25</v>
      </c>
      <c r="I3" s="23" t="s">
        <v>26</v>
      </c>
      <c r="J3" s="23" t="s">
        <v>27</v>
      </c>
      <c r="K3" s="22">
        <v>43891.0</v>
      </c>
      <c r="L3" s="15">
        <v>1.0</v>
      </c>
      <c r="M3" s="24">
        <v>0.0</v>
      </c>
      <c r="N3" s="25">
        <v>17.0</v>
      </c>
      <c r="O3" s="25">
        <v>17.0</v>
      </c>
      <c r="P3" s="17">
        <v>0.0</v>
      </c>
      <c r="Q3" s="24">
        <v>0.0</v>
      </c>
      <c r="R3" s="24">
        <v>0.0</v>
      </c>
      <c r="S3" s="16">
        <v>0.0</v>
      </c>
      <c r="T3" s="18"/>
      <c r="U3" s="26" t="b">
        <v>1</v>
      </c>
      <c r="V3" s="27">
        <v>45901.0</v>
      </c>
      <c r="W3" s="21"/>
      <c r="X3" s="27">
        <v>45901.0</v>
      </c>
      <c r="Y3" s="21"/>
      <c r="Z3" s="21"/>
      <c r="AA3" s="21"/>
      <c r="AB3" s="21"/>
      <c r="AC3" s="21"/>
      <c r="AD3" s="21"/>
      <c r="AE3" s="18"/>
      <c r="AF3" s="18"/>
      <c r="AG3" s="18"/>
    </row>
    <row r="4">
      <c r="A4" s="10" t="s">
        <v>22</v>
      </c>
      <c r="B4" s="10" t="s">
        <v>28</v>
      </c>
      <c r="C4" s="11" t="s">
        <v>29</v>
      </c>
      <c r="D4" s="10" t="str">
        <f>IFERROR(__xludf.DUMMYFUNCTION("""COMPUTED_VALUE"""),"Homme/ Femme")</f>
        <v>Homme/ Femme</v>
      </c>
      <c r="E4" s="12">
        <v>45899.0</v>
      </c>
      <c r="F4" s="23" t="str">
        <f>IFERROR(__xludf.DUMMYFUNCTION("""COMPUTED_VALUE"""),"VTHF")</f>
        <v>VTHF</v>
      </c>
      <c r="G4" s="13" t="s">
        <v>18</v>
      </c>
      <c r="H4" s="14" t="s">
        <v>30</v>
      </c>
      <c r="I4" s="23" t="s">
        <v>20</v>
      </c>
      <c r="J4" s="23" t="s">
        <v>21</v>
      </c>
      <c r="K4" s="12">
        <v>45906.0</v>
      </c>
      <c r="L4" s="15">
        <v>7.0</v>
      </c>
      <c r="M4" s="16">
        <v>120.04</v>
      </c>
      <c r="N4" s="15">
        <v>84.0</v>
      </c>
      <c r="O4" s="15">
        <v>84.0</v>
      </c>
      <c r="P4" s="17">
        <v>1.4290476190476191</v>
      </c>
      <c r="Q4" s="16">
        <v>0.0</v>
      </c>
      <c r="R4" s="16">
        <f t="shared" ref="R4:R13" si="1">SUM(P4*O4+Q4)</f>
        <v>120.04</v>
      </c>
      <c r="S4" s="16">
        <v>1.4290476190476191</v>
      </c>
      <c r="T4" s="18"/>
      <c r="U4" s="26" t="b">
        <v>1</v>
      </c>
      <c r="V4" s="28">
        <v>45907.0</v>
      </c>
      <c r="W4" s="21"/>
      <c r="X4" s="28">
        <v>45901.0</v>
      </c>
      <c r="Y4" s="21"/>
      <c r="Z4" s="21"/>
      <c r="AA4" s="21"/>
      <c r="AB4" s="21"/>
      <c r="AC4" s="21"/>
      <c r="AD4" s="21"/>
      <c r="AE4" s="18"/>
      <c r="AF4" s="18"/>
      <c r="AG4" s="18"/>
    </row>
    <row r="5">
      <c r="A5" s="10" t="s">
        <v>31</v>
      </c>
      <c r="B5" s="10" t="s">
        <v>32</v>
      </c>
      <c r="C5" s="11" t="s">
        <v>29</v>
      </c>
      <c r="D5" s="10" t="str">
        <f>IFERROR(__xludf.DUMMYFUNCTION("""COMPUTED_VALUE"""),"Homme/ Femme")</f>
        <v>Homme/ Femme</v>
      </c>
      <c r="E5" s="12">
        <v>45910.0</v>
      </c>
      <c r="F5" s="10" t="str">
        <f>IFERROR(__xludf.DUMMYFUNCTION("""COMPUTED_VALUE"""),"JMHF")</f>
        <v>JMHF</v>
      </c>
      <c r="G5" s="13" t="s">
        <v>33</v>
      </c>
      <c r="H5" s="14" t="s">
        <v>19</v>
      </c>
      <c r="I5" s="10" t="s">
        <v>34</v>
      </c>
      <c r="J5" s="10" t="s">
        <v>35</v>
      </c>
      <c r="K5" s="12">
        <v>45922.0</v>
      </c>
      <c r="L5" s="15">
        <v>12.0</v>
      </c>
      <c r="M5" s="16">
        <v>238.0</v>
      </c>
      <c r="N5" s="15">
        <v>60.0</v>
      </c>
      <c r="O5" s="15">
        <v>60.0</v>
      </c>
      <c r="P5" s="17">
        <v>3.966666666666667</v>
      </c>
      <c r="Q5" s="16">
        <v>47.0</v>
      </c>
      <c r="R5" s="16">
        <f t="shared" si="1"/>
        <v>285</v>
      </c>
      <c r="S5" s="16">
        <v>4.75</v>
      </c>
      <c r="T5" s="18"/>
      <c r="U5" s="19" t="b">
        <v>1</v>
      </c>
      <c r="V5" s="27">
        <v>45922.0</v>
      </c>
      <c r="W5" s="21"/>
      <c r="X5" s="27">
        <v>45922.0</v>
      </c>
      <c r="Y5" s="21"/>
      <c r="Z5" s="21"/>
      <c r="AA5" s="21"/>
      <c r="AB5" s="21"/>
      <c r="AC5" s="21"/>
      <c r="AD5" s="21"/>
      <c r="AE5" s="18"/>
      <c r="AF5" s="18"/>
      <c r="AG5" s="18"/>
    </row>
    <row r="6">
      <c r="A6" s="10" t="s">
        <v>36</v>
      </c>
      <c r="B6" s="10" t="s">
        <v>37</v>
      </c>
      <c r="C6" s="11" t="s">
        <v>38</v>
      </c>
      <c r="D6" s="10" t="str">
        <f>IFERROR(__xludf.DUMMYFUNCTION("""COMPUTED_VALUE"""),"Femme")</f>
        <v>Femme</v>
      </c>
      <c r="E6" s="12">
        <v>45923.0</v>
      </c>
      <c r="F6" s="10" t="str">
        <f>IFERROR(__xludf.DUMMYFUNCTION("""COMPUTED_VALUE"""),"PTNFF")</f>
        <v>PTNFF</v>
      </c>
      <c r="G6" s="13" t="s">
        <v>18</v>
      </c>
      <c r="H6" s="14" t="s">
        <v>39</v>
      </c>
      <c r="I6" s="10" t="s">
        <v>34</v>
      </c>
      <c r="J6" s="10" t="s">
        <v>35</v>
      </c>
      <c r="K6" s="12">
        <v>45952.0</v>
      </c>
      <c r="L6" s="15">
        <v>29.0</v>
      </c>
      <c r="M6" s="16">
        <v>184.0</v>
      </c>
      <c r="N6" s="15">
        <v>20.0</v>
      </c>
      <c r="O6" s="15">
        <v>20.0</v>
      </c>
      <c r="P6" s="17">
        <v>9.2</v>
      </c>
      <c r="Q6" s="16">
        <v>15.33</v>
      </c>
      <c r="R6" s="16">
        <f t="shared" si="1"/>
        <v>199.33</v>
      </c>
      <c r="S6" s="16">
        <v>9.9665</v>
      </c>
      <c r="T6" s="14" t="s">
        <v>40</v>
      </c>
      <c r="U6" s="19" t="b">
        <v>1</v>
      </c>
      <c r="V6" s="27">
        <v>45953.0</v>
      </c>
      <c r="W6" s="21"/>
      <c r="X6" s="27">
        <v>45953.0</v>
      </c>
      <c r="Y6" s="21"/>
      <c r="Z6" s="21"/>
      <c r="AA6" s="21"/>
      <c r="AB6" s="21"/>
      <c r="AC6" s="21"/>
      <c r="AD6" s="21"/>
      <c r="AE6" s="18"/>
      <c r="AF6" s="18"/>
      <c r="AG6" s="18"/>
    </row>
    <row r="7">
      <c r="A7" s="10" t="s">
        <v>36</v>
      </c>
      <c r="B7" s="10" t="s">
        <v>41</v>
      </c>
      <c r="C7" s="11" t="s">
        <v>38</v>
      </c>
      <c r="D7" s="10" t="str">
        <f>IFERROR(__xludf.DUMMYFUNCTION("""COMPUTED_VALUE"""),"Femme")</f>
        <v>Femme</v>
      </c>
      <c r="E7" s="12">
        <v>45923.0</v>
      </c>
      <c r="F7" s="10" t="str">
        <f>IFERROR(__xludf.DUMMYFUNCTION("""COMPUTED_VALUE"""),"PCF")</f>
        <v>PCF</v>
      </c>
      <c r="G7" s="13" t="s">
        <v>18</v>
      </c>
      <c r="H7" s="14" t="s">
        <v>39</v>
      </c>
      <c r="I7" s="10" t="s">
        <v>34</v>
      </c>
      <c r="J7" s="10" t="s">
        <v>35</v>
      </c>
      <c r="K7" s="12">
        <v>45952.0</v>
      </c>
      <c r="L7" s="15">
        <v>29.0</v>
      </c>
      <c r="M7" s="16">
        <v>65.0</v>
      </c>
      <c r="N7" s="15">
        <v>10.0</v>
      </c>
      <c r="O7" s="15">
        <v>10.0</v>
      </c>
      <c r="P7" s="17">
        <v>6.5</v>
      </c>
      <c r="Q7" s="16">
        <v>7.66</v>
      </c>
      <c r="R7" s="16">
        <f t="shared" si="1"/>
        <v>72.66</v>
      </c>
      <c r="S7" s="16">
        <v>7.266</v>
      </c>
      <c r="T7" s="14" t="s">
        <v>40</v>
      </c>
      <c r="U7" s="19" t="b">
        <v>1</v>
      </c>
      <c r="V7" s="27">
        <v>45953.0</v>
      </c>
      <c r="W7" s="21"/>
      <c r="X7" s="27">
        <v>45953.0</v>
      </c>
      <c r="Y7" s="21"/>
      <c r="Z7" s="21"/>
      <c r="AA7" s="21"/>
      <c r="AB7" s="21"/>
      <c r="AC7" s="21"/>
      <c r="AD7" s="21"/>
      <c r="AE7" s="18"/>
      <c r="AF7" s="18"/>
      <c r="AG7" s="18"/>
    </row>
    <row r="8">
      <c r="A8" s="10" t="s">
        <v>15</v>
      </c>
      <c r="B8" s="10" t="s">
        <v>16</v>
      </c>
      <c r="C8" s="11" t="s">
        <v>38</v>
      </c>
      <c r="D8" s="10" t="str">
        <f>IFERROR(__xludf.DUMMYFUNCTION("""COMPUTED_VALUE"""),"Femme")</f>
        <v>Femme</v>
      </c>
      <c r="E8" s="12">
        <v>45925.0</v>
      </c>
      <c r="F8" s="10" t="str">
        <f>IFERROR(__xludf.DUMMYFUNCTION("""COMPUTED_VALUE"""),"JLF")</f>
        <v>JLF</v>
      </c>
      <c r="G8" s="13" t="s">
        <v>18</v>
      </c>
      <c r="H8" s="14" t="s">
        <v>42</v>
      </c>
      <c r="I8" s="10" t="s">
        <v>34</v>
      </c>
      <c r="J8" s="10" t="s">
        <v>35</v>
      </c>
      <c r="K8" s="12">
        <v>45937.0</v>
      </c>
      <c r="L8" s="15">
        <v>12.0</v>
      </c>
      <c r="M8" s="16">
        <v>408.0</v>
      </c>
      <c r="N8" s="15">
        <v>60.0</v>
      </c>
      <c r="O8" s="15">
        <v>64.0</v>
      </c>
      <c r="P8" s="17">
        <v>6.375</v>
      </c>
      <c r="Q8" s="16">
        <v>45.45</v>
      </c>
      <c r="R8" s="16">
        <f t="shared" si="1"/>
        <v>453.45</v>
      </c>
      <c r="S8" s="16">
        <v>7.08515625</v>
      </c>
      <c r="T8" s="18"/>
      <c r="U8" s="19" t="b">
        <v>1</v>
      </c>
      <c r="V8" s="27">
        <v>45942.0</v>
      </c>
      <c r="W8" s="21"/>
      <c r="X8" s="27">
        <v>45942.0</v>
      </c>
      <c r="Y8" s="21"/>
      <c r="Z8" s="21"/>
      <c r="AA8" s="21"/>
      <c r="AB8" s="21"/>
      <c r="AC8" s="21"/>
      <c r="AD8" s="21"/>
      <c r="AE8" s="18"/>
      <c r="AF8" s="18"/>
      <c r="AG8" s="18"/>
    </row>
    <row r="9">
      <c r="A9" s="10" t="s">
        <v>36</v>
      </c>
      <c r="B9" s="10" t="s">
        <v>37</v>
      </c>
      <c r="C9" s="11" t="s">
        <v>38</v>
      </c>
      <c r="D9" s="10" t="str">
        <f>IFERROR(__xludf.DUMMYFUNCTION("""COMPUTED_VALUE"""),"Femme")</f>
        <v>Femme</v>
      </c>
      <c r="E9" s="12">
        <v>45925.0</v>
      </c>
      <c r="F9" s="10" t="str">
        <f>IFERROR(__xludf.DUMMYFUNCTION("""COMPUTED_VALUE"""),"PTNFF")</f>
        <v>PTNFF</v>
      </c>
      <c r="G9" s="13" t="s">
        <v>18</v>
      </c>
      <c r="H9" s="14" t="s">
        <v>42</v>
      </c>
      <c r="I9" s="10" t="s">
        <v>34</v>
      </c>
      <c r="J9" s="10" t="s">
        <v>35</v>
      </c>
      <c r="K9" s="12">
        <v>45937.0</v>
      </c>
      <c r="L9" s="15">
        <v>12.0</v>
      </c>
      <c r="M9" s="16">
        <v>436.0</v>
      </c>
      <c r="N9" s="15">
        <v>40.0</v>
      </c>
      <c r="O9" s="15">
        <v>41.0</v>
      </c>
      <c r="P9" s="17">
        <v>10.634146341463415</v>
      </c>
      <c r="Q9" s="16">
        <v>30.05</v>
      </c>
      <c r="R9" s="16">
        <f t="shared" si="1"/>
        <v>466.05</v>
      </c>
      <c r="S9" s="16">
        <v>11.367073170731707</v>
      </c>
      <c r="T9" s="18"/>
      <c r="U9" s="19" t="b">
        <v>1</v>
      </c>
      <c r="V9" s="27">
        <v>45942.0</v>
      </c>
      <c r="W9" s="21"/>
      <c r="X9" s="27">
        <v>45942.0</v>
      </c>
      <c r="Y9" s="21"/>
      <c r="Z9" s="21"/>
      <c r="AA9" s="21"/>
      <c r="AB9" s="21"/>
      <c r="AC9" s="21"/>
      <c r="AD9" s="21"/>
      <c r="AE9" s="18"/>
      <c r="AF9" s="18"/>
      <c r="AG9" s="18"/>
    </row>
    <row r="10">
      <c r="A10" s="10" t="s">
        <v>15</v>
      </c>
      <c r="B10" s="10" t="s">
        <v>16</v>
      </c>
      <c r="C10" s="11" t="s">
        <v>38</v>
      </c>
      <c r="D10" s="10" t="str">
        <f>IFERROR(__xludf.DUMMYFUNCTION("""COMPUTED_VALUE"""),"Femme")</f>
        <v>Femme</v>
      </c>
      <c r="E10" s="12">
        <v>45928.0</v>
      </c>
      <c r="F10" s="10" t="str">
        <f>IFERROR(__xludf.DUMMYFUNCTION("""COMPUTED_VALUE"""),"JLF")</f>
        <v>JLF</v>
      </c>
      <c r="G10" s="13" t="s">
        <v>18</v>
      </c>
      <c r="H10" s="14" t="s">
        <v>43</v>
      </c>
      <c r="I10" s="10" t="s">
        <v>34</v>
      </c>
      <c r="J10" s="10" t="s">
        <v>35</v>
      </c>
      <c r="K10" s="12">
        <v>45937.0</v>
      </c>
      <c r="L10" s="15">
        <v>9.0</v>
      </c>
      <c r="M10" s="16">
        <v>464.0</v>
      </c>
      <c r="N10" s="15">
        <v>70.0</v>
      </c>
      <c r="O10" s="15">
        <v>73.0</v>
      </c>
      <c r="P10" s="17">
        <v>6.3561643835616435</v>
      </c>
      <c r="Q10" s="16">
        <v>52.78</v>
      </c>
      <c r="R10" s="16">
        <f t="shared" si="1"/>
        <v>516.78</v>
      </c>
      <c r="S10" s="16">
        <v>7.07917808219178</v>
      </c>
      <c r="T10" s="18"/>
      <c r="U10" s="19" t="b">
        <v>1</v>
      </c>
      <c r="V10" s="27">
        <v>45946.0</v>
      </c>
      <c r="W10" s="21"/>
      <c r="X10" s="27">
        <v>45946.0</v>
      </c>
      <c r="Y10" s="21"/>
      <c r="Z10" s="21"/>
      <c r="AA10" s="21"/>
      <c r="AB10" s="21"/>
      <c r="AC10" s="21"/>
      <c r="AD10" s="21"/>
      <c r="AE10" s="18"/>
      <c r="AF10" s="18"/>
      <c r="AG10" s="18"/>
    </row>
    <row r="11">
      <c r="A11" s="10" t="s">
        <v>31</v>
      </c>
      <c r="B11" s="10" t="s">
        <v>44</v>
      </c>
      <c r="C11" s="11" t="s">
        <v>38</v>
      </c>
      <c r="D11" s="10" t="str">
        <f>IFERROR(__xludf.DUMMYFUNCTION("""COMPUTED_VALUE"""),"Femme")</f>
        <v>Femme</v>
      </c>
      <c r="E11" s="12">
        <v>45934.0</v>
      </c>
      <c r="F11" s="26" t="str">
        <f>IFERROR(__xludf.DUMMYFUNCTION("""COMPUTED_VALUE"""),"JCRF")</f>
        <v>JCRF</v>
      </c>
      <c r="G11" s="13" t="s">
        <v>18</v>
      </c>
      <c r="H11" s="14" t="s">
        <v>45</v>
      </c>
      <c r="I11" s="26" t="s">
        <v>46</v>
      </c>
      <c r="J11" s="26" t="s">
        <v>47</v>
      </c>
      <c r="K11" s="22"/>
      <c r="L11" s="15" t="s">
        <v>48</v>
      </c>
      <c r="M11" s="16">
        <v>525.0</v>
      </c>
      <c r="N11" s="15">
        <v>30.0</v>
      </c>
      <c r="O11" s="29"/>
      <c r="P11" s="17" t="s">
        <v>48</v>
      </c>
      <c r="Q11" s="30"/>
      <c r="R11" s="16">
        <f t="shared" si="1"/>
        <v>0</v>
      </c>
      <c r="S11" s="16" t="s">
        <v>48</v>
      </c>
      <c r="T11" s="18"/>
      <c r="U11" s="19" t="b">
        <v>0</v>
      </c>
      <c r="V11" s="27"/>
      <c r="W11" s="21"/>
      <c r="X11" s="27"/>
      <c r="Y11" s="21"/>
      <c r="Z11" s="21"/>
      <c r="AA11" s="21"/>
      <c r="AB11" s="21"/>
      <c r="AC11" s="21"/>
      <c r="AD11" s="21"/>
      <c r="AE11" s="18"/>
      <c r="AF11" s="18"/>
      <c r="AG11" s="18"/>
    </row>
    <row r="12">
      <c r="A12" s="10" t="s">
        <v>49</v>
      </c>
      <c r="B12" s="10" t="s">
        <v>50</v>
      </c>
      <c r="C12" s="11" t="s">
        <v>38</v>
      </c>
      <c r="D12" s="10" t="str">
        <f>IFERROR(__xludf.DUMMYFUNCTION("""COMPUTED_VALUE"""),"Femme")</f>
        <v>Femme</v>
      </c>
      <c r="E12" s="12">
        <v>45939.0</v>
      </c>
      <c r="F12" s="10" t="str">
        <f>IFERROR(__xludf.DUMMYFUNCTION("""COMPUTED_VALUE"""),"PTHF")</f>
        <v>PTHF</v>
      </c>
      <c r="G12" s="13" t="s">
        <v>18</v>
      </c>
      <c r="H12" s="14" t="s">
        <v>51</v>
      </c>
      <c r="I12" s="10" t="s">
        <v>46</v>
      </c>
      <c r="J12" s="10" t="s">
        <v>47</v>
      </c>
      <c r="K12" s="12">
        <v>45944.0</v>
      </c>
      <c r="L12" s="15">
        <v>5.0</v>
      </c>
      <c r="M12" s="16">
        <v>200.0</v>
      </c>
      <c r="N12" s="15">
        <v>55.0</v>
      </c>
      <c r="O12" s="15">
        <v>56.0</v>
      </c>
      <c r="P12" s="17">
        <v>3.5714285714285716</v>
      </c>
      <c r="Q12" s="16">
        <v>26.0</v>
      </c>
      <c r="R12" s="16">
        <f t="shared" si="1"/>
        <v>226</v>
      </c>
      <c r="S12" s="16">
        <v>4.035714285714286</v>
      </c>
      <c r="T12" s="18"/>
      <c r="U12" s="19" t="b">
        <v>1</v>
      </c>
      <c r="V12" s="20">
        <v>45946.0</v>
      </c>
      <c r="W12" s="21"/>
      <c r="X12" s="20">
        <v>45946.0</v>
      </c>
      <c r="Y12" s="21"/>
      <c r="Z12" s="21"/>
      <c r="AA12" s="21"/>
      <c r="AB12" s="21"/>
      <c r="AC12" s="21"/>
      <c r="AD12" s="21"/>
      <c r="AE12" s="18"/>
      <c r="AF12" s="18"/>
      <c r="AG12" s="18"/>
    </row>
    <row r="13">
      <c r="A13" s="10" t="s">
        <v>15</v>
      </c>
      <c r="B13" s="10" t="s">
        <v>16</v>
      </c>
      <c r="C13" s="11" t="s">
        <v>38</v>
      </c>
      <c r="D13" s="10" t="str">
        <f>IFERROR(__xludf.DUMMYFUNCTION("""COMPUTED_VALUE"""),"Femme")</f>
        <v>Femme</v>
      </c>
      <c r="E13" s="12">
        <v>45941.0</v>
      </c>
      <c r="F13" s="10" t="str">
        <f>IFERROR(__xludf.DUMMYFUNCTION("""COMPUTED_VALUE"""),"JLF")</f>
        <v>JLF</v>
      </c>
      <c r="G13" s="13" t="s">
        <v>18</v>
      </c>
      <c r="H13" s="14" t="s">
        <v>52</v>
      </c>
      <c r="I13" s="10" t="s">
        <v>46</v>
      </c>
      <c r="J13" s="10" t="s">
        <v>47</v>
      </c>
      <c r="K13" s="12">
        <v>45947.0</v>
      </c>
      <c r="L13" s="15">
        <v>6.0</v>
      </c>
      <c r="M13" s="16">
        <v>654.0</v>
      </c>
      <c r="N13" s="15">
        <v>100.0</v>
      </c>
      <c r="O13" s="15">
        <v>100.0</v>
      </c>
      <c r="P13" s="17">
        <v>6.54</v>
      </c>
      <c r="Q13" s="16">
        <v>55.0</v>
      </c>
      <c r="R13" s="16">
        <f t="shared" si="1"/>
        <v>709</v>
      </c>
      <c r="S13" s="16">
        <v>7.09</v>
      </c>
      <c r="T13" s="18"/>
      <c r="U13" s="19" t="b">
        <v>1</v>
      </c>
      <c r="V13" s="27">
        <v>45951.0</v>
      </c>
      <c r="W13" s="21"/>
      <c r="X13" s="27">
        <v>45951.0</v>
      </c>
      <c r="Y13" s="21"/>
      <c r="Z13" s="21"/>
      <c r="AA13" s="21"/>
      <c r="AB13" s="21"/>
      <c r="AC13" s="21"/>
      <c r="AD13" s="21"/>
      <c r="AE13" s="18"/>
      <c r="AF13" s="18"/>
      <c r="AG13" s="18"/>
    </row>
    <row r="14">
      <c r="A14" s="10" t="s">
        <v>15</v>
      </c>
      <c r="B14" s="10" t="s">
        <v>53</v>
      </c>
      <c r="C14" s="11" t="s">
        <v>38</v>
      </c>
      <c r="D14" s="10" t="str">
        <f>IFERROR(__xludf.DUMMYFUNCTION("""COMPUTED_VALUE"""),"Femme")</f>
        <v>Femme</v>
      </c>
      <c r="E14" s="12">
        <v>45953.0</v>
      </c>
      <c r="F14" s="26" t="str">
        <f>IFERROR(__xludf.DUMMYFUNCTION("""COMPUTED_VALUE"""),"JLF")</f>
        <v>JLF</v>
      </c>
      <c r="G14" s="13" t="s">
        <v>18</v>
      </c>
      <c r="H14" s="14" t="s">
        <v>52</v>
      </c>
      <c r="I14" s="26" t="s">
        <v>46</v>
      </c>
      <c r="J14" s="26" t="s">
        <v>47</v>
      </c>
      <c r="K14" s="31">
        <v>45959.0</v>
      </c>
      <c r="L14" s="15">
        <v>6.0</v>
      </c>
      <c r="M14" s="16">
        <v>634.0</v>
      </c>
      <c r="N14" s="15">
        <v>100.0</v>
      </c>
      <c r="O14" s="29"/>
      <c r="P14" s="32" t="s">
        <v>48</v>
      </c>
      <c r="Q14" s="30"/>
      <c r="R14" s="30"/>
      <c r="S14" s="30" t="s">
        <v>48</v>
      </c>
      <c r="T14" s="18"/>
      <c r="U14" s="21" t="b">
        <v>0</v>
      </c>
      <c r="V14" s="27"/>
      <c r="W14" s="21"/>
      <c r="X14" s="21"/>
      <c r="Y14" s="21"/>
      <c r="Z14" s="21"/>
      <c r="AA14" s="21"/>
      <c r="AB14" s="21"/>
      <c r="AC14" s="21"/>
      <c r="AD14" s="21"/>
      <c r="AE14" s="18"/>
      <c r="AF14" s="18"/>
      <c r="AG14" s="18"/>
    </row>
    <row r="15">
      <c r="A15" s="10" t="s">
        <v>49</v>
      </c>
      <c r="B15" s="10" t="s">
        <v>50</v>
      </c>
      <c r="C15" s="11" t="s">
        <v>38</v>
      </c>
      <c r="D15" s="33" t="str">
        <f>IFERROR(__xludf.DUMMYFUNCTION("""COMPUTED_VALUE"""),"Femme")</f>
        <v>Femme</v>
      </c>
      <c r="E15" s="34">
        <v>45960.0</v>
      </c>
      <c r="F15" s="21" t="str">
        <f>IFERROR(__xludf.DUMMYFUNCTION("""COMPUTED_VALUE"""),"PTHF")</f>
        <v>PTHF</v>
      </c>
      <c r="G15" s="13" t="s">
        <v>18</v>
      </c>
      <c r="H15" s="14" t="s">
        <v>51</v>
      </c>
      <c r="I15" s="21" t="s">
        <v>46</v>
      </c>
      <c r="J15" s="21" t="s">
        <v>47</v>
      </c>
      <c r="K15" s="35"/>
      <c r="L15" s="36" t="s">
        <v>48</v>
      </c>
      <c r="M15" s="36"/>
      <c r="N15" s="37">
        <v>200.0</v>
      </c>
      <c r="O15" s="21"/>
      <c r="P15" s="21" t="s">
        <v>48</v>
      </c>
      <c r="Q15" s="21"/>
      <c r="R15" s="21"/>
      <c r="S15" s="38" t="s">
        <v>48</v>
      </c>
      <c r="T15" s="21"/>
      <c r="U15" s="21" t="b">
        <v>0</v>
      </c>
      <c r="V15" s="39"/>
      <c r="W15" s="21"/>
      <c r="X15" s="21"/>
      <c r="Y15" s="21"/>
      <c r="Z15" s="21"/>
      <c r="AA15" s="21"/>
      <c r="AB15" s="21"/>
      <c r="AC15" s="21"/>
      <c r="AD15" s="21"/>
      <c r="AE15" s="18"/>
      <c r="AF15" s="18"/>
      <c r="AG15" s="18"/>
    </row>
    <row r="16">
      <c r="A16" s="36"/>
      <c r="B16" s="36"/>
      <c r="C16" s="40"/>
      <c r="D16" s="33" t="str">
        <f>IFERROR(__xludf.DUMMYFUNCTION("""COMPUTED_VALUE"""),"")</f>
        <v/>
      </c>
      <c r="E16" s="41"/>
      <c r="F16" s="21" t="str">
        <f>IFERROR(__xludf.DUMMYFUNCTION("""COMPUTED_VALUE"""),"")</f>
        <v/>
      </c>
      <c r="G16" s="42"/>
      <c r="H16" s="36"/>
      <c r="I16" s="21" t="s">
        <v>48</v>
      </c>
      <c r="J16" s="21" t="s">
        <v>48</v>
      </c>
      <c r="K16" s="35"/>
      <c r="L16" s="36" t="s">
        <v>48</v>
      </c>
      <c r="M16" s="36"/>
      <c r="N16" s="36"/>
      <c r="O16" s="21"/>
      <c r="P16" s="21" t="s">
        <v>48</v>
      </c>
      <c r="Q16" s="38"/>
      <c r="R16" s="38"/>
      <c r="S16" s="38" t="s">
        <v>48</v>
      </c>
      <c r="T16" s="21"/>
      <c r="U16" s="21" t="b">
        <v>0</v>
      </c>
      <c r="V16" s="39"/>
      <c r="W16" s="21"/>
      <c r="X16" s="21"/>
      <c r="Y16" s="21"/>
      <c r="Z16" s="21"/>
      <c r="AA16" s="21"/>
      <c r="AB16" s="21"/>
      <c r="AC16" s="21"/>
      <c r="AD16" s="21"/>
      <c r="AE16" s="18"/>
      <c r="AF16" s="18"/>
      <c r="AG16" s="18"/>
    </row>
    <row r="17">
      <c r="A17" s="36"/>
      <c r="B17" s="36"/>
      <c r="C17" s="40"/>
      <c r="D17" s="33" t="str">
        <f>IFERROR(__xludf.DUMMYFUNCTION("""COMPUTED_VALUE"""),"")</f>
        <v/>
      </c>
      <c r="E17" s="41"/>
      <c r="F17" s="21" t="str">
        <f>IFERROR(__xludf.DUMMYFUNCTION("""COMPUTED_VALUE"""),"")</f>
        <v/>
      </c>
      <c r="G17" s="42"/>
      <c r="H17" s="36"/>
      <c r="I17" s="21" t="s">
        <v>48</v>
      </c>
      <c r="J17" s="21" t="s">
        <v>48</v>
      </c>
      <c r="K17" s="35"/>
      <c r="L17" s="36" t="s">
        <v>48</v>
      </c>
      <c r="M17" s="36"/>
      <c r="N17" s="36"/>
      <c r="O17" s="21"/>
      <c r="P17" s="21" t="s">
        <v>48</v>
      </c>
      <c r="Q17" s="38"/>
      <c r="R17" s="38"/>
      <c r="S17" s="38" t="s">
        <v>48</v>
      </c>
      <c r="T17" s="21"/>
      <c r="U17" s="21" t="b">
        <v>0</v>
      </c>
      <c r="V17" s="39"/>
      <c r="W17" s="21"/>
      <c r="X17" s="21"/>
      <c r="Y17" s="21"/>
      <c r="Z17" s="21"/>
      <c r="AA17" s="21"/>
      <c r="AB17" s="21"/>
      <c r="AC17" s="21"/>
      <c r="AD17" s="21"/>
      <c r="AE17" s="18"/>
      <c r="AF17" s="18"/>
      <c r="AG17" s="18"/>
    </row>
    <row r="18">
      <c r="A18" s="36"/>
      <c r="B18" s="36"/>
      <c r="C18" s="40"/>
      <c r="D18" s="33" t="str">
        <f>IFERROR(__xludf.DUMMYFUNCTION("""COMPUTED_VALUE"""),"")</f>
        <v/>
      </c>
      <c r="E18" s="41"/>
      <c r="F18" s="21" t="str">
        <f>IFERROR(__xludf.DUMMYFUNCTION("""COMPUTED_VALUE"""),"")</f>
        <v/>
      </c>
      <c r="G18" s="42"/>
      <c r="H18" s="36"/>
      <c r="I18" s="21" t="s">
        <v>48</v>
      </c>
      <c r="J18" s="21" t="s">
        <v>48</v>
      </c>
      <c r="K18" s="35"/>
      <c r="L18" s="36" t="s">
        <v>48</v>
      </c>
      <c r="M18" s="36"/>
      <c r="N18" s="36"/>
      <c r="O18" s="21"/>
      <c r="P18" s="21" t="s">
        <v>48</v>
      </c>
      <c r="Q18" s="38"/>
      <c r="R18" s="38"/>
      <c r="S18" s="38" t="s">
        <v>48</v>
      </c>
      <c r="T18" s="21"/>
      <c r="U18" s="21" t="b">
        <v>0</v>
      </c>
      <c r="V18" s="39"/>
      <c r="W18" s="21"/>
      <c r="X18" s="21"/>
      <c r="Y18" s="21"/>
      <c r="Z18" s="21"/>
      <c r="AA18" s="21"/>
      <c r="AB18" s="21"/>
      <c r="AC18" s="21"/>
      <c r="AD18" s="21"/>
      <c r="AE18" s="18"/>
      <c r="AF18" s="18"/>
      <c r="AG18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75"/>
    <col customWidth="1" min="2" max="2" width="15.0"/>
    <col customWidth="1" min="3" max="3" width="8.75"/>
    <col customWidth="1" min="4" max="4" width="12.5"/>
    <col customWidth="1" min="5" max="5" width="10.75"/>
    <col customWidth="1" min="6" max="6" width="10.5"/>
    <col customWidth="1" min="7" max="7" width="10.75"/>
    <col customWidth="1" min="8" max="8" width="9.75"/>
    <col customWidth="1" min="9" max="9" width="14.63"/>
    <col customWidth="1" min="10" max="10" width="13.0"/>
    <col customWidth="1" hidden="1" min="11" max="11" width="9.63"/>
    <col customWidth="1" min="12" max="12" width="16.25"/>
    <col customWidth="1" min="13" max="13" width="15.88"/>
    <col customWidth="1" min="14" max="14" width="18.5"/>
  </cols>
  <sheetData>
    <row r="1">
      <c r="A1" s="43" t="s">
        <v>0</v>
      </c>
      <c r="B1" s="43" t="s">
        <v>54</v>
      </c>
      <c r="C1" s="43" t="s">
        <v>55</v>
      </c>
      <c r="D1" s="44" t="s">
        <v>56</v>
      </c>
      <c r="E1" s="45" t="s">
        <v>57</v>
      </c>
      <c r="F1" s="44" t="s">
        <v>58</v>
      </c>
      <c r="G1" s="44" t="s">
        <v>59</v>
      </c>
      <c r="H1" s="44" t="s">
        <v>60</v>
      </c>
      <c r="I1" s="44" t="s">
        <v>61</v>
      </c>
      <c r="J1" s="45" t="s">
        <v>62</v>
      </c>
      <c r="K1" s="44" t="s">
        <v>63</v>
      </c>
      <c r="L1" s="46" t="s">
        <v>64</v>
      </c>
      <c r="M1" s="47" t="s">
        <v>65</v>
      </c>
      <c r="N1" s="47" t="s">
        <v>66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>
      <c r="A2" s="49" t="s">
        <v>67</v>
      </c>
      <c r="B2" s="49"/>
      <c r="C2" s="49" t="s">
        <v>68</v>
      </c>
      <c r="D2" s="50">
        <v>43891.0</v>
      </c>
      <c r="E2" s="50">
        <v>45901.0</v>
      </c>
      <c r="F2" s="49" t="b">
        <v>1</v>
      </c>
      <c r="G2" s="51">
        <f t="shared" ref="G2:G19" si="1">E2</f>
        <v>45901</v>
      </c>
      <c r="H2" s="49" t="b">
        <v>1</v>
      </c>
      <c r="I2" s="51">
        <f t="shared" ref="I2:I11" si="2">G2</f>
        <v>45901</v>
      </c>
      <c r="J2" s="52" t="b">
        <v>0</v>
      </c>
      <c r="K2" s="52" t="b">
        <v>0</v>
      </c>
      <c r="L2" s="53"/>
      <c r="M2" s="54"/>
      <c r="N2" s="55"/>
    </row>
    <row r="3">
      <c r="A3" s="49" t="s">
        <v>67</v>
      </c>
      <c r="B3" s="49"/>
      <c r="C3" s="49" t="s">
        <v>69</v>
      </c>
      <c r="D3" s="50">
        <v>43891.0</v>
      </c>
      <c r="E3" s="50">
        <v>45901.0</v>
      </c>
      <c r="F3" s="49" t="b">
        <v>1</v>
      </c>
      <c r="G3" s="51">
        <f t="shared" si="1"/>
        <v>45901</v>
      </c>
      <c r="H3" s="49" t="b">
        <v>1</v>
      </c>
      <c r="I3" s="51">
        <f t="shared" si="2"/>
        <v>45901</v>
      </c>
      <c r="J3" s="52" t="b">
        <v>0</v>
      </c>
      <c r="K3" s="52" t="b">
        <v>0</v>
      </c>
      <c r="L3" s="53"/>
      <c r="M3" s="54"/>
      <c r="N3" s="55"/>
    </row>
    <row r="4">
      <c r="A4" s="49" t="s">
        <v>67</v>
      </c>
      <c r="B4" s="49"/>
      <c r="C4" s="49" t="s">
        <v>70</v>
      </c>
      <c r="D4" s="50">
        <v>43891.0</v>
      </c>
      <c r="E4" s="50">
        <v>45901.0</v>
      </c>
      <c r="F4" s="49" t="b">
        <v>1</v>
      </c>
      <c r="G4" s="51">
        <f t="shared" si="1"/>
        <v>45901</v>
      </c>
      <c r="H4" s="49" t="b">
        <v>1</v>
      </c>
      <c r="I4" s="51">
        <f t="shared" si="2"/>
        <v>45901</v>
      </c>
      <c r="J4" s="52" t="b">
        <v>0</v>
      </c>
      <c r="K4" s="52" t="b">
        <v>0</v>
      </c>
      <c r="L4" s="53"/>
      <c r="M4" s="54"/>
      <c r="N4" s="55"/>
    </row>
    <row r="5">
      <c r="A5" s="49" t="s">
        <v>67</v>
      </c>
      <c r="B5" s="49"/>
      <c r="C5" s="49" t="s">
        <v>71</v>
      </c>
      <c r="D5" s="50">
        <v>43891.0</v>
      </c>
      <c r="E5" s="50">
        <v>45901.0</v>
      </c>
      <c r="F5" s="49" t="b">
        <v>1</v>
      </c>
      <c r="G5" s="51">
        <f t="shared" si="1"/>
        <v>45901</v>
      </c>
      <c r="H5" s="49" t="b">
        <v>1</v>
      </c>
      <c r="I5" s="51">
        <f t="shared" si="2"/>
        <v>45901</v>
      </c>
      <c r="J5" s="52" t="b">
        <v>0</v>
      </c>
      <c r="K5" s="52" t="b">
        <v>0</v>
      </c>
      <c r="L5" s="53"/>
      <c r="M5" s="54"/>
      <c r="N5" s="55"/>
    </row>
    <row r="6">
      <c r="A6" s="49" t="s">
        <v>67</v>
      </c>
      <c r="B6" s="49"/>
      <c r="C6" s="49" t="s">
        <v>72</v>
      </c>
      <c r="D6" s="50">
        <v>43891.0</v>
      </c>
      <c r="E6" s="50">
        <v>45901.0</v>
      </c>
      <c r="F6" s="49" t="b">
        <v>1</v>
      </c>
      <c r="G6" s="51">
        <f t="shared" si="1"/>
        <v>45901</v>
      </c>
      <c r="H6" s="49" t="b">
        <v>1</v>
      </c>
      <c r="I6" s="51">
        <f t="shared" si="2"/>
        <v>45901</v>
      </c>
      <c r="J6" s="52" t="b">
        <v>0</v>
      </c>
      <c r="K6" s="52" t="b">
        <v>0</v>
      </c>
      <c r="L6" s="53"/>
      <c r="M6" s="54"/>
      <c r="N6" s="55"/>
    </row>
    <row r="7">
      <c r="A7" s="49" t="s">
        <v>67</v>
      </c>
      <c r="B7" s="49"/>
      <c r="C7" s="49" t="s">
        <v>73</v>
      </c>
      <c r="D7" s="50">
        <v>43891.0</v>
      </c>
      <c r="E7" s="50">
        <v>45901.0</v>
      </c>
      <c r="F7" s="49" t="b">
        <v>1</v>
      </c>
      <c r="G7" s="51">
        <f t="shared" si="1"/>
        <v>45901</v>
      </c>
      <c r="H7" s="49" t="b">
        <v>1</v>
      </c>
      <c r="I7" s="51">
        <f t="shared" si="2"/>
        <v>45901</v>
      </c>
      <c r="J7" s="52" t="b">
        <v>0</v>
      </c>
      <c r="K7" s="52" t="b">
        <v>0</v>
      </c>
      <c r="L7" s="53"/>
      <c r="M7" s="54"/>
      <c r="N7" s="55"/>
    </row>
    <row r="8">
      <c r="A8" s="49" t="s">
        <v>67</v>
      </c>
      <c r="B8" s="49"/>
      <c r="C8" s="49" t="s">
        <v>74</v>
      </c>
      <c r="D8" s="50">
        <v>43891.0</v>
      </c>
      <c r="E8" s="50">
        <v>45901.0</v>
      </c>
      <c r="F8" s="49" t="b">
        <v>1</v>
      </c>
      <c r="G8" s="51">
        <f t="shared" si="1"/>
        <v>45901</v>
      </c>
      <c r="H8" s="49" t="b">
        <v>1</v>
      </c>
      <c r="I8" s="51">
        <f t="shared" si="2"/>
        <v>45901</v>
      </c>
      <c r="J8" s="52" t="b">
        <v>0</v>
      </c>
      <c r="K8" s="52" t="b">
        <v>0</v>
      </c>
      <c r="L8" s="53"/>
      <c r="M8" s="54"/>
      <c r="N8" s="55"/>
    </row>
    <row r="9">
      <c r="A9" s="49" t="s">
        <v>67</v>
      </c>
      <c r="B9" s="49"/>
      <c r="C9" s="49" t="s">
        <v>75</v>
      </c>
      <c r="D9" s="50">
        <v>43891.0</v>
      </c>
      <c r="E9" s="50">
        <v>45901.0</v>
      </c>
      <c r="F9" s="49" t="b">
        <v>1</v>
      </c>
      <c r="G9" s="51">
        <f t="shared" si="1"/>
        <v>45901</v>
      </c>
      <c r="H9" s="49" t="b">
        <v>1</v>
      </c>
      <c r="I9" s="51">
        <f t="shared" si="2"/>
        <v>45901</v>
      </c>
      <c r="J9" s="52" t="b">
        <v>0</v>
      </c>
      <c r="K9" s="52" t="b">
        <v>0</v>
      </c>
      <c r="L9" s="53"/>
      <c r="M9" s="54"/>
      <c r="N9" s="55"/>
    </row>
    <row r="10">
      <c r="A10" s="49" t="s">
        <v>67</v>
      </c>
      <c r="B10" s="49"/>
      <c r="C10" s="49" t="s">
        <v>76</v>
      </c>
      <c r="D10" s="50">
        <v>43891.0</v>
      </c>
      <c r="E10" s="50">
        <v>45901.0</v>
      </c>
      <c r="F10" s="49" t="b">
        <v>1</v>
      </c>
      <c r="G10" s="51">
        <f t="shared" si="1"/>
        <v>45901</v>
      </c>
      <c r="H10" s="49" t="b">
        <v>1</v>
      </c>
      <c r="I10" s="51">
        <f t="shared" si="2"/>
        <v>45901</v>
      </c>
      <c r="J10" s="52" t="b">
        <v>0</v>
      </c>
      <c r="K10" s="52" t="b">
        <v>0</v>
      </c>
      <c r="L10" s="53"/>
      <c r="M10" s="54"/>
      <c r="N10" s="55"/>
    </row>
    <row r="11">
      <c r="A11" s="49" t="s">
        <v>67</v>
      </c>
      <c r="B11" s="49"/>
      <c r="C11" s="49" t="s">
        <v>77</v>
      </c>
      <c r="D11" s="50">
        <v>43891.0</v>
      </c>
      <c r="E11" s="50">
        <v>45901.0</v>
      </c>
      <c r="F11" s="49" t="b">
        <v>1</v>
      </c>
      <c r="G11" s="51">
        <f t="shared" si="1"/>
        <v>45901</v>
      </c>
      <c r="H11" s="49" t="b">
        <v>1</v>
      </c>
      <c r="I11" s="51">
        <f t="shared" si="2"/>
        <v>45901</v>
      </c>
      <c r="J11" s="52" t="b">
        <v>0</v>
      </c>
      <c r="K11" s="52" t="b">
        <v>0</v>
      </c>
      <c r="L11" s="53"/>
      <c r="M11" s="54"/>
      <c r="N11" s="55"/>
    </row>
    <row r="12">
      <c r="A12" s="49" t="s">
        <v>67</v>
      </c>
      <c r="B12" s="49"/>
      <c r="C12" s="49" t="s">
        <v>78</v>
      </c>
      <c r="D12" s="50">
        <v>43891.0</v>
      </c>
      <c r="E12" s="50">
        <v>45901.0</v>
      </c>
      <c r="F12" s="49" t="b">
        <v>1</v>
      </c>
      <c r="G12" s="51">
        <f t="shared" si="1"/>
        <v>45901</v>
      </c>
      <c r="H12" s="49" t="b">
        <v>1</v>
      </c>
      <c r="I12" s="51">
        <v>45902.0</v>
      </c>
      <c r="J12" s="52" t="b">
        <v>0</v>
      </c>
      <c r="K12" s="52" t="b">
        <v>0</v>
      </c>
      <c r="L12" s="53"/>
      <c r="M12" s="54"/>
      <c r="N12" s="55"/>
    </row>
    <row r="13">
      <c r="A13" s="49" t="s">
        <v>67</v>
      </c>
      <c r="B13" s="49"/>
      <c r="C13" s="49" t="s">
        <v>79</v>
      </c>
      <c r="D13" s="50">
        <v>43891.0</v>
      </c>
      <c r="E13" s="50">
        <v>45901.0</v>
      </c>
      <c r="F13" s="49" t="b">
        <v>1</v>
      </c>
      <c r="G13" s="51">
        <f t="shared" si="1"/>
        <v>45901</v>
      </c>
      <c r="H13" s="49" t="b">
        <v>1</v>
      </c>
      <c r="I13" s="51">
        <v>45902.0</v>
      </c>
      <c r="J13" s="52" t="b">
        <v>0</v>
      </c>
      <c r="K13" s="52" t="b">
        <v>0</v>
      </c>
      <c r="L13" s="53"/>
      <c r="M13" s="54"/>
      <c r="N13" s="55"/>
    </row>
    <row r="14">
      <c r="A14" s="49" t="s">
        <v>67</v>
      </c>
      <c r="B14" s="49"/>
      <c r="C14" s="49" t="s">
        <v>80</v>
      </c>
      <c r="D14" s="50">
        <v>43891.0</v>
      </c>
      <c r="E14" s="50">
        <v>45901.0</v>
      </c>
      <c r="F14" s="49" t="b">
        <v>1</v>
      </c>
      <c r="G14" s="51">
        <f t="shared" si="1"/>
        <v>45901</v>
      </c>
      <c r="H14" s="49" t="b">
        <v>1</v>
      </c>
      <c r="I14" s="51">
        <v>45902.0</v>
      </c>
      <c r="J14" s="52" t="b">
        <v>0</v>
      </c>
      <c r="K14" s="52" t="b">
        <v>0</v>
      </c>
      <c r="L14" s="53"/>
      <c r="M14" s="54"/>
      <c r="N14" s="55"/>
    </row>
    <row r="15">
      <c r="A15" s="49" t="s">
        <v>67</v>
      </c>
      <c r="B15" s="49"/>
      <c r="C15" s="49" t="s">
        <v>81</v>
      </c>
      <c r="D15" s="50">
        <v>43891.0</v>
      </c>
      <c r="E15" s="50">
        <v>45901.0</v>
      </c>
      <c r="F15" s="49" t="b">
        <v>1</v>
      </c>
      <c r="G15" s="51">
        <f t="shared" si="1"/>
        <v>45901</v>
      </c>
      <c r="H15" s="49" t="b">
        <v>1</v>
      </c>
      <c r="I15" s="51">
        <v>45902.0</v>
      </c>
      <c r="J15" s="52" t="b">
        <v>0</v>
      </c>
      <c r="K15" s="52" t="b">
        <v>0</v>
      </c>
      <c r="L15" s="53"/>
      <c r="M15" s="54"/>
      <c r="N15" s="55"/>
    </row>
    <row r="16">
      <c r="A16" s="49" t="s">
        <v>67</v>
      </c>
      <c r="B16" s="49"/>
      <c r="C16" s="49" t="s">
        <v>82</v>
      </c>
      <c r="D16" s="50">
        <v>43891.0</v>
      </c>
      <c r="E16" s="50">
        <v>45901.0</v>
      </c>
      <c r="F16" s="49" t="b">
        <v>1</v>
      </c>
      <c r="G16" s="51">
        <f t="shared" si="1"/>
        <v>45901</v>
      </c>
      <c r="H16" s="49" t="b">
        <v>1</v>
      </c>
      <c r="I16" s="51">
        <v>45902.0</v>
      </c>
      <c r="J16" s="52" t="b">
        <v>0</v>
      </c>
      <c r="K16" s="52" t="b">
        <v>0</v>
      </c>
      <c r="L16" s="53"/>
      <c r="M16" s="54"/>
      <c r="N16" s="55"/>
    </row>
    <row r="17">
      <c r="A17" s="49" t="s">
        <v>67</v>
      </c>
      <c r="B17" s="49"/>
      <c r="C17" s="49" t="s">
        <v>83</v>
      </c>
      <c r="D17" s="50">
        <v>43891.0</v>
      </c>
      <c r="E17" s="50">
        <v>45901.0</v>
      </c>
      <c r="F17" s="49" t="b">
        <v>1</v>
      </c>
      <c r="G17" s="51">
        <f t="shared" si="1"/>
        <v>45901</v>
      </c>
      <c r="H17" s="49" t="b">
        <v>1</v>
      </c>
      <c r="I17" s="51">
        <v>45902.0</v>
      </c>
      <c r="J17" s="52" t="b">
        <v>0</v>
      </c>
      <c r="K17" s="52" t="b">
        <v>0</v>
      </c>
      <c r="L17" s="53"/>
      <c r="M17" s="54"/>
      <c r="N17" s="55"/>
    </row>
    <row r="18">
      <c r="A18" s="49" t="s">
        <v>67</v>
      </c>
      <c r="B18" s="49"/>
      <c r="C18" s="49" t="s">
        <v>84</v>
      </c>
      <c r="D18" s="50">
        <v>43891.0</v>
      </c>
      <c r="E18" s="50">
        <v>45901.0</v>
      </c>
      <c r="F18" s="49" t="b">
        <v>1</v>
      </c>
      <c r="G18" s="51">
        <f t="shared" si="1"/>
        <v>45901</v>
      </c>
      <c r="H18" s="49" t="b">
        <v>1</v>
      </c>
      <c r="I18" s="51">
        <v>45902.0</v>
      </c>
      <c r="J18" s="52" t="b">
        <v>0</v>
      </c>
      <c r="K18" s="52" t="b">
        <v>0</v>
      </c>
      <c r="L18" s="53"/>
      <c r="M18" s="54"/>
      <c r="N18" s="55"/>
    </row>
    <row r="19">
      <c r="A19" s="49" t="s">
        <v>85</v>
      </c>
      <c r="B19" s="49" t="s">
        <v>86</v>
      </c>
      <c r="C19" s="49" t="s">
        <v>86</v>
      </c>
      <c r="D19" s="50">
        <v>45904.0</v>
      </c>
      <c r="E19" s="50">
        <v>45904.0</v>
      </c>
      <c r="F19" s="49" t="b">
        <v>1</v>
      </c>
      <c r="G19" s="51">
        <f t="shared" si="1"/>
        <v>45904</v>
      </c>
      <c r="H19" s="49" t="b">
        <v>1</v>
      </c>
      <c r="I19" s="51">
        <v>45904.0</v>
      </c>
      <c r="J19" s="52" t="b">
        <v>0</v>
      </c>
      <c r="K19" s="52" t="b">
        <v>0</v>
      </c>
      <c r="L19" s="53"/>
      <c r="M19" s="54"/>
      <c r="N19" s="55"/>
    </row>
    <row r="20">
      <c r="A20" s="49" t="s">
        <v>85</v>
      </c>
      <c r="B20" s="49"/>
      <c r="C20" s="49" t="s">
        <v>87</v>
      </c>
      <c r="D20" s="50">
        <v>45904.0</v>
      </c>
      <c r="E20" s="50">
        <v>45904.0</v>
      </c>
      <c r="F20" s="49" t="b">
        <v>1</v>
      </c>
      <c r="G20" s="51">
        <v>45904.0</v>
      </c>
      <c r="H20" s="49" t="b">
        <v>1</v>
      </c>
      <c r="I20" s="51">
        <v>45904.0</v>
      </c>
      <c r="J20" s="52" t="b">
        <v>0</v>
      </c>
      <c r="K20" s="52" t="b">
        <v>0</v>
      </c>
      <c r="L20" s="53"/>
      <c r="M20" s="54"/>
      <c r="N20" s="55"/>
    </row>
    <row r="21">
      <c r="A21" s="49" t="s">
        <v>85</v>
      </c>
      <c r="B21" s="49"/>
      <c r="C21" s="49" t="s">
        <v>88</v>
      </c>
      <c r="D21" s="50">
        <v>45904.0</v>
      </c>
      <c r="E21" s="50">
        <v>45904.0</v>
      </c>
      <c r="F21" s="49" t="b">
        <v>1</v>
      </c>
      <c r="G21" s="51">
        <v>45904.0</v>
      </c>
      <c r="H21" s="49" t="b">
        <v>1</v>
      </c>
      <c r="I21" s="51">
        <v>45904.0</v>
      </c>
      <c r="J21" s="52" t="b">
        <v>0</v>
      </c>
      <c r="K21" s="52" t="b">
        <v>0</v>
      </c>
      <c r="L21" s="53"/>
      <c r="M21" s="54"/>
      <c r="N21" s="55"/>
    </row>
    <row r="22">
      <c r="A22" s="49" t="s">
        <v>85</v>
      </c>
      <c r="B22" s="49"/>
      <c r="C22" s="49" t="s">
        <v>89</v>
      </c>
      <c r="D22" s="50">
        <v>45904.0</v>
      </c>
      <c r="E22" s="50">
        <v>45904.0</v>
      </c>
      <c r="F22" s="49" t="b">
        <v>1</v>
      </c>
      <c r="G22" s="51">
        <v>45904.0</v>
      </c>
      <c r="H22" s="49" t="b">
        <v>1</v>
      </c>
      <c r="I22" s="51">
        <v>45904.0</v>
      </c>
      <c r="J22" s="52" t="b">
        <v>0</v>
      </c>
      <c r="K22" s="52" t="b">
        <v>0</v>
      </c>
      <c r="L22" s="53"/>
      <c r="M22" s="54"/>
      <c r="N22" s="55"/>
    </row>
    <row r="23">
      <c r="A23" s="49" t="s">
        <v>85</v>
      </c>
      <c r="B23" s="49"/>
      <c r="C23" s="49" t="s">
        <v>90</v>
      </c>
      <c r="D23" s="50">
        <v>45904.0</v>
      </c>
      <c r="E23" s="50">
        <v>45904.0</v>
      </c>
      <c r="F23" s="49" t="b">
        <v>1</v>
      </c>
      <c r="G23" s="51">
        <v>45904.0</v>
      </c>
      <c r="H23" s="49" t="b">
        <v>1</v>
      </c>
      <c r="I23" s="51">
        <v>45904.0</v>
      </c>
      <c r="J23" s="52" t="b">
        <v>0</v>
      </c>
      <c r="K23" s="52" t="b">
        <v>0</v>
      </c>
      <c r="L23" s="53"/>
      <c r="M23" s="54"/>
      <c r="N23" s="55"/>
    </row>
    <row r="24">
      <c r="A24" s="49" t="s">
        <v>85</v>
      </c>
      <c r="B24" s="49"/>
      <c r="C24" s="49" t="s">
        <v>91</v>
      </c>
      <c r="D24" s="50">
        <v>45904.0</v>
      </c>
      <c r="E24" s="50">
        <v>45904.0</v>
      </c>
      <c r="F24" s="49" t="b">
        <v>1</v>
      </c>
      <c r="G24" s="51">
        <v>45904.0</v>
      </c>
      <c r="H24" s="49" t="b">
        <v>1</v>
      </c>
      <c r="I24" s="51">
        <v>45904.0</v>
      </c>
      <c r="J24" s="52" t="b">
        <v>0</v>
      </c>
      <c r="K24" s="52" t="b">
        <v>0</v>
      </c>
      <c r="L24" s="53"/>
      <c r="M24" s="54"/>
      <c r="N24" s="55"/>
    </row>
    <row r="25">
      <c r="A25" s="49" t="s">
        <v>85</v>
      </c>
      <c r="B25" s="49"/>
      <c r="C25" s="49" t="s">
        <v>92</v>
      </c>
      <c r="D25" s="50">
        <v>45904.0</v>
      </c>
      <c r="E25" s="50">
        <v>45904.0</v>
      </c>
      <c r="F25" s="49" t="b">
        <v>1</v>
      </c>
      <c r="G25" s="51">
        <v>45904.0</v>
      </c>
      <c r="H25" s="49" t="b">
        <v>1</v>
      </c>
      <c r="I25" s="51">
        <v>45904.0</v>
      </c>
      <c r="J25" s="52" t="b">
        <v>0</v>
      </c>
      <c r="K25" s="52" t="b">
        <v>0</v>
      </c>
      <c r="L25" s="53"/>
      <c r="M25" s="54"/>
      <c r="N25" s="55"/>
    </row>
    <row r="26">
      <c r="A26" s="49" t="s">
        <v>85</v>
      </c>
      <c r="B26" s="49"/>
      <c r="C26" s="49" t="s">
        <v>93</v>
      </c>
      <c r="D26" s="50">
        <v>45904.0</v>
      </c>
      <c r="E26" s="50">
        <v>45904.0</v>
      </c>
      <c r="F26" s="49" t="b">
        <v>1</v>
      </c>
      <c r="G26" s="51">
        <v>45904.0</v>
      </c>
      <c r="H26" s="49" t="b">
        <v>1</v>
      </c>
      <c r="I26" s="51">
        <v>45904.0</v>
      </c>
      <c r="J26" s="52" t="b">
        <v>0</v>
      </c>
      <c r="K26" s="52" t="b">
        <v>0</v>
      </c>
      <c r="L26" s="53"/>
      <c r="M26" s="54"/>
      <c r="N26" s="55"/>
    </row>
    <row r="27">
      <c r="A27" s="49" t="s">
        <v>85</v>
      </c>
      <c r="B27" s="49"/>
      <c r="C27" s="49" t="s">
        <v>94</v>
      </c>
      <c r="D27" s="50">
        <v>45904.0</v>
      </c>
      <c r="E27" s="50">
        <v>45904.0</v>
      </c>
      <c r="F27" s="49" t="b">
        <v>1</v>
      </c>
      <c r="G27" s="51">
        <v>45904.0</v>
      </c>
      <c r="H27" s="49" t="b">
        <v>1</v>
      </c>
      <c r="I27" s="51">
        <v>45904.0</v>
      </c>
      <c r="J27" s="52" t="b">
        <v>0</v>
      </c>
      <c r="K27" s="52" t="b">
        <v>0</v>
      </c>
      <c r="L27" s="53"/>
      <c r="M27" s="54"/>
      <c r="N27" s="55"/>
    </row>
    <row r="28">
      <c r="A28" s="49" t="s">
        <v>85</v>
      </c>
      <c r="B28" s="49"/>
      <c r="C28" s="49" t="s">
        <v>95</v>
      </c>
      <c r="D28" s="50">
        <v>45904.0</v>
      </c>
      <c r="E28" s="50">
        <v>45904.0</v>
      </c>
      <c r="F28" s="49" t="b">
        <v>1</v>
      </c>
      <c r="G28" s="51">
        <v>45904.0</v>
      </c>
      <c r="H28" s="49" t="b">
        <v>1</v>
      </c>
      <c r="I28" s="51">
        <v>45904.0</v>
      </c>
      <c r="J28" s="52" t="b">
        <v>0</v>
      </c>
      <c r="K28" s="52" t="b">
        <v>0</v>
      </c>
      <c r="L28" s="53"/>
      <c r="M28" s="54"/>
      <c r="N28" s="55"/>
    </row>
    <row r="29">
      <c r="A29" s="49" t="s">
        <v>85</v>
      </c>
      <c r="B29" s="49"/>
      <c r="C29" s="49" t="s">
        <v>96</v>
      </c>
      <c r="D29" s="50">
        <v>45904.0</v>
      </c>
      <c r="E29" s="50">
        <v>45904.0</v>
      </c>
      <c r="F29" s="49" t="b">
        <v>1</v>
      </c>
      <c r="G29" s="51">
        <v>45904.0</v>
      </c>
      <c r="H29" s="49" t="b">
        <v>1</v>
      </c>
      <c r="I29" s="51">
        <v>45905.0</v>
      </c>
      <c r="J29" s="52" t="b">
        <v>0</v>
      </c>
      <c r="K29" s="52" t="b">
        <v>0</v>
      </c>
      <c r="L29" s="53"/>
      <c r="M29" s="54"/>
      <c r="N29" s="55"/>
    </row>
    <row r="30">
      <c r="A30" s="49" t="s">
        <v>85</v>
      </c>
      <c r="B30" s="49"/>
      <c r="C30" s="49" t="s">
        <v>97</v>
      </c>
      <c r="D30" s="50">
        <v>45904.0</v>
      </c>
      <c r="E30" s="50">
        <v>45904.0</v>
      </c>
      <c r="F30" s="49" t="b">
        <v>1</v>
      </c>
      <c r="G30" s="51">
        <v>45904.0</v>
      </c>
      <c r="H30" s="49" t="b">
        <v>1</v>
      </c>
      <c r="I30" s="51">
        <v>45905.0</v>
      </c>
      <c r="J30" s="52" t="b">
        <v>0</v>
      </c>
      <c r="K30" s="52" t="b">
        <v>0</v>
      </c>
      <c r="L30" s="53"/>
      <c r="M30" s="54"/>
      <c r="N30" s="55"/>
    </row>
    <row r="31">
      <c r="A31" s="49" t="s">
        <v>85</v>
      </c>
      <c r="B31" s="49"/>
      <c r="C31" s="49" t="s">
        <v>98</v>
      </c>
      <c r="D31" s="50">
        <v>45904.0</v>
      </c>
      <c r="E31" s="50">
        <v>45904.0</v>
      </c>
      <c r="F31" s="49" t="b">
        <v>1</v>
      </c>
      <c r="G31" s="51">
        <v>45904.0</v>
      </c>
      <c r="H31" s="49" t="b">
        <v>1</v>
      </c>
      <c r="I31" s="51">
        <v>45905.0</v>
      </c>
      <c r="J31" s="52" t="b">
        <v>0</v>
      </c>
      <c r="K31" s="52" t="b">
        <v>0</v>
      </c>
      <c r="L31" s="53"/>
      <c r="M31" s="54"/>
      <c r="N31" s="55"/>
    </row>
    <row r="32">
      <c r="A32" s="49" t="s">
        <v>85</v>
      </c>
      <c r="B32" s="49"/>
      <c r="C32" s="49" t="s">
        <v>99</v>
      </c>
      <c r="D32" s="50">
        <v>45904.0</v>
      </c>
      <c r="E32" s="50">
        <v>45904.0</v>
      </c>
      <c r="F32" s="49" t="b">
        <v>1</v>
      </c>
      <c r="G32" s="51">
        <v>45904.0</v>
      </c>
      <c r="H32" s="49" t="b">
        <v>1</v>
      </c>
      <c r="I32" s="51">
        <v>45905.0</v>
      </c>
      <c r="J32" s="52" t="b">
        <v>0</v>
      </c>
      <c r="K32" s="52" t="b">
        <v>0</v>
      </c>
      <c r="L32" s="53"/>
      <c r="M32" s="54"/>
      <c r="N32" s="55"/>
    </row>
    <row r="33">
      <c r="A33" s="49" t="s">
        <v>85</v>
      </c>
      <c r="B33" s="49"/>
      <c r="C33" s="49" t="s">
        <v>100</v>
      </c>
      <c r="D33" s="50">
        <v>45904.0</v>
      </c>
      <c r="E33" s="50">
        <v>45904.0</v>
      </c>
      <c r="F33" s="49" t="b">
        <v>1</v>
      </c>
      <c r="G33" s="51">
        <v>45904.0</v>
      </c>
      <c r="H33" s="49" t="b">
        <v>1</v>
      </c>
      <c r="I33" s="51">
        <v>45905.0</v>
      </c>
      <c r="J33" s="52" t="b">
        <v>0</v>
      </c>
      <c r="K33" s="52" t="b">
        <v>0</v>
      </c>
      <c r="L33" s="53"/>
      <c r="M33" s="54"/>
      <c r="N33" s="55"/>
    </row>
    <row r="34">
      <c r="A34" s="49" t="s">
        <v>85</v>
      </c>
      <c r="B34" s="49"/>
      <c r="C34" s="49" t="s">
        <v>101</v>
      </c>
      <c r="D34" s="50">
        <v>45904.0</v>
      </c>
      <c r="E34" s="50">
        <v>45904.0</v>
      </c>
      <c r="F34" s="49" t="b">
        <v>1</v>
      </c>
      <c r="G34" s="51">
        <v>45904.0</v>
      </c>
      <c r="H34" s="49" t="b">
        <v>1</v>
      </c>
      <c r="I34" s="51">
        <v>45905.0</v>
      </c>
      <c r="J34" s="52" t="b">
        <v>0</v>
      </c>
      <c r="K34" s="52" t="b">
        <v>0</v>
      </c>
      <c r="L34" s="53"/>
      <c r="M34" s="54"/>
      <c r="N34" s="55"/>
    </row>
    <row r="35">
      <c r="A35" s="49" t="s">
        <v>85</v>
      </c>
      <c r="B35" s="49"/>
      <c r="C35" s="49" t="s">
        <v>102</v>
      </c>
      <c r="D35" s="50">
        <v>45904.0</v>
      </c>
      <c r="E35" s="50">
        <v>45904.0</v>
      </c>
      <c r="F35" s="49" t="b">
        <v>1</v>
      </c>
      <c r="G35" s="51">
        <v>45904.0</v>
      </c>
      <c r="H35" s="49" t="b">
        <v>1</v>
      </c>
      <c r="I35" s="51">
        <v>45905.0</v>
      </c>
      <c r="J35" s="52" t="b">
        <v>0</v>
      </c>
      <c r="K35" s="52" t="b">
        <v>0</v>
      </c>
      <c r="L35" s="53"/>
      <c r="M35" s="54"/>
      <c r="N35" s="55"/>
    </row>
    <row r="36">
      <c r="A36" s="49" t="s">
        <v>85</v>
      </c>
      <c r="B36" s="49"/>
      <c r="C36" s="49" t="s">
        <v>103</v>
      </c>
      <c r="D36" s="50">
        <v>45904.0</v>
      </c>
      <c r="E36" s="50">
        <v>45904.0</v>
      </c>
      <c r="F36" s="49" t="b">
        <v>1</v>
      </c>
      <c r="G36" s="51">
        <v>45904.0</v>
      </c>
      <c r="H36" s="49" t="b">
        <v>1</v>
      </c>
      <c r="I36" s="51">
        <v>45905.0</v>
      </c>
      <c r="J36" s="52" t="b">
        <v>0</v>
      </c>
      <c r="K36" s="52" t="b">
        <v>0</v>
      </c>
      <c r="L36" s="53"/>
      <c r="M36" s="54"/>
      <c r="N36" s="55"/>
    </row>
    <row r="37">
      <c r="A37" s="49" t="s">
        <v>85</v>
      </c>
      <c r="B37" s="49"/>
      <c r="C37" s="49" t="s">
        <v>104</v>
      </c>
      <c r="D37" s="50">
        <v>45904.0</v>
      </c>
      <c r="E37" s="50">
        <v>45904.0</v>
      </c>
      <c r="F37" s="49" t="b">
        <v>1</v>
      </c>
      <c r="G37" s="51">
        <v>45904.0</v>
      </c>
      <c r="H37" s="49" t="b">
        <v>1</v>
      </c>
      <c r="I37" s="51">
        <v>45905.0</v>
      </c>
      <c r="J37" s="52" t="b">
        <v>0</v>
      </c>
      <c r="K37" s="52" t="b">
        <v>0</v>
      </c>
      <c r="L37" s="53"/>
      <c r="M37" s="54"/>
      <c r="N37" s="55"/>
    </row>
    <row r="38">
      <c r="A38" s="49" t="s">
        <v>85</v>
      </c>
      <c r="B38" s="49"/>
      <c r="C38" s="49" t="s">
        <v>105</v>
      </c>
      <c r="D38" s="50">
        <v>45904.0</v>
      </c>
      <c r="E38" s="50">
        <v>45904.0</v>
      </c>
      <c r="F38" s="49" t="b">
        <v>1</v>
      </c>
      <c r="G38" s="51">
        <v>45904.0</v>
      </c>
      <c r="H38" s="49" t="b">
        <v>1</v>
      </c>
      <c r="I38" s="51">
        <v>45905.0</v>
      </c>
      <c r="J38" s="52" t="b">
        <v>0</v>
      </c>
      <c r="K38" s="52" t="b">
        <v>0</v>
      </c>
      <c r="L38" s="53"/>
      <c r="M38" s="54"/>
      <c r="N38" s="55"/>
    </row>
    <row r="39">
      <c r="A39" s="49" t="s">
        <v>85</v>
      </c>
      <c r="B39" s="49"/>
      <c r="C39" s="49" t="s">
        <v>106</v>
      </c>
      <c r="D39" s="50">
        <v>45904.0</v>
      </c>
      <c r="E39" s="50">
        <v>45904.0</v>
      </c>
      <c r="F39" s="49" t="b">
        <v>1</v>
      </c>
      <c r="G39" s="51">
        <v>45905.0</v>
      </c>
      <c r="H39" s="49" t="b">
        <v>1</v>
      </c>
      <c r="I39" s="51">
        <v>45906.0</v>
      </c>
      <c r="J39" s="52" t="b">
        <v>0</v>
      </c>
      <c r="K39" s="52" t="b">
        <v>0</v>
      </c>
      <c r="L39" s="53"/>
      <c r="M39" s="54"/>
      <c r="N39" s="55"/>
    </row>
    <row r="40">
      <c r="A40" s="49" t="s">
        <v>85</v>
      </c>
      <c r="B40" s="49"/>
      <c r="C40" s="49" t="s">
        <v>107</v>
      </c>
      <c r="D40" s="50">
        <v>45904.0</v>
      </c>
      <c r="E40" s="50">
        <v>45904.0</v>
      </c>
      <c r="F40" s="49" t="b">
        <v>1</v>
      </c>
      <c r="G40" s="51">
        <v>45905.0</v>
      </c>
      <c r="H40" s="49" t="b">
        <v>1</v>
      </c>
      <c r="I40" s="51">
        <v>45906.0</v>
      </c>
      <c r="J40" s="52" t="b">
        <v>0</v>
      </c>
      <c r="K40" s="52" t="b">
        <v>0</v>
      </c>
      <c r="L40" s="53"/>
      <c r="M40" s="54"/>
      <c r="N40" s="55"/>
    </row>
    <row r="41">
      <c r="A41" s="49" t="s">
        <v>85</v>
      </c>
      <c r="B41" s="49"/>
      <c r="C41" s="49" t="s">
        <v>108</v>
      </c>
      <c r="D41" s="50">
        <v>45904.0</v>
      </c>
      <c r="E41" s="50">
        <v>45904.0</v>
      </c>
      <c r="F41" s="49" t="b">
        <v>1</v>
      </c>
      <c r="G41" s="51">
        <v>45905.0</v>
      </c>
      <c r="H41" s="49" t="b">
        <v>1</v>
      </c>
      <c r="I41" s="51">
        <v>45906.0</v>
      </c>
      <c r="J41" s="52" t="b">
        <v>0</v>
      </c>
      <c r="K41" s="52" t="b">
        <v>0</v>
      </c>
      <c r="L41" s="53"/>
      <c r="M41" s="54"/>
      <c r="N41" s="55"/>
    </row>
    <row r="42">
      <c r="A42" s="49" t="s">
        <v>85</v>
      </c>
      <c r="B42" s="49"/>
      <c r="C42" s="49" t="s">
        <v>109</v>
      </c>
      <c r="D42" s="50">
        <v>45904.0</v>
      </c>
      <c r="E42" s="50">
        <v>45904.0</v>
      </c>
      <c r="F42" s="49" t="b">
        <v>1</v>
      </c>
      <c r="G42" s="51">
        <v>45905.0</v>
      </c>
      <c r="H42" s="49" t="b">
        <v>1</v>
      </c>
      <c r="I42" s="51">
        <v>45906.0</v>
      </c>
      <c r="J42" s="52" t="b">
        <v>0</v>
      </c>
      <c r="K42" s="52" t="b">
        <v>0</v>
      </c>
      <c r="L42" s="53"/>
      <c r="M42" s="54"/>
      <c r="N42" s="55"/>
    </row>
    <row r="43">
      <c r="A43" s="49" t="s">
        <v>85</v>
      </c>
      <c r="B43" s="49"/>
      <c r="C43" s="49" t="s">
        <v>110</v>
      </c>
      <c r="D43" s="50">
        <v>45904.0</v>
      </c>
      <c r="E43" s="50">
        <v>45904.0</v>
      </c>
      <c r="F43" s="49" t="b">
        <v>1</v>
      </c>
      <c r="G43" s="51">
        <v>45905.0</v>
      </c>
      <c r="H43" s="49" t="b">
        <v>1</v>
      </c>
      <c r="I43" s="51">
        <v>45906.0</v>
      </c>
      <c r="J43" s="52" t="b">
        <v>0</v>
      </c>
      <c r="K43" s="52" t="b">
        <v>0</v>
      </c>
      <c r="L43" s="53"/>
      <c r="M43" s="54"/>
      <c r="N43" s="55"/>
    </row>
    <row r="44">
      <c r="A44" s="49" t="s">
        <v>85</v>
      </c>
      <c r="B44" s="49"/>
      <c r="C44" s="49" t="s">
        <v>111</v>
      </c>
      <c r="D44" s="50">
        <v>45904.0</v>
      </c>
      <c r="E44" s="50">
        <v>45904.0</v>
      </c>
      <c r="F44" s="49" t="b">
        <v>1</v>
      </c>
      <c r="G44" s="51">
        <v>45905.0</v>
      </c>
      <c r="H44" s="49" t="b">
        <v>1</v>
      </c>
      <c r="I44" s="51">
        <v>45906.0</v>
      </c>
      <c r="J44" s="52" t="b">
        <v>0</v>
      </c>
      <c r="K44" s="52" t="b">
        <v>0</v>
      </c>
      <c r="L44" s="53"/>
      <c r="M44" s="54"/>
      <c r="N44" s="55"/>
    </row>
    <row r="45">
      <c r="A45" s="49" t="s">
        <v>85</v>
      </c>
      <c r="B45" s="49"/>
      <c r="C45" s="49" t="s">
        <v>112</v>
      </c>
      <c r="D45" s="50">
        <v>45904.0</v>
      </c>
      <c r="E45" s="50">
        <v>45904.0</v>
      </c>
      <c r="F45" s="49" t="b">
        <v>1</v>
      </c>
      <c r="G45" s="51">
        <v>45905.0</v>
      </c>
      <c r="H45" s="49" t="b">
        <v>1</v>
      </c>
      <c r="I45" s="51">
        <v>45906.0</v>
      </c>
      <c r="J45" s="52" t="b">
        <v>0</v>
      </c>
      <c r="K45" s="52" t="b">
        <v>0</v>
      </c>
      <c r="L45" s="53"/>
      <c r="M45" s="54"/>
      <c r="N45" s="55"/>
    </row>
    <row r="46">
      <c r="A46" s="49" t="s">
        <v>85</v>
      </c>
      <c r="B46" s="49"/>
      <c r="C46" s="49" t="s">
        <v>113</v>
      </c>
      <c r="D46" s="50">
        <v>45904.0</v>
      </c>
      <c r="E46" s="50">
        <v>45904.0</v>
      </c>
      <c r="F46" s="49" t="b">
        <v>1</v>
      </c>
      <c r="G46" s="51">
        <v>45905.0</v>
      </c>
      <c r="H46" s="49" t="b">
        <v>1</v>
      </c>
      <c r="I46" s="51">
        <v>45906.0</v>
      </c>
      <c r="J46" s="52" t="b">
        <v>0</v>
      </c>
      <c r="K46" s="52" t="b">
        <v>0</v>
      </c>
      <c r="L46" s="53"/>
      <c r="M46" s="54"/>
      <c r="N46" s="55"/>
    </row>
    <row r="47">
      <c r="A47" s="49" t="s">
        <v>85</v>
      </c>
      <c r="B47" s="49"/>
      <c r="C47" s="49" t="s">
        <v>114</v>
      </c>
      <c r="D47" s="50">
        <v>45904.0</v>
      </c>
      <c r="E47" s="50">
        <v>45904.0</v>
      </c>
      <c r="F47" s="49" t="b">
        <v>1</v>
      </c>
      <c r="G47" s="51">
        <v>45905.0</v>
      </c>
      <c r="H47" s="49" t="b">
        <v>1</v>
      </c>
      <c r="I47" s="51">
        <v>45906.0</v>
      </c>
      <c r="J47" s="52" t="b">
        <v>0</v>
      </c>
      <c r="K47" s="52" t="b">
        <v>0</v>
      </c>
      <c r="L47" s="53"/>
      <c r="M47" s="54"/>
      <c r="N47" s="55"/>
    </row>
    <row r="48">
      <c r="A48" s="49" t="s">
        <v>85</v>
      </c>
      <c r="B48" s="49"/>
      <c r="C48" s="49" t="s">
        <v>115</v>
      </c>
      <c r="D48" s="50">
        <v>45904.0</v>
      </c>
      <c r="E48" s="50">
        <v>45904.0</v>
      </c>
      <c r="F48" s="49" t="b">
        <v>1</v>
      </c>
      <c r="G48" s="51">
        <v>45905.0</v>
      </c>
      <c r="H48" s="49" t="b">
        <v>1</v>
      </c>
      <c r="I48" s="51">
        <v>45906.0</v>
      </c>
      <c r="J48" s="52" t="b">
        <v>0</v>
      </c>
      <c r="K48" s="52" t="b">
        <v>0</v>
      </c>
      <c r="L48" s="53"/>
      <c r="M48" s="54"/>
      <c r="N48" s="55"/>
    </row>
    <row r="49">
      <c r="A49" s="49" t="s">
        <v>85</v>
      </c>
      <c r="B49" s="49"/>
      <c r="C49" s="49" t="s">
        <v>116</v>
      </c>
      <c r="D49" s="50">
        <v>45904.0</v>
      </c>
      <c r="E49" s="50">
        <v>45904.0</v>
      </c>
      <c r="F49" s="49" t="b">
        <v>1</v>
      </c>
      <c r="G49" s="51">
        <v>45905.0</v>
      </c>
      <c r="H49" s="49" t="b">
        <v>1</v>
      </c>
      <c r="I49" s="51">
        <v>45906.0</v>
      </c>
      <c r="J49" s="52" t="b">
        <v>0</v>
      </c>
      <c r="K49" s="52" t="b">
        <v>0</v>
      </c>
      <c r="L49" s="53"/>
      <c r="M49" s="54"/>
      <c r="N49" s="55"/>
    </row>
    <row r="50">
      <c r="A50" s="49" t="s">
        <v>85</v>
      </c>
      <c r="B50" s="49"/>
      <c r="C50" s="49" t="s">
        <v>117</v>
      </c>
      <c r="D50" s="50">
        <v>45904.0</v>
      </c>
      <c r="E50" s="50">
        <v>45904.0</v>
      </c>
      <c r="F50" s="49" t="b">
        <v>1</v>
      </c>
      <c r="G50" s="51">
        <v>45905.0</v>
      </c>
      <c r="H50" s="49" t="b">
        <v>1</v>
      </c>
      <c r="I50" s="51">
        <v>45906.0</v>
      </c>
      <c r="J50" s="52" t="b">
        <v>0</v>
      </c>
      <c r="K50" s="52" t="b">
        <v>0</v>
      </c>
      <c r="L50" s="53"/>
      <c r="M50" s="54"/>
      <c r="N50" s="55"/>
    </row>
    <row r="51">
      <c r="A51" s="49" t="s">
        <v>85</v>
      </c>
      <c r="B51" s="49"/>
      <c r="C51" s="49" t="s">
        <v>118</v>
      </c>
      <c r="D51" s="50">
        <v>45904.0</v>
      </c>
      <c r="E51" s="50">
        <v>45904.0</v>
      </c>
      <c r="F51" s="49" t="b">
        <v>1</v>
      </c>
      <c r="G51" s="51">
        <v>45906.0</v>
      </c>
      <c r="H51" s="49" t="b">
        <v>1</v>
      </c>
      <c r="I51" s="51">
        <v>45907.0</v>
      </c>
      <c r="J51" s="52" t="b">
        <v>0</v>
      </c>
      <c r="K51" s="52" t="b">
        <v>0</v>
      </c>
      <c r="L51" s="53"/>
      <c r="M51" s="54"/>
      <c r="N51" s="55"/>
    </row>
    <row r="52">
      <c r="A52" s="49" t="s">
        <v>85</v>
      </c>
      <c r="B52" s="49"/>
      <c r="C52" s="49" t="s">
        <v>119</v>
      </c>
      <c r="D52" s="50">
        <v>45904.0</v>
      </c>
      <c r="E52" s="50">
        <v>45904.0</v>
      </c>
      <c r="F52" s="49" t="b">
        <v>1</v>
      </c>
      <c r="G52" s="51">
        <v>45906.0</v>
      </c>
      <c r="H52" s="49" t="b">
        <v>1</v>
      </c>
      <c r="I52" s="51">
        <v>45907.0</v>
      </c>
      <c r="J52" s="52" t="b">
        <v>0</v>
      </c>
      <c r="K52" s="52" t="b">
        <v>0</v>
      </c>
      <c r="L52" s="53"/>
      <c r="M52" s="54"/>
      <c r="N52" s="55"/>
    </row>
    <row r="53">
      <c r="A53" s="49" t="s">
        <v>85</v>
      </c>
      <c r="B53" s="49"/>
      <c r="C53" s="49" t="s">
        <v>120</v>
      </c>
      <c r="D53" s="50">
        <v>45904.0</v>
      </c>
      <c r="E53" s="50">
        <v>45904.0</v>
      </c>
      <c r="F53" s="49" t="b">
        <v>1</v>
      </c>
      <c r="G53" s="51">
        <v>45906.0</v>
      </c>
      <c r="H53" s="49" t="b">
        <v>1</v>
      </c>
      <c r="I53" s="51">
        <v>45907.0</v>
      </c>
      <c r="J53" s="52" t="b">
        <v>0</v>
      </c>
      <c r="K53" s="52" t="b">
        <v>0</v>
      </c>
      <c r="L53" s="53"/>
      <c r="M53" s="54"/>
      <c r="N53" s="55"/>
    </row>
    <row r="54">
      <c r="A54" s="49" t="s">
        <v>85</v>
      </c>
      <c r="B54" s="49"/>
      <c r="C54" s="49" t="s">
        <v>121</v>
      </c>
      <c r="D54" s="50">
        <v>45904.0</v>
      </c>
      <c r="E54" s="50">
        <v>45904.0</v>
      </c>
      <c r="F54" s="49" t="b">
        <v>1</v>
      </c>
      <c r="G54" s="51">
        <v>45906.0</v>
      </c>
      <c r="H54" s="49" t="b">
        <v>1</v>
      </c>
      <c r="I54" s="51">
        <v>45907.0</v>
      </c>
      <c r="J54" s="52" t="b">
        <v>0</v>
      </c>
      <c r="K54" s="52" t="b">
        <v>0</v>
      </c>
      <c r="L54" s="53"/>
      <c r="M54" s="54"/>
      <c r="N54" s="55"/>
    </row>
    <row r="55">
      <c r="A55" s="49" t="s">
        <v>85</v>
      </c>
      <c r="B55" s="49"/>
      <c r="C55" s="49" t="s">
        <v>122</v>
      </c>
      <c r="D55" s="50">
        <v>45904.0</v>
      </c>
      <c r="E55" s="50">
        <v>45904.0</v>
      </c>
      <c r="F55" s="49" t="b">
        <v>1</v>
      </c>
      <c r="G55" s="51">
        <v>45906.0</v>
      </c>
      <c r="H55" s="49" t="b">
        <v>1</v>
      </c>
      <c r="I55" s="51">
        <v>45907.0</v>
      </c>
      <c r="J55" s="52" t="b">
        <v>0</v>
      </c>
      <c r="K55" s="52" t="b">
        <v>0</v>
      </c>
      <c r="L55" s="53"/>
      <c r="M55" s="54"/>
      <c r="N55" s="55"/>
    </row>
    <row r="56">
      <c r="A56" s="49" t="s">
        <v>85</v>
      </c>
      <c r="B56" s="49"/>
      <c r="C56" s="49" t="s">
        <v>123</v>
      </c>
      <c r="D56" s="50">
        <v>45904.0</v>
      </c>
      <c r="E56" s="50">
        <v>45904.0</v>
      </c>
      <c r="F56" s="49" t="b">
        <v>1</v>
      </c>
      <c r="G56" s="51">
        <v>45906.0</v>
      </c>
      <c r="H56" s="49" t="b">
        <v>1</v>
      </c>
      <c r="I56" s="51">
        <v>45907.0</v>
      </c>
      <c r="J56" s="52" t="b">
        <v>0</v>
      </c>
      <c r="K56" s="52" t="b">
        <v>0</v>
      </c>
      <c r="L56" s="53"/>
      <c r="M56" s="54"/>
      <c r="N56" s="55"/>
    </row>
    <row r="57">
      <c r="A57" s="49" t="s">
        <v>85</v>
      </c>
      <c r="B57" s="49"/>
      <c r="C57" s="49" t="s">
        <v>124</v>
      </c>
      <c r="D57" s="50">
        <v>45904.0</v>
      </c>
      <c r="E57" s="50">
        <v>45904.0</v>
      </c>
      <c r="F57" s="49" t="b">
        <v>1</v>
      </c>
      <c r="G57" s="51">
        <v>45906.0</v>
      </c>
      <c r="H57" s="49" t="b">
        <v>1</v>
      </c>
      <c r="I57" s="51">
        <v>45907.0</v>
      </c>
      <c r="J57" s="52" t="b">
        <v>0</v>
      </c>
      <c r="K57" s="52" t="b">
        <v>0</v>
      </c>
      <c r="L57" s="53"/>
      <c r="M57" s="54"/>
      <c r="N57" s="55"/>
    </row>
    <row r="58">
      <c r="A58" s="49" t="s">
        <v>85</v>
      </c>
      <c r="B58" s="49"/>
      <c r="C58" s="49" t="s">
        <v>125</v>
      </c>
      <c r="D58" s="50">
        <v>45904.0</v>
      </c>
      <c r="E58" s="50">
        <v>45904.0</v>
      </c>
      <c r="F58" s="49" t="b">
        <v>1</v>
      </c>
      <c r="G58" s="51">
        <v>45906.0</v>
      </c>
      <c r="H58" s="49" t="b">
        <v>1</v>
      </c>
      <c r="I58" s="51">
        <v>45907.0</v>
      </c>
      <c r="J58" s="52" t="b">
        <v>0</v>
      </c>
      <c r="K58" s="52" t="b">
        <v>0</v>
      </c>
      <c r="L58" s="53"/>
      <c r="M58" s="54"/>
      <c r="N58" s="55"/>
    </row>
    <row r="59">
      <c r="A59" s="49" t="s">
        <v>85</v>
      </c>
      <c r="B59" s="49"/>
      <c r="C59" s="49" t="s">
        <v>126</v>
      </c>
      <c r="D59" s="50">
        <v>45904.0</v>
      </c>
      <c r="E59" s="50">
        <v>45904.0</v>
      </c>
      <c r="F59" s="49" t="b">
        <v>1</v>
      </c>
      <c r="G59" s="51">
        <v>45906.0</v>
      </c>
      <c r="H59" s="49" t="b">
        <v>1</v>
      </c>
      <c r="I59" s="51">
        <v>45907.0</v>
      </c>
      <c r="J59" s="52" t="b">
        <v>0</v>
      </c>
      <c r="K59" s="52" t="b">
        <v>0</v>
      </c>
      <c r="L59" s="53"/>
      <c r="M59" s="54"/>
      <c r="N59" s="55"/>
    </row>
    <row r="60">
      <c r="A60" s="49" t="s">
        <v>85</v>
      </c>
      <c r="B60" s="49"/>
      <c r="C60" s="49" t="s">
        <v>127</v>
      </c>
      <c r="D60" s="50">
        <v>45904.0</v>
      </c>
      <c r="E60" s="50">
        <v>45904.0</v>
      </c>
      <c r="F60" s="49" t="b">
        <v>1</v>
      </c>
      <c r="G60" s="51">
        <v>45906.0</v>
      </c>
      <c r="H60" s="49" t="b">
        <v>1</v>
      </c>
      <c r="I60" s="51">
        <v>45907.0</v>
      </c>
      <c r="J60" s="52" t="b">
        <v>0</v>
      </c>
      <c r="K60" s="52" t="b">
        <v>0</v>
      </c>
      <c r="L60" s="53"/>
      <c r="M60" s="54"/>
      <c r="N60" s="55"/>
    </row>
    <row r="61">
      <c r="A61" s="49" t="s">
        <v>85</v>
      </c>
      <c r="B61" s="49"/>
      <c r="C61" s="49" t="s">
        <v>128</v>
      </c>
      <c r="D61" s="50">
        <v>45904.0</v>
      </c>
      <c r="E61" s="50">
        <v>45904.0</v>
      </c>
      <c r="F61" s="49" t="b">
        <v>1</v>
      </c>
      <c r="G61" s="51">
        <v>45906.0</v>
      </c>
      <c r="H61" s="49" t="b">
        <v>1</v>
      </c>
      <c r="I61" s="51">
        <v>45907.0</v>
      </c>
      <c r="J61" s="52" t="b">
        <v>0</v>
      </c>
      <c r="K61" s="52" t="b">
        <v>0</v>
      </c>
      <c r="L61" s="53"/>
      <c r="M61" s="54"/>
      <c r="N61" s="55"/>
    </row>
    <row r="62">
      <c r="A62" s="49" t="s">
        <v>85</v>
      </c>
      <c r="B62" s="49"/>
      <c r="C62" s="49" t="s">
        <v>129</v>
      </c>
      <c r="D62" s="50">
        <v>45904.0</v>
      </c>
      <c r="E62" s="50">
        <v>45904.0</v>
      </c>
      <c r="F62" s="49" t="b">
        <v>1</v>
      </c>
      <c r="G62" s="51">
        <v>45906.0</v>
      </c>
      <c r="H62" s="49" t="b">
        <v>1</v>
      </c>
      <c r="I62" s="51">
        <v>45907.0</v>
      </c>
      <c r="J62" s="52" t="b">
        <v>0</v>
      </c>
      <c r="K62" s="52" t="b">
        <v>0</v>
      </c>
      <c r="L62" s="53"/>
      <c r="M62" s="54"/>
      <c r="N62" s="55"/>
    </row>
    <row r="63">
      <c r="A63" s="49" t="s">
        <v>85</v>
      </c>
      <c r="B63" s="49"/>
      <c r="C63" s="49" t="s">
        <v>130</v>
      </c>
      <c r="D63" s="50">
        <v>45904.0</v>
      </c>
      <c r="E63" s="50">
        <v>45904.0</v>
      </c>
      <c r="F63" s="49" t="b">
        <v>1</v>
      </c>
      <c r="G63" s="51">
        <v>45907.0</v>
      </c>
      <c r="H63" s="49" t="b">
        <v>1</v>
      </c>
      <c r="I63" s="51">
        <v>45908.0</v>
      </c>
      <c r="J63" s="52" t="b">
        <v>0</v>
      </c>
      <c r="K63" s="52" t="b">
        <v>0</v>
      </c>
      <c r="L63" s="53"/>
      <c r="M63" s="54"/>
      <c r="N63" s="55"/>
    </row>
    <row r="64">
      <c r="A64" s="49" t="s">
        <v>85</v>
      </c>
      <c r="B64" s="49"/>
      <c r="C64" s="49" t="s">
        <v>131</v>
      </c>
      <c r="D64" s="50">
        <v>45904.0</v>
      </c>
      <c r="E64" s="50">
        <v>45904.0</v>
      </c>
      <c r="F64" s="49" t="b">
        <v>1</v>
      </c>
      <c r="G64" s="51">
        <v>45907.0</v>
      </c>
      <c r="H64" s="49" t="b">
        <v>1</v>
      </c>
      <c r="I64" s="51">
        <v>45908.0</v>
      </c>
      <c r="J64" s="52" t="b">
        <v>0</v>
      </c>
      <c r="K64" s="52" t="b">
        <v>0</v>
      </c>
      <c r="L64" s="53"/>
      <c r="M64" s="54"/>
      <c r="N64" s="55"/>
    </row>
    <row r="65">
      <c r="A65" s="49" t="s">
        <v>85</v>
      </c>
      <c r="B65" s="49"/>
      <c r="C65" s="49" t="s">
        <v>132</v>
      </c>
      <c r="D65" s="50">
        <v>45904.0</v>
      </c>
      <c r="E65" s="50">
        <v>45904.0</v>
      </c>
      <c r="F65" s="49" t="b">
        <v>1</v>
      </c>
      <c r="G65" s="51">
        <v>45907.0</v>
      </c>
      <c r="H65" s="49" t="b">
        <v>1</v>
      </c>
      <c r="I65" s="51">
        <v>45908.0</v>
      </c>
      <c r="J65" s="52" t="b">
        <v>0</v>
      </c>
      <c r="K65" s="52" t="b">
        <v>0</v>
      </c>
      <c r="L65" s="53"/>
      <c r="M65" s="54"/>
      <c r="N65" s="55"/>
    </row>
    <row r="66">
      <c r="A66" s="49" t="s">
        <v>85</v>
      </c>
      <c r="B66" s="49"/>
      <c r="C66" s="49" t="s">
        <v>133</v>
      </c>
      <c r="D66" s="50">
        <v>45904.0</v>
      </c>
      <c r="E66" s="50">
        <v>45904.0</v>
      </c>
      <c r="F66" s="49" t="b">
        <v>1</v>
      </c>
      <c r="G66" s="51">
        <v>45907.0</v>
      </c>
      <c r="H66" s="49" t="b">
        <v>1</v>
      </c>
      <c r="I66" s="51">
        <v>45908.0</v>
      </c>
      <c r="J66" s="52" t="b">
        <v>0</v>
      </c>
      <c r="K66" s="52" t="b">
        <v>0</v>
      </c>
      <c r="L66" s="53"/>
      <c r="M66" s="54"/>
      <c r="N66" s="55"/>
    </row>
    <row r="67">
      <c r="A67" s="49" t="s">
        <v>85</v>
      </c>
      <c r="B67" s="49"/>
      <c r="C67" s="49" t="s">
        <v>134</v>
      </c>
      <c r="D67" s="50">
        <v>45904.0</v>
      </c>
      <c r="E67" s="50">
        <v>45904.0</v>
      </c>
      <c r="F67" s="49" t="b">
        <v>1</v>
      </c>
      <c r="G67" s="51">
        <v>45907.0</v>
      </c>
      <c r="H67" s="49" t="b">
        <v>1</v>
      </c>
      <c r="I67" s="51">
        <v>45908.0</v>
      </c>
      <c r="J67" s="52" t="b">
        <v>0</v>
      </c>
      <c r="K67" s="52" t="b">
        <v>0</v>
      </c>
      <c r="L67" s="53"/>
      <c r="M67" s="54"/>
      <c r="N67" s="55"/>
    </row>
    <row r="68">
      <c r="A68" s="49" t="s">
        <v>85</v>
      </c>
      <c r="B68" s="49"/>
      <c r="C68" s="49" t="s">
        <v>135</v>
      </c>
      <c r="D68" s="50">
        <v>45904.0</v>
      </c>
      <c r="E68" s="50">
        <v>45904.0</v>
      </c>
      <c r="F68" s="49" t="b">
        <v>1</v>
      </c>
      <c r="G68" s="51">
        <v>45907.0</v>
      </c>
      <c r="H68" s="49" t="b">
        <v>1</v>
      </c>
      <c r="I68" s="51">
        <v>45908.0</v>
      </c>
      <c r="J68" s="52" t="b">
        <v>0</v>
      </c>
      <c r="K68" s="52" t="b">
        <v>0</v>
      </c>
      <c r="L68" s="53"/>
      <c r="M68" s="54"/>
      <c r="N68" s="55"/>
    </row>
    <row r="69">
      <c r="A69" s="49" t="s">
        <v>85</v>
      </c>
      <c r="B69" s="49"/>
      <c r="C69" s="49" t="s">
        <v>136</v>
      </c>
      <c r="D69" s="50">
        <v>45904.0</v>
      </c>
      <c r="E69" s="50">
        <v>45904.0</v>
      </c>
      <c r="F69" s="49" t="b">
        <v>1</v>
      </c>
      <c r="G69" s="51">
        <v>45907.0</v>
      </c>
      <c r="H69" s="49" t="b">
        <v>1</v>
      </c>
      <c r="I69" s="51">
        <v>45908.0</v>
      </c>
      <c r="J69" s="52" t="b">
        <v>0</v>
      </c>
      <c r="K69" s="52" t="b">
        <v>0</v>
      </c>
      <c r="L69" s="53"/>
      <c r="M69" s="54"/>
      <c r="N69" s="55"/>
    </row>
    <row r="70">
      <c r="A70" s="49" t="s">
        <v>85</v>
      </c>
      <c r="B70" s="49"/>
      <c r="C70" s="49" t="s">
        <v>137</v>
      </c>
      <c r="D70" s="50">
        <v>45904.0</v>
      </c>
      <c r="E70" s="50">
        <v>45904.0</v>
      </c>
      <c r="F70" s="49" t="b">
        <v>1</v>
      </c>
      <c r="G70" s="51">
        <v>45907.0</v>
      </c>
      <c r="H70" s="49" t="b">
        <v>1</v>
      </c>
      <c r="I70" s="51">
        <v>45908.0</v>
      </c>
      <c r="J70" s="52" t="b">
        <v>0</v>
      </c>
      <c r="K70" s="52" t="b">
        <v>0</v>
      </c>
      <c r="L70" s="53"/>
      <c r="M70" s="54"/>
      <c r="N70" s="55"/>
    </row>
    <row r="71">
      <c r="A71" s="49" t="s">
        <v>85</v>
      </c>
      <c r="B71" s="49"/>
      <c r="C71" s="49" t="s">
        <v>138</v>
      </c>
      <c r="D71" s="50">
        <v>45904.0</v>
      </c>
      <c r="E71" s="50">
        <v>45904.0</v>
      </c>
      <c r="F71" s="49" t="b">
        <v>1</v>
      </c>
      <c r="G71" s="51">
        <v>45907.0</v>
      </c>
      <c r="H71" s="49" t="b">
        <v>1</v>
      </c>
      <c r="I71" s="51">
        <v>45908.0</v>
      </c>
      <c r="J71" s="52" t="b">
        <v>0</v>
      </c>
      <c r="K71" s="52" t="b">
        <v>0</v>
      </c>
      <c r="L71" s="53"/>
      <c r="M71" s="54"/>
      <c r="N71" s="55"/>
    </row>
    <row r="72">
      <c r="A72" s="49" t="s">
        <v>85</v>
      </c>
      <c r="B72" s="49"/>
      <c r="C72" s="49" t="s">
        <v>139</v>
      </c>
      <c r="D72" s="50">
        <v>45904.0</v>
      </c>
      <c r="E72" s="50">
        <v>45904.0</v>
      </c>
      <c r="F72" s="49" t="b">
        <v>1</v>
      </c>
      <c r="G72" s="51">
        <v>45907.0</v>
      </c>
      <c r="H72" s="49" t="b">
        <v>1</v>
      </c>
      <c r="I72" s="51">
        <v>45908.0</v>
      </c>
      <c r="J72" s="52" t="b">
        <v>0</v>
      </c>
      <c r="K72" s="52" t="b">
        <v>0</v>
      </c>
      <c r="L72" s="53"/>
      <c r="M72" s="54"/>
      <c r="N72" s="55"/>
    </row>
    <row r="73">
      <c r="A73" s="49" t="s">
        <v>85</v>
      </c>
      <c r="B73" s="49"/>
      <c r="C73" s="49" t="s">
        <v>140</v>
      </c>
      <c r="D73" s="50">
        <v>45904.0</v>
      </c>
      <c r="E73" s="50">
        <v>45904.0</v>
      </c>
      <c r="F73" s="49" t="b">
        <v>1</v>
      </c>
      <c r="G73" s="51">
        <v>45907.0</v>
      </c>
      <c r="H73" s="49" t="b">
        <v>1</v>
      </c>
      <c r="I73" s="51">
        <v>45908.0</v>
      </c>
      <c r="J73" s="52" t="b">
        <v>0</v>
      </c>
      <c r="K73" s="52" t="b">
        <v>0</v>
      </c>
      <c r="L73" s="53"/>
      <c r="M73" s="54"/>
      <c r="N73" s="55"/>
    </row>
    <row r="74">
      <c r="A74" s="49" t="s">
        <v>85</v>
      </c>
      <c r="B74" s="49"/>
      <c r="C74" s="49" t="s">
        <v>141</v>
      </c>
      <c r="D74" s="50">
        <v>45904.0</v>
      </c>
      <c r="E74" s="50">
        <v>45904.0</v>
      </c>
      <c r="F74" s="49" t="b">
        <v>1</v>
      </c>
      <c r="G74" s="51">
        <v>45907.0</v>
      </c>
      <c r="H74" s="49" t="b">
        <v>1</v>
      </c>
      <c r="I74" s="51">
        <v>45908.0</v>
      </c>
      <c r="J74" s="52" t="b">
        <v>0</v>
      </c>
      <c r="K74" s="52" t="b">
        <v>0</v>
      </c>
      <c r="L74" s="53"/>
      <c r="M74" s="54"/>
      <c r="N74" s="55"/>
    </row>
    <row r="75">
      <c r="A75" s="49" t="s">
        <v>85</v>
      </c>
      <c r="B75" s="49"/>
      <c r="C75" s="49" t="s">
        <v>142</v>
      </c>
      <c r="D75" s="50">
        <v>45904.0</v>
      </c>
      <c r="E75" s="50">
        <v>45904.0</v>
      </c>
      <c r="F75" s="52" t="b">
        <v>0</v>
      </c>
      <c r="G75" s="56"/>
      <c r="H75" s="52" t="b">
        <v>0</v>
      </c>
      <c r="I75" s="56"/>
      <c r="J75" s="52" t="b">
        <v>0</v>
      </c>
      <c r="K75" s="52" t="b">
        <v>0</v>
      </c>
      <c r="L75" s="53"/>
      <c r="M75" s="54"/>
      <c r="N75" s="55"/>
    </row>
    <row r="76">
      <c r="A76" s="49" t="s">
        <v>85</v>
      </c>
      <c r="B76" s="49"/>
      <c r="C76" s="49" t="s">
        <v>143</v>
      </c>
      <c r="D76" s="50">
        <v>45904.0</v>
      </c>
      <c r="E76" s="50">
        <v>45904.0</v>
      </c>
      <c r="F76" s="52" t="b">
        <v>0</v>
      </c>
      <c r="G76" s="56"/>
      <c r="H76" s="52" t="b">
        <v>0</v>
      </c>
      <c r="I76" s="56"/>
      <c r="J76" s="52" t="b">
        <v>0</v>
      </c>
      <c r="K76" s="52" t="b">
        <v>0</v>
      </c>
      <c r="L76" s="53"/>
      <c r="M76" s="54"/>
      <c r="N76" s="55"/>
    </row>
    <row r="77">
      <c r="A77" s="49" t="s">
        <v>85</v>
      </c>
      <c r="B77" s="49"/>
      <c r="C77" s="49" t="s">
        <v>144</v>
      </c>
      <c r="D77" s="50">
        <v>45904.0</v>
      </c>
      <c r="E77" s="50">
        <v>45904.0</v>
      </c>
      <c r="F77" s="52" t="b">
        <v>0</v>
      </c>
      <c r="G77" s="56"/>
      <c r="H77" s="52" t="b">
        <v>0</v>
      </c>
      <c r="I77" s="56"/>
      <c r="J77" s="52" t="b">
        <v>0</v>
      </c>
      <c r="K77" s="52" t="b">
        <v>0</v>
      </c>
      <c r="L77" s="53"/>
      <c r="M77" s="54"/>
      <c r="N77" s="55"/>
    </row>
    <row r="78">
      <c r="A78" s="49" t="s">
        <v>85</v>
      </c>
      <c r="B78" s="49"/>
      <c r="C78" s="49" t="s">
        <v>145</v>
      </c>
      <c r="D78" s="50">
        <v>45904.0</v>
      </c>
      <c r="E78" s="50">
        <v>45904.0</v>
      </c>
      <c r="F78" s="52" t="b">
        <v>0</v>
      </c>
      <c r="G78" s="56"/>
      <c r="H78" s="52" t="b">
        <v>0</v>
      </c>
      <c r="I78" s="56"/>
      <c r="J78" s="52" t="b">
        <v>0</v>
      </c>
      <c r="K78" s="52" t="b">
        <v>0</v>
      </c>
      <c r="L78" s="53"/>
      <c r="M78" s="54"/>
      <c r="N78" s="55"/>
    </row>
    <row r="79">
      <c r="A79" s="49" t="s">
        <v>85</v>
      </c>
      <c r="B79" s="49"/>
      <c r="C79" s="49" t="s">
        <v>146</v>
      </c>
      <c r="D79" s="50">
        <v>45904.0</v>
      </c>
      <c r="E79" s="50">
        <v>45904.0</v>
      </c>
      <c r="F79" s="52" t="b">
        <v>0</v>
      </c>
      <c r="G79" s="56"/>
      <c r="H79" s="52" t="b">
        <v>0</v>
      </c>
      <c r="I79" s="56"/>
      <c r="J79" s="52" t="b">
        <v>0</v>
      </c>
      <c r="K79" s="52" t="b">
        <v>0</v>
      </c>
      <c r="L79" s="53"/>
      <c r="M79" s="54"/>
      <c r="N79" s="55"/>
    </row>
    <row r="80">
      <c r="A80" s="49" t="s">
        <v>85</v>
      </c>
      <c r="B80" s="49"/>
      <c r="C80" s="49" t="s">
        <v>147</v>
      </c>
      <c r="D80" s="50">
        <v>45904.0</v>
      </c>
      <c r="E80" s="50">
        <v>45904.0</v>
      </c>
      <c r="F80" s="52" t="b">
        <v>0</v>
      </c>
      <c r="G80" s="56"/>
      <c r="H80" s="52" t="b">
        <v>0</v>
      </c>
      <c r="I80" s="56"/>
      <c r="J80" s="52" t="b">
        <v>0</v>
      </c>
      <c r="K80" s="52" t="b">
        <v>0</v>
      </c>
      <c r="L80" s="53"/>
      <c r="M80" s="54"/>
      <c r="N80" s="55"/>
    </row>
    <row r="81">
      <c r="A81" s="49" t="s">
        <v>148</v>
      </c>
      <c r="B81" s="49"/>
      <c r="C81" s="49" t="s">
        <v>149</v>
      </c>
      <c r="D81" s="50">
        <v>45906.0</v>
      </c>
      <c r="E81" s="50">
        <v>45907.0</v>
      </c>
      <c r="F81" s="52" t="b">
        <v>0</v>
      </c>
      <c r="G81" s="56"/>
      <c r="H81" s="52" t="b">
        <v>0</v>
      </c>
      <c r="I81" s="56"/>
      <c r="J81" s="52" t="b">
        <v>0</v>
      </c>
      <c r="K81" s="52" t="b">
        <v>0</v>
      </c>
      <c r="L81" s="53"/>
      <c r="M81" s="54"/>
      <c r="N81" s="55"/>
    </row>
    <row r="82">
      <c r="A82" s="49" t="s">
        <v>148</v>
      </c>
      <c r="B82" s="49"/>
      <c r="C82" s="49" t="s">
        <v>150</v>
      </c>
      <c r="D82" s="50">
        <v>45906.0</v>
      </c>
      <c r="E82" s="50">
        <v>45907.0</v>
      </c>
      <c r="F82" s="52" t="b">
        <v>0</v>
      </c>
      <c r="G82" s="56"/>
      <c r="H82" s="52" t="b">
        <v>0</v>
      </c>
      <c r="I82" s="56"/>
      <c r="J82" s="52" t="b">
        <v>0</v>
      </c>
      <c r="K82" s="52" t="b">
        <v>0</v>
      </c>
      <c r="L82" s="53"/>
      <c r="M82" s="54"/>
      <c r="N82" s="55"/>
    </row>
    <row r="83">
      <c r="A83" s="49" t="s">
        <v>148</v>
      </c>
      <c r="B83" s="49"/>
      <c r="C83" s="49" t="s">
        <v>151</v>
      </c>
      <c r="D83" s="50">
        <v>45906.0</v>
      </c>
      <c r="E83" s="50">
        <v>45907.0</v>
      </c>
      <c r="F83" s="52" t="b">
        <v>0</v>
      </c>
      <c r="G83" s="56"/>
      <c r="H83" s="52" t="b">
        <v>0</v>
      </c>
      <c r="I83" s="56"/>
      <c r="J83" s="52" t="b">
        <v>0</v>
      </c>
      <c r="K83" s="52" t="b">
        <v>0</v>
      </c>
      <c r="L83" s="53"/>
      <c r="M83" s="54"/>
      <c r="N83" s="55"/>
    </row>
    <row r="84">
      <c r="A84" s="49" t="s">
        <v>148</v>
      </c>
      <c r="B84" s="49"/>
      <c r="C84" s="49" t="s">
        <v>152</v>
      </c>
      <c r="D84" s="50">
        <v>45906.0</v>
      </c>
      <c r="E84" s="50">
        <v>45907.0</v>
      </c>
      <c r="F84" s="52" t="b">
        <v>0</v>
      </c>
      <c r="G84" s="56"/>
      <c r="H84" s="52" t="b">
        <v>0</v>
      </c>
      <c r="I84" s="56"/>
      <c r="J84" s="52" t="b">
        <v>0</v>
      </c>
      <c r="K84" s="52" t="b">
        <v>0</v>
      </c>
      <c r="L84" s="53"/>
      <c r="M84" s="54"/>
      <c r="N84" s="55"/>
    </row>
    <row r="85">
      <c r="A85" s="49" t="s">
        <v>148</v>
      </c>
      <c r="B85" s="49"/>
      <c r="C85" s="49" t="s">
        <v>153</v>
      </c>
      <c r="D85" s="50">
        <v>45906.0</v>
      </c>
      <c r="E85" s="50">
        <v>45907.0</v>
      </c>
      <c r="F85" s="52" t="b">
        <v>0</v>
      </c>
      <c r="G85" s="56"/>
      <c r="H85" s="52" t="b">
        <v>0</v>
      </c>
      <c r="I85" s="56"/>
      <c r="J85" s="52" t="b">
        <v>0</v>
      </c>
      <c r="K85" s="52" t="b">
        <v>0</v>
      </c>
      <c r="L85" s="53"/>
      <c r="M85" s="54"/>
      <c r="N85" s="55"/>
    </row>
    <row r="86">
      <c r="A86" s="49" t="s">
        <v>148</v>
      </c>
      <c r="B86" s="49"/>
      <c r="C86" s="49" t="s">
        <v>154</v>
      </c>
      <c r="D86" s="50">
        <v>45906.0</v>
      </c>
      <c r="E86" s="50">
        <v>45907.0</v>
      </c>
      <c r="F86" s="52" t="b">
        <v>0</v>
      </c>
      <c r="G86" s="56"/>
      <c r="H86" s="52" t="b">
        <v>0</v>
      </c>
      <c r="I86" s="56"/>
      <c r="J86" s="52" t="b">
        <v>0</v>
      </c>
      <c r="K86" s="52" t="b">
        <v>0</v>
      </c>
      <c r="L86" s="53"/>
      <c r="M86" s="54"/>
      <c r="N86" s="55"/>
    </row>
    <row r="87">
      <c r="A87" s="49" t="s">
        <v>148</v>
      </c>
      <c r="B87" s="49"/>
      <c r="C87" s="49" t="s">
        <v>155</v>
      </c>
      <c r="D87" s="50">
        <v>45906.0</v>
      </c>
      <c r="E87" s="50">
        <v>45907.0</v>
      </c>
      <c r="F87" s="52" t="b">
        <v>0</v>
      </c>
      <c r="G87" s="56"/>
      <c r="H87" s="52" t="b">
        <v>0</v>
      </c>
      <c r="I87" s="56"/>
      <c r="J87" s="52" t="b">
        <v>0</v>
      </c>
      <c r="K87" s="52" t="b">
        <v>0</v>
      </c>
      <c r="L87" s="53"/>
      <c r="M87" s="54"/>
      <c r="N87" s="55"/>
    </row>
    <row r="88">
      <c r="A88" s="49" t="s">
        <v>148</v>
      </c>
      <c r="B88" s="49"/>
      <c r="C88" s="49" t="s">
        <v>156</v>
      </c>
      <c r="D88" s="50">
        <v>45906.0</v>
      </c>
      <c r="E88" s="50">
        <v>45907.0</v>
      </c>
      <c r="F88" s="52" t="b">
        <v>0</v>
      </c>
      <c r="G88" s="56"/>
      <c r="H88" s="52" t="b">
        <v>0</v>
      </c>
      <c r="I88" s="56"/>
      <c r="J88" s="52" t="b">
        <v>0</v>
      </c>
      <c r="K88" s="52" t="b">
        <v>0</v>
      </c>
      <c r="L88" s="53"/>
      <c r="M88" s="54"/>
      <c r="N88" s="55"/>
    </row>
    <row r="89">
      <c r="A89" s="49" t="s">
        <v>148</v>
      </c>
      <c r="B89" s="49"/>
      <c r="C89" s="49" t="s">
        <v>157</v>
      </c>
      <c r="D89" s="50">
        <v>45906.0</v>
      </c>
      <c r="E89" s="50">
        <v>45907.0</v>
      </c>
      <c r="F89" s="52" t="b">
        <v>0</v>
      </c>
      <c r="G89" s="56"/>
      <c r="H89" s="52" t="b">
        <v>0</v>
      </c>
      <c r="I89" s="56"/>
      <c r="J89" s="52" t="b">
        <v>0</v>
      </c>
      <c r="K89" s="52" t="b">
        <v>0</v>
      </c>
      <c r="L89" s="53"/>
      <c r="M89" s="54"/>
      <c r="N89" s="55"/>
    </row>
    <row r="90">
      <c r="A90" s="49" t="s">
        <v>148</v>
      </c>
      <c r="B90" s="49"/>
      <c r="C90" s="49" t="s">
        <v>158</v>
      </c>
      <c r="D90" s="50">
        <v>45906.0</v>
      </c>
      <c r="E90" s="50">
        <v>45907.0</v>
      </c>
      <c r="F90" s="52" t="b">
        <v>0</v>
      </c>
      <c r="G90" s="56"/>
      <c r="H90" s="52" t="b">
        <v>0</v>
      </c>
      <c r="I90" s="56"/>
      <c r="J90" s="52" t="b">
        <v>0</v>
      </c>
      <c r="K90" s="52" t="b">
        <v>0</v>
      </c>
      <c r="L90" s="53"/>
      <c r="M90" s="54"/>
      <c r="N90" s="55"/>
    </row>
    <row r="91">
      <c r="A91" s="49" t="s">
        <v>148</v>
      </c>
      <c r="B91" s="49"/>
      <c r="C91" s="49" t="s">
        <v>159</v>
      </c>
      <c r="D91" s="50">
        <v>45906.0</v>
      </c>
      <c r="E91" s="50">
        <v>45907.0</v>
      </c>
      <c r="F91" s="52" t="b">
        <v>0</v>
      </c>
      <c r="G91" s="56"/>
      <c r="H91" s="52" t="b">
        <v>0</v>
      </c>
      <c r="I91" s="56"/>
      <c r="J91" s="52" t="b">
        <v>0</v>
      </c>
      <c r="K91" s="52" t="b">
        <v>0</v>
      </c>
      <c r="L91" s="53"/>
      <c r="M91" s="54"/>
      <c r="N91" s="55"/>
    </row>
    <row r="92">
      <c r="A92" s="49" t="s">
        <v>148</v>
      </c>
      <c r="B92" s="49"/>
      <c r="C92" s="49" t="s">
        <v>160</v>
      </c>
      <c r="D92" s="50">
        <v>45906.0</v>
      </c>
      <c r="E92" s="50">
        <v>45907.0</v>
      </c>
      <c r="F92" s="52" t="b">
        <v>0</v>
      </c>
      <c r="G92" s="56"/>
      <c r="H92" s="52" t="b">
        <v>0</v>
      </c>
      <c r="I92" s="56"/>
      <c r="J92" s="52" t="b">
        <v>0</v>
      </c>
      <c r="K92" s="52" t="b">
        <v>0</v>
      </c>
      <c r="L92" s="53"/>
      <c r="M92" s="54"/>
      <c r="N92" s="55"/>
    </row>
    <row r="93">
      <c r="A93" s="49" t="s">
        <v>148</v>
      </c>
      <c r="B93" s="49"/>
      <c r="C93" s="49" t="s">
        <v>161</v>
      </c>
      <c r="D93" s="50">
        <v>45906.0</v>
      </c>
      <c r="E93" s="50">
        <v>45907.0</v>
      </c>
      <c r="F93" s="52" t="b">
        <v>0</v>
      </c>
      <c r="G93" s="56"/>
      <c r="H93" s="52" t="b">
        <v>0</v>
      </c>
      <c r="I93" s="56"/>
      <c r="J93" s="52" t="b">
        <v>0</v>
      </c>
      <c r="K93" s="52" t="b">
        <v>0</v>
      </c>
      <c r="L93" s="53"/>
      <c r="M93" s="54"/>
      <c r="N93" s="55"/>
    </row>
    <row r="94">
      <c r="A94" s="49" t="s">
        <v>148</v>
      </c>
      <c r="B94" s="49"/>
      <c r="C94" s="49" t="s">
        <v>162</v>
      </c>
      <c r="D94" s="50">
        <v>45906.0</v>
      </c>
      <c r="E94" s="50">
        <v>45907.0</v>
      </c>
      <c r="F94" s="52" t="b">
        <v>0</v>
      </c>
      <c r="G94" s="56"/>
      <c r="H94" s="52" t="b">
        <v>0</v>
      </c>
      <c r="I94" s="56"/>
      <c r="J94" s="52" t="b">
        <v>0</v>
      </c>
      <c r="K94" s="52" t="b">
        <v>0</v>
      </c>
      <c r="L94" s="53"/>
      <c r="M94" s="54"/>
      <c r="N94" s="55"/>
    </row>
    <row r="95">
      <c r="A95" s="49" t="s">
        <v>148</v>
      </c>
      <c r="B95" s="49"/>
      <c r="C95" s="49" t="s">
        <v>163</v>
      </c>
      <c r="D95" s="50">
        <v>45906.0</v>
      </c>
      <c r="E95" s="50">
        <v>45907.0</v>
      </c>
      <c r="F95" s="52" t="b">
        <v>0</v>
      </c>
      <c r="G95" s="56"/>
      <c r="H95" s="52" t="b">
        <v>0</v>
      </c>
      <c r="I95" s="56"/>
      <c r="J95" s="52" t="b">
        <v>0</v>
      </c>
      <c r="K95" s="52" t="b">
        <v>0</v>
      </c>
      <c r="L95" s="53"/>
      <c r="M95" s="54"/>
      <c r="N95" s="55"/>
    </row>
    <row r="96">
      <c r="A96" s="49" t="s">
        <v>148</v>
      </c>
      <c r="B96" s="49"/>
      <c r="C96" s="49" t="s">
        <v>164</v>
      </c>
      <c r="D96" s="50">
        <v>45906.0</v>
      </c>
      <c r="E96" s="50">
        <v>45907.0</v>
      </c>
      <c r="F96" s="52" t="b">
        <v>0</v>
      </c>
      <c r="G96" s="56"/>
      <c r="H96" s="52" t="b">
        <v>0</v>
      </c>
      <c r="I96" s="56"/>
      <c r="J96" s="52" t="b">
        <v>0</v>
      </c>
      <c r="K96" s="52" t="b">
        <v>0</v>
      </c>
      <c r="L96" s="53"/>
      <c r="M96" s="54"/>
      <c r="N96" s="55"/>
    </row>
    <row r="97">
      <c r="A97" s="49" t="s">
        <v>148</v>
      </c>
      <c r="B97" s="49"/>
      <c r="C97" s="49" t="s">
        <v>165</v>
      </c>
      <c r="D97" s="50">
        <v>45906.0</v>
      </c>
      <c r="E97" s="50">
        <v>45907.0</v>
      </c>
      <c r="F97" s="52" t="b">
        <v>0</v>
      </c>
      <c r="G97" s="56"/>
      <c r="H97" s="52" t="b">
        <v>0</v>
      </c>
      <c r="I97" s="56"/>
      <c r="J97" s="52" t="b">
        <v>0</v>
      </c>
      <c r="K97" s="52" t="b">
        <v>0</v>
      </c>
      <c r="L97" s="53"/>
      <c r="M97" s="54"/>
      <c r="N97" s="55"/>
    </row>
    <row r="98">
      <c r="A98" s="49" t="s">
        <v>148</v>
      </c>
      <c r="B98" s="49"/>
      <c r="C98" s="49" t="s">
        <v>166</v>
      </c>
      <c r="D98" s="50">
        <v>45906.0</v>
      </c>
      <c r="E98" s="50">
        <v>45907.0</v>
      </c>
      <c r="F98" s="52" t="b">
        <v>0</v>
      </c>
      <c r="G98" s="56"/>
      <c r="H98" s="52" t="b">
        <v>0</v>
      </c>
      <c r="I98" s="56"/>
      <c r="J98" s="52" t="b">
        <v>0</v>
      </c>
      <c r="K98" s="52" t="b">
        <v>0</v>
      </c>
      <c r="L98" s="53"/>
      <c r="M98" s="54"/>
      <c r="N98" s="55"/>
    </row>
    <row r="99">
      <c r="A99" s="49" t="s">
        <v>148</v>
      </c>
      <c r="B99" s="49"/>
      <c r="C99" s="49" t="s">
        <v>167</v>
      </c>
      <c r="D99" s="50">
        <v>45906.0</v>
      </c>
      <c r="E99" s="50">
        <v>45907.0</v>
      </c>
      <c r="F99" s="52" t="b">
        <v>0</v>
      </c>
      <c r="G99" s="56"/>
      <c r="H99" s="52" t="b">
        <v>0</v>
      </c>
      <c r="I99" s="56"/>
      <c r="J99" s="52" t="b">
        <v>0</v>
      </c>
      <c r="K99" s="52" t="b">
        <v>0</v>
      </c>
      <c r="L99" s="53"/>
      <c r="M99" s="54"/>
      <c r="N99" s="55"/>
    </row>
    <row r="100">
      <c r="A100" s="49" t="s">
        <v>148</v>
      </c>
      <c r="B100" s="49"/>
      <c r="C100" s="49" t="s">
        <v>168</v>
      </c>
      <c r="D100" s="50">
        <v>45906.0</v>
      </c>
      <c r="E100" s="50">
        <v>45907.0</v>
      </c>
      <c r="F100" s="52" t="b">
        <v>0</v>
      </c>
      <c r="G100" s="56"/>
      <c r="H100" s="52" t="b">
        <v>0</v>
      </c>
      <c r="I100" s="56"/>
      <c r="J100" s="52" t="b">
        <v>0</v>
      </c>
      <c r="K100" s="52" t="b">
        <v>0</v>
      </c>
      <c r="L100" s="53"/>
      <c r="M100" s="54"/>
      <c r="N100" s="55"/>
    </row>
    <row r="101">
      <c r="A101" s="49" t="s">
        <v>148</v>
      </c>
      <c r="B101" s="49"/>
      <c r="C101" s="49" t="s">
        <v>169</v>
      </c>
      <c r="D101" s="50">
        <v>45906.0</v>
      </c>
      <c r="E101" s="50">
        <v>45907.0</v>
      </c>
      <c r="F101" s="52" t="b">
        <v>0</v>
      </c>
      <c r="G101" s="56"/>
      <c r="H101" s="52" t="b">
        <v>0</v>
      </c>
      <c r="I101" s="56"/>
      <c r="J101" s="52" t="b">
        <v>0</v>
      </c>
      <c r="K101" s="52" t="b">
        <v>0</v>
      </c>
      <c r="L101" s="53"/>
      <c r="M101" s="54"/>
      <c r="N101" s="55"/>
    </row>
    <row r="102">
      <c r="A102" s="49" t="s">
        <v>148</v>
      </c>
      <c r="B102" s="49"/>
      <c r="C102" s="49" t="s">
        <v>170</v>
      </c>
      <c r="D102" s="50">
        <v>45906.0</v>
      </c>
      <c r="E102" s="50">
        <v>45907.0</v>
      </c>
      <c r="F102" s="52" t="b">
        <v>0</v>
      </c>
      <c r="G102" s="56"/>
      <c r="H102" s="52" t="b">
        <v>0</v>
      </c>
      <c r="I102" s="56"/>
      <c r="J102" s="52" t="b">
        <v>0</v>
      </c>
      <c r="K102" s="52" t="b">
        <v>0</v>
      </c>
      <c r="L102" s="53"/>
      <c r="M102" s="54"/>
      <c r="N102" s="55"/>
    </row>
    <row r="103">
      <c r="A103" s="49" t="s">
        <v>148</v>
      </c>
      <c r="B103" s="49"/>
      <c r="C103" s="49" t="s">
        <v>171</v>
      </c>
      <c r="D103" s="50">
        <v>45906.0</v>
      </c>
      <c r="E103" s="50">
        <v>45907.0</v>
      </c>
      <c r="F103" s="52" t="b">
        <v>0</v>
      </c>
      <c r="G103" s="56"/>
      <c r="H103" s="52" t="b">
        <v>0</v>
      </c>
      <c r="I103" s="56"/>
      <c r="J103" s="52" t="b">
        <v>0</v>
      </c>
      <c r="K103" s="52" t="b">
        <v>0</v>
      </c>
      <c r="L103" s="53"/>
      <c r="M103" s="54"/>
      <c r="N103" s="55"/>
    </row>
    <row r="104">
      <c r="A104" s="49" t="s">
        <v>148</v>
      </c>
      <c r="B104" s="49"/>
      <c r="C104" s="49" t="s">
        <v>172</v>
      </c>
      <c r="D104" s="50">
        <v>45906.0</v>
      </c>
      <c r="E104" s="50">
        <v>45907.0</v>
      </c>
      <c r="F104" s="52" t="b">
        <v>0</v>
      </c>
      <c r="G104" s="56"/>
      <c r="H104" s="52" t="b">
        <v>0</v>
      </c>
      <c r="I104" s="56"/>
      <c r="J104" s="52" t="b">
        <v>0</v>
      </c>
      <c r="K104" s="52" t="b">
        <v>0</v>
      </c>
      <c r="L104" s="53"/>
      <c r="M104" s="54"/>
      <c r="N104" s="55"/>
    </row>
    <row r="105">
      <c r="A105" s="49" t="s">
        <v>148</v>
      </c>
      <c r="B105" s="49"/>
      <c r="C105" s="49" t="s">
        <v>173</v>
      </c>
      <c r="D105" s="50">
        <v>45906.0</v>
      </c>
      <c r="E105" s="50">
        <v>45907.0</v>
      </c>
      <c r="F105" s="52" t="b">
        <v>0</v>
      </c>
      <c r="G105" s="56"/>
      <c r="H105" s="52" t="b">
        <v>0</v>
      </c>
      <c r="I105" s="56"/>
      <c r="J105" s="52" t="b">
        <v>0</v>
      </c>
      <c r="K105" s="52" t="b">
        <v>0</v>
      </c>
      <c r="L105" s="53"/>
      <c r="M105" s="54"/>
      <c r="N105" s="55"/>
    </row>
    <row r="106">
      <c r="A106" s="49" t="s">
        <v>148</v>
      </c>
      <c r="B106" s="49"/>
      <c r="C106" s="49" t="s">
        <v>174</v>
      </c>
      <c r="D106" s="50">
        <v>45906.0</v>
      </c>
      <c r="E106" s="50">
        <v>45907.0</v>
      </c>
      <c r="F106" s="52" t="b">
        <v>0</v>
      </c>
      <c r="G106" s="56"/>
      <c r="H106" s="52" t="b">
        <v>0</v>
      </c>
      <c r="I106" s="56"/>
      <c r="J106" s="52" t="b">
        <v>0</v>
      </c>
      <c r="K106" s="52" t="b">
        <v>0</v>
      </c>
      <c r="L106" s="53"/>
      <c r="M106" s="54"/>
      <c r="N106" s="55"/>
    </row>
    <row r="107">
      <c r="A107" s="49" t="s">
        <v>148</v>
      </c>
      <c r="B107" s="49"/>
      <c r="C107" s="49" t="s">
        <v>175</v>
      </c>
      <c r="D107" s="50">
        <v>45906.0</v>
      </c>
      <c r="E107" s="50">
        <v>45907.0</v>
      </c>
      <c r="F107" s="52" t="b">
        <v>0</v>
      </c>
      <c r="G107" s="56"/>
      <c r="H107" s="52" t="b">
        <v>0</v>
      </c>
      <c r="I107" s="56"/>
      <c r="J107" s="52" t="b">
        <v>0</v>
      </c>
      <c r="K107" s="52" t="b">
        <v>0</v>
      </c>
      <c r="L107" s="53"/>
      <c r="M107" s="54"/>
      <c r="N107" s="55"/>
    </row>
    <row r="108">
      <c r="A108" s="49" t="s">
        <v>148</v>
      </c>
      <c r="B108" s="49"/>
      <c r="C108" s="49" t="s">
        <v>176</v>
      </c>
      <c r="D108" s="50">
        <v>45906.0</v>
      </c>
      <c r="E108" s="50">
        <v>45907.0</v>
      </c>
      <c r="F108" s="52" t="b">
        <v>0</v>
      </c>
      <c r="G108" s="56"/>
      <c r="H108" s="52" t="b">
        <v>0</v>
      </c>
      <c r="I108" s="56"/>
      <c r="J108" s="52" t="b">
        <v>0</v>
      </c>
      <c r="K108" s="52" t="b">
        <v>0</v>
      </c>
      <c r="L108" s="53"/>
      <c r="M108" s="54"/>
      <c r="N108" s="55"/>
    </row>
    <row r="109">
      <c r="A109" s="49" t="s">
        <v>148</v>
      </c>
      <c r="B109" s="49"/>
      <c r="C109" s="49" t="s">
        <v>177</v>
      </c>
      <c r="D109" s="50">
        <v>45906.0</v>
      </c>
      <c r="E109" s="50">
        <v>45907.0</v>
      </c>
      <c r="F109" s="52" t="b">
        <v>0</v>
      </c>
      <c r="G109" s="56"/>
      <c r="H109" s="52" t="b">
        <v>0</v>
      </c>
      <c r="I109" s="56"/>
      <c r="J109" s="52" t="b">
        <v>0</v>
      </c>
      <c r="K109" s="52" t="b">
        <v>0</v>
      </c>
      <c r="L109" s="53"/>
      <c r="M109" s="54"/>
      <c r="N109" s="55"/>
    </row>
    <row r="110">
      <c r="A110" s="49" t="s">
        <v>148</v>
      </c>
      <c r="B110" s="49"/>
      <c r="C110" s="49" t="s">
        <v>178</v>
      </c>
      <c r="D110" s="50">
        <v>45906.0</v>
      </c>
      <c r="E110" s="50">
        <v>45907.0</v>
      </c>
      <c r="F110" s="52" t="b">
        <v>0</v>
      </c>
      <c r="G110" s="56"/>
      <c r="H110" s="52" t="b">
        <v>0</v>
      </c>
      <c r="I110" s="56"/>
      <c r="J110" s="52" t="b">
        <v>0</v>
      </c>
      <c r="K110" s="52" t="b">
        <v>0</v>
      </c>
      <c r="L110" s="53"/>
      <c r="M110" s="54"/>
      <c r="N110" s="55"/>
    </row>
    <row r="111">
      <c r="A111" s="49" t="s">
        <v>148</v>
      </c>
      <c r="B111" s="49"/>
      <c r="C111" s="49" t="s">
        <v>179</v>
      </c>
      <c r="D111" s="50">
        <v>45906.0</v>
      </c>
      <c r="E111" s="50">
        <v>45907.0</v>
      </c>
      <c r="F111" s="52" t="b">
        <v>0</v>
      </c>
      <c r="G111" s="56"/>
      <c r="H111" s="52" t="b">
        <v>0</v>
      </c>
      <c r="I111" s="56"/>
      <c r="J111" s="52" t="b">
        <v>0</v>
      </c>
      <c r="K111" s="52" t="b">
        <v>0</v>
      </c>
      <c r="L111" s="53"/>
      <c r="M111" s="54"/>
      <c r="N111" s="55"/>
    </row>
    <row r="112">
      <c r="A112" s="49" t="s">
        <v>148</v>
      </c>
      <c r="B112" s="49"/>
      <c r="C112" s="49" t="s">
        <v>180</v>
      </c>
      <c r="D112" s="50">
        <v>45906.0</v>
      </c>
      <c r="E112" s="50">
        <v>45907.0</v>
      </c>
      <c r="F112" s="52" t="b">
        <v>0</v>
      </c>
      <c r="G112" s="56"/>
      <c r="H112" s="52" t="b">
        <v>0</v>
      </c>
      <c r="I112" s="56"/>
      <c r="J112" s="52" t="b">
        <v>0</v>
      </c>
      <c r="K112" s="52" t="b">
        <v>0</v>
      </c>
      <c r="L112" s="53"/>
      <c r="M112" s="54"/>
      <c r="N112" s="55"/>
    </row>
    <row r="113">
      <c r="A113" s="49" t="s">
        <v>148</v>
      </c>
      <c r="B113" s="49"/>
      <c r="C113" s="49" t="s">
        <v>181</v>
      </c>
      <c r="D113" s="50">
        <v>45906.0</v>
      </c>
      <c r="E113" s="50">
        <v>45907.0</v>
      </c>
      <c r="F113" s="52" t="b">
        <v>0</v>
      </c>
      <c r="G113" s="56"/>
      <c r="H113" s="52" t="b">
        <v>0</v>
      </c>
      <c r="I113" s="56"/>
      <c r="J113" s="52" t="b">
        <v>0</v>
      </c>
      <c r="K113" s="52" t="b">
        <v>0</v>
      </c>
      <c r="L113" s="53"/>
      <c r="M113" s="54"/>
      <c r="N113" s="55"/>
    </row>
    <row r="114">
      <c r="A114" s="49" t="s">
        <v>148</v>
      </c>
      <c r="B114" s="49"/>
      <c r="C114" s="49" t="s">
        <v>182</v>
      </c>
      <c r="D114" s="50">
        <v>45906.0</v>
      </c>
      <c r="E114" s="50">
        <v>45907.0</v>
      </c>
      <c r="F114" s="52" t="b">
        <v>0</v>
      </c>
      <c r="G114" s="56"/>
      <c r="H114" s="52" t="b">
        <v>0</v>
      </c>
      <c r="I114" s="56"/>
      <c r="J114" s="52" t="b">
        <v>0</v>
      </c>
      <c r="K114" s="52" t="b">
        <v>0</v>
      </c>
      <c r="L114" s="53"/>
      <c r="M114" s="54"/>
      <c r="N114" s="55"/>
    </row>
    <row r="115">
      <c r="A115" s="49" t="s">
        <v>148</v>
      </c>
      <c r="B115" s="49"/>
      <c r="C115" s="49" t="s">
        <v>183</v>
      </c>
      <c r="D115" s="50">
        <v>45906.0</v>
      </c>
      <c r="E115" s="50">
        <v>45907.0</v>
      </c>
      <c r="F115" s="52" t="b">
        <v>0</v>
      </c>
      <c r="G115" s="56"/>
      <c r="H115" s="52" t="b">
        <v>0</v>
      </c>
      <c r="I115" s="56"/>
      <c r="J115" s="52" t="b">
        <v>0</v>
      </c>
      <c r="K115" s="52" t="b">
        <v>0</v>
      </c>
      <c r="L115" s="53"/>
      <c r="M115" s="54"/>
      <c r="N115" s="55"/>
    </row>
    <row r="116">
      <c r="A116" s="49" t="s">
        <v>148</v>
      </c>
      <c r="B116" s="49"/>
      <c r="C116" s="49" t="s">
        <v>184</v>
      </c>
      <c r="D116" s="50">
        <v>45906.0</v>
      </c>
      <c r="E116" s="50">
        <v>45907.0</v>
      </c>
      <c r="F116" s="52" t="b">
        <v>0</v>
      </c>
      <c r="G116" s="56"/>
      <c r="H116" s="52" t="b">
        <v>0</v>
      </c>
      <c r="I116" s="56"/>
      <c r="J116" s="52" t="b">
        <v>0</v>
      </c>
      <c r="K116" s="52" t="b">
        <v>0</v>
      </c>
      <c r="L116" s="53"/>
      <c r="M116" s="54"/>
      <c r="N116" s="55"/>
    </row>
    <row r="117">
      <c r="A117" s="49" t="s">
        <v>148</v>
      </c>
      <c r="B117" s="49"/>
      <c r="C117" s="49" t="s">
        <v>185</v>
      </c>
      <c r="D117" s="50">
        <v>45906.0</v>
      </c>
      <c r="E117" s="50">
        <v>45907.0</v>
      </c>
      <c r="F117" s="52" t="b">
        <v>0</v>
      </c>
      <c r="G117" s="56"/>
      <c r="H117" s="52" t="b">
        <v>0</v>
      </c>
      <c r="I117" s="56"/>
      <c r="J117" s="52" t="b">
        <v>0</v>
      </c>
      <c r="K117" s="52" t="b">
        <v>0</v>
      </c>
      <c r="L117" s="53"/>
      <c r="M117" s="54"/>
      <c r="N117" s="55"/>
    </row>
    <row r="118">
      <c r="A118" s="49" t="s">
        <v>148</v>
      </c>
      <c r="B118" s="49"/>
      <c r="C118" s="49" t="s">
        <v>186</v>
      </c>
      <c r="D118" s="50">
        <v>45906.0</v>
      </c>
      <c r="E118" s="50">
        <v>45907.0</v>
      </c>
      <c r="F118" s="52" t="b">
        <v>0</v>
      </c>
      <c r="G118" s="56"/>
      <c r="H118" s="52" t="b">
        <v>0</v>
      </c>
      <c r="I118" s="56"/>
      <c r="J118" s="52" t="b">
        <v>0</v>
      </c>
      <c r="K118" s="52" t="b">
        <v>0</v>
      </c>
      <c r="L118" s="53"/>
      <c r="M118" s="54"/>
      <c r="N118" s="55"/>
    </row>
    <row r="119">
      <c r="A119" s="49" t="s">
        <v>148</v>
      </c>
      <c r="B119" s="49"/>
      <c r="C119" s="49" t="s">
        <v>187</v>
      </c>
      <c r="D119" s="50">
        <v>45906.0</v>
      </c>
      <c r="E119" s="50">
        <v>45907.0</v>
      </c>
      <c r="F119" s="52" t="b">
        <v>0</v>
      </c>
      <c r="G119" s="56"/>
      <c r="H119" s="52" t="b">
        <v>0</v>
      </c>
      <c r="I119" s="56"/>
      <c r="J119" s="52" t="b">
        <v>0</v>
      </c>
      <c r="K119" s="52" t="b">
        <v>0</v>
      </c>
      <c r="L119" s="53"/>
      <c r="M119" s="54"/>
      <c r="N119" s="55"/>
    </row>
    <row r="120">
      <c r="A120" s="49" t="s">
        <v>148</v>
      </c>
      <c r="B120" s="49"/>
      <c r="C120" s="49" t="s">
        <v>188</v>
      </c>
      <c r="D120" s="50">
        <v>45906.0</v>
      </c>
      <c r="E120" s="50">
        <v>45907.0</v>
      </c>
      <c r="F120" s="52" t="b">
        <v>0</v>
      </c>
      <c r="G120" s="56"/>
      <c r="H120" s="52" t="b">
        <v>0</v>
      </c>
      <c r="I120" s="56"/>
      <c r="J120" s="52" t="b">
        <v>0</v>
      </c>
      <c r="K120" s="52" t="b">
        <v>0</v>
      </c>
      <c r="L120" s="53"/>
      <c r="M120" s="54"/>
      <c r="N120" s="55"/>
    </row>
    <row r="121">
      <c r="A121" s="49" t="s">
        <v>148</v>
      </c>
      <c r="B121" s="49"/>
      <c r="C121" s="49" t="s">
        <v>189</v>
      </c>
      <c r="D121" s="50">
        <v>45906.0</v>
      </c>
      <c r="E121" s="50">
        <v>45907.0</v>
      </c>
      <c r="F121" s="52" t="b">
        <v>0</v>
      </c>
      <c r="G121" s="56"/>
      <c r="H121" s="52" t="b">
        <v>0</v>
      </c>
      <c r="I121" s="56"/>
      <c r="J121" s="52" t="b">
        <v>0</v>
      </c>
      <c r="K121" s="52" t="b">
        <v>0</v>
      </c>
      <c r="L121" s="53"/>
      <c r="M121" s="54"/>
      <c r="N121" s="55"/>
    </row>
    <row r="122">
      <c r="A122" s="49" t="s">
        <v>148</v>
      </c>
      <c r="B122" s="49"/>
      <c r="C122" s="49" t="s">
        <v>190</v>
      </c>
      <c r="D122" s="50">
        <v>45906.0</v>
      </c>
      <c r="E122" s="50">
        <v>45907.0</v>
      </c>
      <c r="F122" s="52" t="b">
        <v>0</v>
      </c>
      <c r="G122" s="56"/>
      <c r="H122" s="52" t="b">
        <v>0</v>
      </c>
      <c r="I122" s="56"/>
      <c r="J122" s="52" t="b">
        <v>0</v>
      </c>
      <c r="K122" s="52" t="b">
        <v>0</v>
      </c>
      <c r="L122" s="53"/>
      <c r="M122" s="54"/>
      <c r="N122" s="55"/>
    </row>
    <row r="123">
      <c r="A123" s="49" t="s">
        <v>148</v>
      </c>
      <c r="B123" s="49"/>
      <c r="C123" s="49" t="s">
        <v>191</v>
      </c>
      <c r="D123" s="50">
        <v>45906.0</v>
      </c>
      <c r="E123" s="50">
        <v>45907.0</v>
      </c>
      <c r="F123" s="52" t="b">
        <v>0</v>
      </c>
      <c r="G123" s="56"/>
      <c r="H123" s="52" t="b">
        <v>0</v>
      </c>
      <c r="I123" s="56"/>
      <c r="J123" s="52" t="b">
        <v>0</v>
      </c>
      <c r="K123" s="52" t="b">
        <v>0</v>
      </c>
      <c r="L123" s="53"/>
      <c r="M123" s="54"/>
      <c r="N123" s="55"/>
    </row>
    <row r="124">
      <c r="A124" s="49" t="s">
        <v>148</v>
      </c>
      <c r="B124" s="49"/>
      <c r="C124" s="49" t="s">
        <v>192</v>
      </c>
      <c r="D124" s="50">
        <v>45906.0</v>
      </c>
      <c r="E124" s="50">
        <v>45907.0</v>
      </c>
      <c r="F124" s="52" t="b">
        <v>0</v>
      </c>
      <c r="G124" s="56"/>
      <c r="H124" s="52" t="b">
        <v>0</v>
      </c>
      <c r="I124" s="56"/>
      <c r="J124" s="52" t="b">
        <v>0</v>
      </c>
      <c r="K124" s="52" t="b">
        <v>0</v>
      </c>
      <c r="L124" s="53"/>
      <c r="M124" s="54"/>
      <c r="N124" s="55"/>
    </row>
    <row r="125">
      <c r="A125" s="49" t="s">
        <v>148</v>
      </c>
      <c r="B125" s="49"/>
      <c r="C125" s="49" t="s">
        <v>193</v>
      </c>
      <c r="D125" s="50">
        <v>45906.0</v>
      </c>
      <c r="E125" s="50">
        <v>45907.0</v>
      </c>
      <c r="F125" s="52" t="b">
        <v>0</v>
      </c>
      <c r="G125" s="56"/>
      <c r="H125" s="52" t="b">
        <v>0</v>
      </c>
      <c r="I125" s="56"/>
      <c r="J125" s="52" t="b">
        <v>0</v>
      </c>
      <c r="K125" s="52" t="b">
        <v>0</v>
      </c>
      <c r="L125" s="53"/>
      <c r="M125" s="54"/>
      <c r="N125" s="55"/>
    </row>
    <row r="126">
      <c r="A126" s="49" t="s">
        <v>148</v>
      </c>
      <c r="B126" s="49"/>
      <c r="C126" s="49" t="s">
        <v>194</v>
      </c>
      <c r="D126" s="50">
        <v>45906.0</v>
      </c>
      <c r="E126" s="50">
        <v>45907.0</v>
      </c>
      <c r="F126" s="52" t="b">
        <v>0</v>
      </c>
      <c r="G126" s="56"/>
      <c r="H126" s="52" t="b">
        <v>0</v>
      </c>
      <c r="I126" s="56"/>
      <c r="J126" s="52" t="b">
        <v>0</v>
      </c>
      <c r="K126" s="52" t="b">
        <v>0</v>
      </c>
      <c r="L126" s="53"/>
      <c r="M126" s="54"/>
      <c r="N126" s="55"/>
    </row>
    <row r="127">
      <c r="A127" s="49" t="s">
        <v>148</v>
      </c>
      <c r="B127" s="49"/>
      <c r="C127" s="49" t="s">
        <v>195</v>
      </c>
      <c r="D127" s="50">
        <v>45906.0</v>
      </c>
      <c r="E127" s="50">
        <v>45907.0</v>
      </c>
      <c r="F127" s="52" t="b">
        <v>0</v>
      </c>
      <c r="G127" s="56"/>
      <c r="H127" s="52" t="b">
        <v>0</v>
      </c>
      <c r="I127" s="56"/>
      <c r="J127" s="52" t="b">
        <v>0</v>
      </c>
      <c r="K127" s="52" t="b">
        <v>0</v>
      </c>
      <c r="L127" s="53"/>
      <c r="M127" s="54"/>
      <c r="N127" s="55"/>
    </row>
    <row r="128">
      <c r="A128" s="49" t="s">
        <v>148</v>
      </c>
      <c r="B128" s="49"/>
      <c r="C128" s="49" t="s">
        <v>196</v>
      </c>
      <c r="D128" s="50">
        <v>45906.0</v>
      </c>
      <c r="E128" s="50">
        <v>45907.0</v>
      </c>
      <c r="F128" s="52" t="b">
        <v>0</v>
      </c>
      <c r="G128" s="56"/>
      <c r="H128" s="52" t="b">
        <v>0</v>
      </c>
      <c r="I128" s="56"/>
      <c r="J128" s="52" t="b">
        <v>0</v>
      </c>
      <c r="K128" s="52" t="b">
        <v>0</v>
      </c>
      <c r="L128" s="53"/>
      <c r="M128" s="54"/>
      <c r="N128" s="55"/>
    </row>
    <row r="129">
      <c r="A129" s="49" t="s">
        <v>148</v>
      </c>
      <c r="B129" s="49"/>
      <c r="C129" s="49" t="s">
        <v>197</v>
      </c>
      <c r="D129" s="50">
        <v>45906.0</v>
      </c>
      <c r="E129" s="50">
        <v>45907.0</v>
      </c>
      <c r="F129" s="52" t="b">
        <v>0</v>
      </c>
      <c r="G129" s="56"/>
      <c r="H129" s="52" t="b">
        <v>0</v>
      </c>
      <c r="I129" s="56"/>
      <c r="J129" s="52" t="b">
        <v>0</v>
      </c>
      <c r="K129" s="52" t="b">
        <v>0</v>
      </c>
      <c r="L129" s="53"/>
      <c r="M129" s="54"/>
      <c r="N129" s="55"/>
    </row>
    <row r="130">
      <c r="A130" s="49" t="s">
        <v>148</v>
      </c>
      <c r="B130" s="49"/>
      <c r="C130" s="49" t="s">
        <v>198</v>
      </c>
      <c r="D130" s="50">
        <v>45906.0</v>
      </c>
      <c r="E130" s="50">
        <v>45907.0</v>
      </c>
      <c r="F130" s="52" t="b">
        <v>0</v>
      </c>
      <c r="G130" s="56"/>
      <c r="H130" s="52" t="b">
        <v>0</v>
      </c>
      <c r="I130" s="56"/>
      <c r="J130" s="52" t="b">
        <v>0</v>
      </c>
      <c r="K130" s="52" t="b">
        <v>0</v>
      </c>
      <c r="L130" s="53"/>
      <c r="M130" s="54"/>
      <c r="N130" s="55"/>
    </row>
    <row r="131">
      <c r="A131" s="49" t="s">
        <v>148</v>
      </c>
      <c r="B131" s="49"/>
      <c r="C131" s="49" t="s">
        <v>199</v>
      </c>
      <c r="D131" s="50">
        <v>45906.0</v>
      </c>
      <c r="E131" s="50">
        <v>45907.0</v>
      </c>
      <c r="F131" s="52" t="b">
        <v>0</v>
      </c>
      <c r="G131" s="56"/>
      <c r="H131" s="52" t="b">
        <v>0</v>
      </c>
      <c r="I131" s="56"/>
      <c r="J131" s="52" t="b">
        <v>0</v>
      </c>
      <c r="K131" s="52" t="b">
        <v>0</v>
      </c>
      <c r="L131" s="53"/>
      <c r="M131" s="54"/>
      <c r="N131" s="55"/>
    </row>
    <row r="132">
      <c r="A132" s="49" t="s">
        <v>148</v>
      </c>
      <c r="B132" s="49"/>
      <c r="C132" s="49" t="s">
        <v>200</v>
      </c>
      <c r="D132" s="50">
        <v>45906.0</v>
      </c>
      <c r="E132" s="50">
        <v>45907.0</v>
      </c>
      <c r="F132" s="52" t="b">
        <v>0</v>
      </c>
      <c r="G132" s="56"/>
      <c r="H132" s="52" t="b">
        <v>0</v>
      </c>
      <c r="I132" s="56"/>
      <c r="J132" s="52" t="b">
        <v>0</v>
      </c>
      <c r="K132" s="52" t="b">
        <v>0</v>
      </c>
      <c r="L132" s="53"/>
      <c r="M132" s="54"/>
      <c r="N132" s="55"/>
    </row>
    <row r="133">
      <c r="A133" s="49" t="s">
        <v>148</v>
      </c>
      <c r="B133" s="49"/>
      <c r="C133" s="49" t="s">
        <v>201</v>
      </c>
      <c r="D133" s="50">
        <v>45906.0</v>
      </c>
      <c r="E133" s="50">
        <v>45907.0</v>
      </c>
      <c r="F133" s="52" t="b">
        <v>0</v>
      </c>
      <c r="G133" s="56"/>
      <c r="H133" s="52" t="b">
        <v>0</v>
      </c>
      <c r="I133" s="56"/>
      <c r="J133" s="52" t="b">
        <v>0</v>
      </c>
      <c r="K133" s="52" t="b">
        <v>0</v>
      </c>
      <c r="L133" s="53"/>
      <c r="M133" s="54"/>
      <c r="N133" s="55"/>
    </row>
    <row r="134">
      <c r="A134" s="49" t="s">
        <v>148</v>
      </c>
      <c r="B134" s="49"/>
      <c r="C134" s="49" t="s">
        <v>202</v>
      </c>
      <c r="D134" s="50">
        <v>45906.0</v>
      </c>
      <c r="E134" s="50">
        <v>45907.0</v>
      </c>
      <c r="F134" s="52" t="b">
        <v>0</v>
      </c>
      <c r="G134" s="56"/>
      <c r="H134" s="52" t="b">
        <v>0</v>
      </c>
      <c r="I134" s="56"/>
      <c r="J134" s="52" t="b">
        <v>0</v>
      </c>
      <c r="K134" s="52" t="b">
        <v>0</v>
      </c>
      <c r="L134" s="53"/>
      <c r="M134" s="54"/>
      <c r="N134" s="55"/>
    </row>
    <row r="135">
      <c r="A135" s="49" t="s">
        <v>148</v>
      </c>
      <c r="B135" s="49"/>
      <c r="C135" s="49" t="s">
        <v>203</v>
      </c>
      <c r="D135" s="50">
        <v>45906.0</v>
      </c>
      <c r="E135" s="50">
        <v>45907.0</v>
      </c>
      <c r="F135" s="52" t="b">
        <v>0</v>
      </c>
      <c r="G135" s="56"/>
      <c r="H135" s="52" t="b">
        <v>0</v>
      </c>
      <c r="I135" s="56"/>
      <c r="J135" s="52" t="b">
        <v>0</v>
      </c>
      <c r="K135" s="52" t="b">
        <v>0</v>
      </c>
      <c r="L135" s="53"/>
      <c r="M135" s="54"/>
      <c r="N135" s="55"/>
    </row>
    <row r="136">
      <c r="A136" s="49" t="s">
        <v>148</v>
      </c>
      <c r="B136" s="49"/>
      <c r="C136" s="49" t="s">
        <v>204</v>
      </c>
      <c r="D136" s="50">
        <v>45906.0</v>
      </c>
      <c r="E136" s="50">
        <v>45907.0</v>
      </c>
      <c r="F136" s="52" t="b">
        <v>0</v>
      </c>
      <c r="G136" s="56"/>
      <c r="H136" s="52" t="b">
        <v>0</v>
      </c>
      <c r="I136" s="56"/>
      <c r="J136" s="52" t="b">
        <v>0</v>
      </c>
      <c r="K136" s="52" t="b">
        <v>0</v>
      </c>
      <c r="L136" s="53"/>
      <c r="M136" s="54"/>
      <c r="N136" s="55"/>
    </row>
    <row r="137">
      <c r="A137" s="49" t="s">
        <v>148</v>
      </c>
      <c r="B137" s="49"/>
      <c r="C137" s="49" t="s">
        <v>205</v>
      </c>
      <c r="D137" s="50">
        <v>45906.0</v>
      </c>
      <c r="E137" s="50">
        <v>45907.0</v>
      </c>
      <c r="F137" s="52" t="b">
        <v>0</v>
      </c>
      <c r="G137" s="56"/>
      <c r="H137" s="52" t="b">
        <v>0</v>
      </c>
      <c r="I137" s="56"/>
      <c r="J137" s="52" t="b">
        <v>0</v>
      </c>
      <c r="K137" s="52" t="b">
        <v>0</v>
      </c>
      <c r="L137" s="53"/>
      <c r="M137" s="54"/>
      <c r="N137" s="55"/>
    </row>
    <row r="138">
      <c r="A138" s="49" t="s">
        <v>148</v>
      </c>
      <c r="B138" s="49"/>
      <c r="C138" s="49" t="s">
        <v>206</v>
      </c>
      <c r="D138" s="50">
        <v>45906.0</v>
      </c>
      <c r="E138" s="50">
        <v>45907.0</v>
      </c>
      <c r="F138" s="52" t="b">
        <v>0</v>
      </c>
      <c r="G138" s="56"/>
      <c r="H138" s="52" t="b">
        <v>0</v>
      </c>
      <c r="I138" s="56"/>
      <c r="J138" s="52" t="b">
        <v>0</v>
      </c>
      <c r="K138" s="52" t="b">
        <v>0</v>
      </c>
      <c r="L138" s="53"/>
      <c r="M138" s="54"/>
      <c r="N138" s="55"/>
    </row>
    <row r="139">
      <c r="A139" s="49" t="s">
        <v>148</v>
      </c>
      <c r="B139" s="49"/>
      <c r="C139" s="49" t="s">
        <v>207</v>
      </c>
      <c r="D139" s="50">
        <v>45906.0</v>
      </c>
      <c r="E139" s="50">
        <v>45907.0</v>
      </c>
      <c r="F139" s="52" t="b">
        <v>0</v>
      </c>
      <c r="G139" s="56"/>
      <c r="H139" s="52" t="b">
        <v>0</v>
      </c>
      <c r="I139" s="56"/>
      <c r="J139" s="52" t="b">
        <v>0</v>
      </c>
      <c r="K139" s="52" t="b">
        <v>0</v>
      </c>
      <c r="L139" s="53"/>
      <c r="M139" s="54"/>
      <c r="N139" s="55"/>
    </row>
    <row r="140">
      <c r="A140" s="49" t="s">
        <v>148</v>
      </c>
      <c r="B140" s="49"/>
      <c r="C140" s="49" t="s">
        <v>208</v>
      </c>
      <c r="D140" s="50">
        <v>45906.0</v>
      </c>
      <c r="E140" s="50">
        <v>45907.0</v>
      </c>
      <c r="F140" s="52" t="b">
        <v>0</v>
      </c>
      <c r="G140" s="56"/>
      <c r="H140" s="52" t="b">
        <v>0</v>
      </c>
      <c r="I140" s="56"/>
      <c r="J140" s="52" t="b">
        <v>0</v>
      </c>
      <c r="K140" s="52" t="b">
        <v>0</v>
      </c>
      <c r="L140" s="53"/>
      <c r="M140" s="54"/>
      <c r="N140" s="55"/>
    </row>
    <row r="141">
      <c r="A141" s="49" t="s">
        <v>148</v>
      </c>
      <c r="B141" s="49"/>
      <c r="C141" s="49" t="s">
        <v>209</v>
      </c>
      <c r="D141" s="50">
        <v>45906.0</v>
      </c>
      <c r="E141" s="50">
        <v>45907.0</v>
      </c>
      <c r="F141" s="52" t="b">
        <v>0</v>
      </c>
      <c r="G141" s="56"/>
      <c r="H141" s="52" t="b">
        <v>0</v>
      </c>
      <c r="I141" s="56"/>
      <c r="J141" s="52" t="b">
        <v>0</v>
      </c>
      <c r="K141" s="52" t="b">
        <v>0</v>
      </c>
      <c r="L141" s="53"/>
      <c r="M141" s="54"/>
      <c r="N141" s="55"/>
    </row>
    <row r="142">
      <c r="A142" s="49" t="s">
        <v>148</v>
      </c>
      <c r="B142" s="49"/>
      <c r="C142" s="49" t="s">
        <v>210</v>
      </c>
      <c r="D142" s="50">
        <v>45906.0</v>
      </c>
      <c r="E142" s="50">
        <v>45907.0</v>
      </c>
      <c r="F142" s="52" t="b">
        <v>0</v>
      </c>
      <c r="G142" s="56"/>
      <c r="H142" s="52" t="b">
        <v>0</v>
      </c>
      <c r="I142" s="56"/>
      <c r="J142" s="52" t="b">
        <v>0</v>
      </c>
      <c r="K142" s="52" t="b">
        <v>0</v>
      </c>
      <c r="L142" s="53"/>
      <c r="M142" s="54"/>
      <c r="N142" s="55"/>
    </row>
    <row r="143">
      <c r="A143" s="49" t="s">
        <v>148</v>
      </c>
      <c r="B143" s="49"/>
      <c r="C143" s="49" t="s">
        <v>211</v>
      </c>
      <c r="D143" s="50">
        <v>45906.0</v>
      </c>
      <c r="E143" s="50">
        <v>45907.0</v>
      </c>
      <c r="F143" s="52" t="b">
        <v>0</v>
      </c>
      <c r="G143" s="56"/>
      <c r="H143" s="52" t="b">
        <v>0</v>
      </c>
      <c r="I143" s="56"/>
      <c r="J143" s="52" t="b">
        <v>0</v>
      </c>
      <c r="K143" s="52" t="b">
        <v>0</v>
      </c>
      <c r="L143" s="53"/>
      <c r="M143" s="54"/>
      <c r="N143" s="55"/>
    </row>
    <row r="144">
      <c r="A144" s="49" t="s">
        <v>148</v>
      </c>
      <c r="B144" s="49"/>
      <c r="C144" s="49" t="s">
        <v>212</v>
      </c>
      <c r="D144" s="50">
        <v>45906.0</v>
      </c>
      <c r="E144" s="50">
        <v>45907.0</v>
      </c>
      <c r="F144" s="52" t="b">
        <v>0</v>
      </c>
      <c r="G144" s="56"/>
      <c r="H144" s="52" t="b">
        <v>0</v>
      </c>
      <c r="I144" s="56"/>
      <c r="J144" s="52" t="b">
        <v>0</v>
      </c>
      <c r="K144" s="52" t="b">
        <v>0</v>
      </c>
      <c r="L144" s="53"/>
      <c r="M144" s="54"/>
      <c r="N144" s="55"/>
    </row>
    <row r="145">
      <c r="A145" s="49" t="s">
        <v>148</v>
      </c>
      <c r="B145" s="49"/>
      <c r="C145" s="49" t="s">
        <v>213</v>
      </c>
      <c r="D145" s="50">
        <v>45906.0</v>
      </c>
      <c r="E145" s="50">
        <v>45907.0</v>
      </c>
      <c r="F145" s="52" t="b">
        <v>0</v>
      </c>
      <c r="G145" s="56"/>
      <c r="H145" s="52" t="b">
        <v>0</v>
      </c>
      <c r="I145" s="56"/>
      <c r="J145" s="52" t="b">
        <v>0</v>
      </c>
      <c r="K145" s="52" t="b">
        <v>0</v>
      </c>
      <c r="L145" s="53"/>
      <c r="M145" s="54"/>
      <c r="N145" s="55"/>
    </row>
    <row r="146">
      <c r="A146" s="49" t="s">
        <v>148</v>
      </c>
      <c r="B146" s="49"/>
      <c r="C146" s="49" t="s">
        <v>214</v>
      </c>
      <c r="D146" s="50">
        <v>45906.0</v>
      </c>
      <c r="E146" s="50">
        <v>45907.0</v>
      </c>
      <c r="F146" s="52" t="b">
        <v>0</v>
      </c>
      <c r="G146" s="56"/>
      <c r="H146" s="52" t="b">
        <v>0</v>
      </c>
      <c r="I146" s="56"/>
      <c r="J146" s="52" t="b">
        <v>0</v>
      </c>
      <c r="K146" s="52" t="b">
        <v>0</v>
      </c>
      <c r="L146" s="53"/>
      <c r="M146" s="54"/>
      <c r="N146" s="55"/>
    </row>
    <row r="147">
      <c r="A147" s="49" t="s">
        <v>148</v>
      </c>
      <c r="B147" s="49"/>
      <c r="C147" s="49" t="s">
        <v>215</v>
      </c>
      <c r="D147" s="50">
        <v>45906.0</v>
      </c>
      <c r="E147" s="50">
        <v>45907.0</v>
      </c>
      <c r="F147" s="52" t="b">
        <v>0</v>
      </c>
      <c r="G147" s="56"/>
      <c r="H147" s="52" t="b">
        <v>0</v>
      </c>
      <c r="I147" s="56"/>
      <c r="J147" s="52" t="b">
        <v>0</v>
      </c>
      <c r="K147" s="52" t="b">
        <v>0</v>
      </c>
      <c r="L147" s="53"/>
      <c r="M147" s="54"/>
      <c r="N147" s="55"/>
    </row>
    <row r="148">
      <c r="A148" s="49" t="s">
        <v>148</v>
      </c>
      <c r="B148" s="49"/>
      <c r="C148" s="49" t="s">
        <v>216</v>
      </c>
      <c r="D148" s="50">
        <v>45906.0</v>
      </c>
      <c r="E148" s="50">
        <v>45907.0</v>
      </c>
      <c r="F148" s="52" t="b">
        <v>0</v>
      </c>
      <c r="G148" s="56"/>
      <c r="H148" s="52" t="b">
        <v>0</v>
      </c>
      <c r="I148" s="56"/>
      <c r="J148" s="52" t="b">
        <v>0</v>
      </c>
      <c r="K148" s="52" t="b">
        <v>0</v>
      </c>
      <c r="L148" s="53"/>
      <c r="M148" s="54"/>
      <c r="N148" s="55"/>
    </row>
    <row r="149">
      <c r="A149" s="49" t="s">
        <v>148</v>
      </c>
      <c r="B149" s="49"/>
      <c r="C149" s="49" t="s">
        <v>217</v>
      </c>
      <c r="D149" s="50">
        <v>45906.0</v>
      </c>
      <c r="E149" s="50">
        <v>45907.0</v>
      </c>
      <c r="F149" s="52" t="b">
        <v>0</v>
      </c>
      <c r="G149" s="56"/>
      <c r="H149" s="52" t="b">
        <v>0</v>
      </c>
      <c r="I149" s="56"/>
      <c r="J149" s="52" t="b">
        <v>0</v>
      </c>
      <c r="K149" s="52" t="b">
        <v>0</v>
      </c>
      <c r="L149" s="53"/>
      <c r="M149" s="54"/>
      <c r="N149" s="55"/>
    </row>
    <row r="150">
      <c r="A150" s="49" t="s">
        <v>148</v>
      </c>
      <c r="B150" s="49"/>
      <c r="C150" s="49" t="s">
        <v>218</v>
      </c>
      <c r="D150" s="50">
        <v>45906.0</v>
      </c>
      <c r="E150" s="50">
        <v>45907.0</v>
      </c>
      <c r="F150" s="52" t="b">
        <v>0</v>
      </c>
      <c r="G150" s="56"/>
      <c r="H150" s="52" t="b">
        <v>0</v>
      </c>
      <c r="I150" s="56"/>
      <c r="J150" s="52" t="b">
        <v>0</v>
      </c>
      <c r="K150" s="52" t="b">
        <v>0</v>
      </c>
      <c r="L150" s="53"/>
      <c r="M150" s="54"/>
      <c r="N150" s="55"/>
    </row>
    <row r="151">
      <c r="A151" s="49" t="s">
        <v>148</v>
      </c>
      <c r="B151" s="49"/>
      <c r="C151" s="49" t="s">
        <v>219</v>
      </c>
      <c r="D151" s="50">
        <v>45906.0</v>
      </c>
      <c r="E151" s="50">
        <v>45907.0</v>
      </c>
      <c r="F151" s="52" t="b">
        <v>0</v>
      </c>
      <c r="G151" s="56"/>
      <c r="H151" s="52" t="b">
        <v>0</v>
      </c>
      <c r="I151" s="56"/>
      <c r="J151" s="52" t="b">
        <v>0</v>
      </c>
      <c r="K151" s="52" t="b">
        <v>0</v>
      </c>
      <c r="L151" s="53"/>
      <c r="M151" s="54"/>
      <c r="N151" s="55"/>
    </row>
    <row r="152">
      <c r="A152" s="49" t="s">
        <v>148</v>
      </c>
      <c r="B152" s="49"/>
      <c r="C152" s="49" t="s">
        <v>220</v>
      </c>
      <c r="D152" s="50">
        <v>45906.0</v>
      </c>
      <c r="E152" s="50">
        <v>45907.0</v>
      </c>
      <c r="F152" s="52" t="b">
        <v>0</v>
      </c>
      <c r="G152" s="56"/>
      <c r="H152" s="52" t="b">
        <v>0</v>
      </c>
      <c r="I152" s="56"/>
      <c r="J152" s="52" t="b">
        <v>0</v>
      </c>
      <c r="K152" s="52" t="b">
        <v>0</v>
      </c>
      <c r="L152" s="53"/>
      <c r="M152" s="54"/>
      <c r="N152" s="55"/>
    </row>
    <row r="153">
      <c r="A153" s="49" t="s">
        <v>148</v>
      </c>
      <c r="B153" s="49"/>
      <c r="C153" s="49" t="s">
        <v>221</v>
      </c>
      <c r="D153" s="50">
        <v>45906.0</v>
      </c>
      <c r="E153" s="50">
        <v>45907.0</v>
      </c>
      <c r="F153" s="52" t="b">
        <v>0</v>
      </c>
      <c r="G153" s="56"/>
      <c r="H153" s="52" t="b">
        <v>0</v>
      </c>
      <c r="I153" s="56"/>
      <c r="J153" s="52" t="b">
        <v>0</v>
      </c>
      <c r="K153" s="52" t="b">
        <v>0</v>
      </c>
      <c r="L153" s="53"/>
      <c r="M153" s="54"/>
      <c r="N153" s="55"/>
    </row>
    <row r="154">
      <c r="A154" s="49" t="s">
        <v>148</v>
      </c>
      <c r="B154" s="49"/>
      <c r="C154" s="49" t="s">
        <v>222</v>
      </c>
      <c r="D154" s="50">
        <v>45906.0</v>
      </c>
      <c r="E154" s="50">
        <v>45907.0</v>
      </c>
      <c r="F154" s="52" t="b">
        <v>0</v>
      </c>
      <c r="G154" s="56"/>
      <c r="H154" s="52" t="b">
        <v>0</v>
      </c>
      <c r="I154" s="56"/>
      <c r="J154" s="52" t="b">
        <v>0</v>
      </c>
      <c r="K154" s="52" t="b">
        <v>0</v>
      </c>
      <c r="L154" s="53"/>
      <c r="M154" s="54"/>
      <c r="N154" s="55"/>
    </row>
    <row r="155">
      <c r="A155" s="49" t="s">
        <v>148</v>
      </c>
      <c r="B155" s="49"/>
      <c r="C155" s="49" t="s">
        <v>223</v>
      </c>
      <c r="D155" s="50">
        <v>45906.0</v>
      </c>
      <c r="E155" s="50">
        <v>45907.0</v>
      </c>
      <c r="F155" s="52" t="b">
        <v>0</v>
      </c>
      <c r="G155" s="56"/>
      <c r="H155" s="52" t="b">
        <v>0</v>
      </c>
      <c r="I155" s="56"/>
      <c r="J155" s="52" t="b">
        <v>0</v>
      </c>
      <c r="K155" s="52" t="b">
        <v>0</v>
      </c>
      <c r="L155" s="53"/>
      <c r="M155" s="54"/>
      <c r="N155" s="55"/>
    </row>
    <row r="156">
      <c r="A156" s="49" t="s">
        <v>148</v>
      </c>
      <c r="B156" s="49"/>
      <c r="C156" s="49" t="s">
        <v>224</v>
      </c>
      <c r="D156" s="50">
        <v>45906.0</v>
      </c>
      <c r="E156" s="50">
        <v>45907.0</v>
      </c>
      <c r="F156" s="52" t="b">
        <v>0</v>
      </c>
      <c r="G156" s="56"/>
      <c r="H156" s="52" t="b">
        <v>0</v>
      </c>
      <c r="I156" s="56"/>
      <c r="J156" s="52" t="b">
        <v>0</v>
      </c>
      <c r="K156" s="52" t="b">
        <v>0</v>
      </c>
      <c r="L156" s="53"/>
      <c r="M156" s="54"/>
      <c r="N156" s="55"/>
    </row>
    <row r="157">
      <c r="A157" s="49" t="s">
        <v>148</v>
      </c>
      <c r="B157" s="49"/>
      <c r="C157" s="49" t="s">
        <v>225</v>
      </c>
      <c r="D157" s="50">
        <v>45906.0</v>
      </c>
      <c r="E157" s="50">
        <v>45907.0</v>
      </c>
      <c r="F157" s="52" t="b">
        <v>0</v>
      </c>
      <c r="G157" s="56"/>
      <c r="H157" s="52" t="b">
        <v>0</v>
      </c>
      <c r="I157" s="56"/>
      <c r="J157" s="52" t="b">
        <v>0</v>
      </c>
      <c r="K157" s="52" t="b">
        <v>0</v>
      </c>
      <c r="L157" s="53"/>
      <c r="M157" s="54"/>
      <c r="N157" s="55"/>
    </row>
    <row r="158">
      <c r="A158" s="49" t="s">
        <v>148</v>
      </c>
      <c r="B158" s="49"/>
      <c r="C158" s="49" t="s">
        <v>226</v>
      </c>
      <c r="D158" s="50">
        <v>45906.0</v>
      </c>
      <c r="E158" s="50">
        <v>45907.0</v>
      </c>
      <c r="F158" s="52" t="b">
        <v>0</v>
      </c>
      <c r="G158" s="56"/>
      <c r="H158" s="52" t="b">
        <v>0</v>
      </c>
      <c r="I158" s="56"/>
      <c r="J158" s="52" t="b">
        <v>0</v>
      </c>
      <c r="K158" s="52" t="b">
        <v>0</v>
      </c>
      <c r="L158" s="53"/>
      <c r="M158" s="54"/>
      <c r="N158" s="55"/>
    </row>
    <row r="159">
      <c r="A159" s="49" t="s">
        <v>148</v>
      </c>
      <c r="B159" s="49"/>
      <c r="C159" s="49" t="s">
        <v>227</v>
      </c>
      <c r="D159" s="50">
        <v>45906.0</v>
      </c>
      <c r="E159" s="50">
        <v>45907.0</v>
      </c>
      <c r="F159" s="52" t="b">
        <v>0</v>
      </c>
      <c r="G159" s="56"/>
      <c r="H159" s="52" t="b">
        <v>0</v>
      </c>
      <c r="I159" s="56"/>
      <c r="J159" s="52" t="b">
        <v>0</v>
      </c>
      <c r="K159" s="52" t="b">
        <v>0</v>
      </c>
      <c r="L159" s="53"/>
      <c r="M159" s="54"/>
      <c r="N159" s="55"/>
    </row>
    <row r="160">
      <c r="A160" s="49" t="s">
        <v>148</v>
      </c>
      <c r="B160" s="49"/>
      <c r="C160" s="49" t="s">
        <v>228</v>
      </c>
      <c r="D160" s="50">
        <v>45906.0</v>
      </c>
      <c r="E160" s="50">
        <v>45907.0</v>
      </c>
      <c r="F160" s="52" t="b">
        <v>0</v>
      </c>
      <c r="G160" s="56"/>
      <c r="H160" s="52" t="b">
        <v>0</v>
      </c>
      <c r="I160" s="56"/>
      <c r="J160" s="52" t="b">
        <v>0</v>
      </c>
      <c r="K160" s="52" t="b">
        <v>0</v>
      </c>
      <c r="L160" s="53"/>
      <c r="M160" s="54"/>
      <c r="N160" s="55"/>
    </row>
    <row r="161">
      <c r="A161" s="49" t="s">
        <v>148</v>
      </c>
      <c r="B161" s="49"/>
      <c r="C161" s="49" t="s">
        <v>229</v>
      </c>
      <c r="D161" s="50">
        <v>45906.0</v>
      </c>
      <c r="E161" s="50">
        <v>45907.0</v>
      </c>
      <c r="F161" s="52" t="b">
        <v>0</v>
      </c>
      <c r="G161" s="56"/>
      <c r="H161" s="52" t="b">
        <v>0</v>
      </c>
      <c r="I161" s="56"/>
      <c r="J161" s="52" t="b">
        <v>0</v>
      </c>
      <c r="K161" s="52" t="b">
        <v>0</v>
      </c>
      <c r="L161" s="53"/>
      <c r="M161" s="54"/>
      <c r="N161" s="55"/>
    </row>
    <row r="162">
      <c r="A162" s="49" t="s">
        <v>148</v>
      </c>
      <c r="B162" s="49"/>
      <c r="C162" s="49" t="s">
        <v>230</v>
      </c>
      <c r="D162" s="50">
        <v>45906.0</v>
      </c>
      <c r="E162" s="50">
        <v>45907.0</v>
      </c>
      <c r="F162" s="52" t="b">
        <v>0</v>
      </c>
      <c r="G162" s="56"/>
      <c r="H162" s="52" t="b">
        <v>0</v>
      </c>
      <c r="I162" s="56"/>
      <c r="J162" s="52" t="b">
        <v>0</v>
      </c>
      <c r="K162" s="52" t="b">
        <v>0</v>
      </c>
      <c r="L162" s="53"/>
      <c r="M162" s="54"/>
      <c r="N162" s="55"/>
    </row>
    <row r="163">
      <c r="A163" s="49" t="s">
        <v>148</v>
      </c>
      <c r="B163" s="49"/>
      <c r="C163" s="49" t="s">
        <v>231</v>
      </c>
      <c r="D163" s="50">
        <v>45906.0</v>
      </c>
      <c r="E163" s="50">
        <v>45907.0</v>
      </c>
      <c r="F163" s="52" t="b">
        <v>0</v>
      </c>
      <c r="G163" s="56"/>
      <c r="H163" s="52" t="b">
        <v>0</v>
      </c>
      <c r="I163" s="56"/>
      <c r="J163" s="52" t="b">
        <v>0</v>
      </c>
      <c r="K163" s="52" t="b">
        <v>0</v>
      </c>
      <c r="L163" s="53"/>
      <c r="M163" s="54"/>
      <c r="N163" s="55"/>
    </row>
    <row r="164">
      <c r="A164" s="49" t="s">
        <v>148</v>
      </c>
      <c r="B164" s="49"/>
      <c r="C164" s="49" t="s">
        <v>232</v>
      </c>
      <c r="D164" s="50">
        <v>45906.0</v>
      </c>
      <c r="E164" s="50">
        <v>45907.0</v>
      </c>
      <c r="F164" s="52" t="b">
        <v>0</v>
      </c>
      <c r="G164" s="56"/>
      <c r="H164" s="52" t="b">
        <v>0</v>
      </c>
      <c r="I164" s="56"/>
      <c r="J164" s="52" t="b">
        <v>0</v>
      </c>
      <c r="K164" s="52" t="b">
        <v>0</v>
      </c>
      <c r="L164" s="53"/>
      <c r="M164" s="54"/>
      <c r="N164" s="55"/>
    </row>
    <row r="165">
      <c r="A165" s="49" t="s">
        <v>233</v>
      </c>
      <c r="B165" s="49" t="s">
        <v>234</v>
      </c>
      <c r="C165" s="49" t="s">
        <v>235</v>
      </c>
      <c r="D165" s="50">
        <v>45922.0</v>
      </c>
      <c r="E165" s="50">
        <v>45922.0</v>
      </c>
      <c r="F165" s="52" t="b">
        <v>0</v>
      </c>
      <c r="G165" s="56"/>
      <c r="H165" s="52" t="b">
        <v>0</v>
      </c>
      <c r="I165" s="56"/>
      <c r="J165" s="52" t="b">
        <v>0</v>
      </c>
      <c r="K165" s="52" t="b">
        <v>0</v>
      </c>
      <c r="L165" s="53"/>
      <c r="M165" s="54"/>
      <c r="N165" s="55"/>
    </row>
    <row r="166">
      <c r="A166" s="49" t="s">
        <v>233</v>
      </c>
      <c r="B166" s="49"/>
      <c r="C166" s="49" t="s">
        <v>236</v>
      </c>
      <c r="D166" s="50">
        <v>45922.0</v>
      </c>
      <c r="E166" s="50">
        <v>45922.0</v>
      </c>
      <c r="F166" s="52" t="b">
        <v>0</v>
      </c>
      <c r="G166" s="56"/>
      <c r="H166" s="52" t="b">
        <v>0</v>
      </c>
      <c r="I166" s="56"/>
      <c r="J166" s="52" t="b">
        <v>0</v>
      </c>
      <c r="K166" s="52" t="b">
        <v>0</v>
      </c>
      <c r="L166" s="53"/>
      <c r="M166" s="54"/>
      <c r="N166" s="55"/>
    </row>
    <row r="167">
      <c r="A167" s="49" t="s">
        <v>233</v>
      </c>
      <c r="B167" s="49"/>
      <c r="C167" s="49" t="s">
        <v>237</v>
      </c>
      <c r="D167" s="50">
        <v>45922.0</v>
      </c>
      <c r="E167" s="50">
        <v>45922.0</v>
      </c>
      <c r="F167" s="52" t="b">
        <v>0</v>
      </c>
      <c r="G167" s="56"/>
      <c r="H167" s="52" t="b">
        <v>0</v>
      </c>
      <c r="I167" s="56"/>
      <c r="J167" s="52" t="b">
        <v>0</v>
      </c>
      <c r="K167" s="52" t="b">
        <v>0</v>
      </c>
      <c r="L167" s="53"/>
      <c r="M167" s="54"/>
      <c r="N167" s="55"/>
    </row>
    <row r="168">
      <c r="A168" s="49" t="s">
        <v>233</v>
      </c>
      <c r="B168" s="49"/>
      <c r="C168" s="49" t="s">
        <v>238</v>
      </c>
      <c r="D168" s="50">
        <v>45922.0</v>
      </c>
      <c r="E168" s="50">
        <v>45922.0</v>
      </c>
      <c r="F168" s="52" t="b">
        <v>0</v>
      </c>
      <c r="G168" s="56"/>
      <c r="H168" s="52" t="b">
        <v>0</v>
      </c>
      <c r="I168" s="56"/>
      <c r="J168" s="52" t="b">
        <v>0</v>
      </c>
      <c r="K168" s="52" t="b">
        <v>0</v>
      </c>
      <c r="L168" s="53"/>
      <c r="M168" s="54"/>
      <c r="N168" s="55"/>
    </row>
    <row r="169">
      <c r="A169" s="49" t="s">
        <v>233</v>
      </c>
      <c r="B169" s="49"/>
      <c r="C169" s="49" t="s">
        <v>239</v>
      </c>
      <c r="D169" s="50">
        <v>45922.0</v>
      </c>
      <c r="E169" s="50">
        <v>45922.0</v>
      </c>
      <c r="F169" s="52" t="b">
        <v>0</v>
      </c>
      <c r="G169" s="56"/>
      <c r="H169" s="52" t="b">
        <v>0</v>
      </c>
      <c r="I169" s="56"/>
      <c r="J169" s="52" t="b">
        <v>0</v>
      </c>
      <c r="K169" s="52" t="b">
        <v>0</v>
      </c>
      <c r="L169" s="53"/>
      <c r="M169" s="54"/>
      <c r="N169" s="55"/>
    </row>
    <row r="170">
      <c r="A170" s="49" t="s">
        <v>233</v>
      </c>
      <c r="B170" s="49"/>
      <c r="C170" s="49" t="s">
        <v>240</v>
      </c>
      <c r="D170" s="50">
        <v>45922.0</v>
      </c>
      <c r="E170" s="50">
        <v>45922.0</v>
      </c>
      <c r="F170" s="52" t="b">
        <v>0</v>
      </c>
      <c r="G170" s="56"/>
      <c r="H170" s="52" t="b">
        <v>0</v>
      </c>
      <c r="I170" s="56"/>
      <c r="J170" s="52" t="b">
        <v>0</v>
      </c>
      <c r="K170" s="52" t="b">
        <v>0</v>
      </c>
      <c r="L170" s="53"/>
      <c r="M170" s="54"/>
      <c r="N170" s="55"/>
    </row>
    <row r="171">
      <c r="A171" s="49" t="s">
        <v>233</v>
      </c>
      <c r="B171" s="49"/>
      <c r="C171" s="49" t="s">
        <v>241</v>
      </c>
      <c r="D171" s="50">
        <v>45922.0</v>
      </c>
      <c r="E171" s="50">
        <v>45922.0</v>
      </c>
      <c r="F171" s="52" t="b">
        <v>0</v>
      </c>
      <c r="G171" s="56"/>
      <c r="H171" s="52" t="b">
        <v>0</v>
      </c>
      <c r="I171" s="56"/>
      <c r="J171" s="52" t="b">
        <v>0</v>
      </c>
      <c r="K171" s="52" t="b">
        <v>0</v>
      </c>
      <c r="L171" s="53"/>
      <c r="M171" s="54"/>
      <c r="N171" s="55"/>
    </row>
    <row r="172">
      <c r="A172" s="49" t="s">
        <v>233</v>
      </c>
      <c r="B172" s="49"/>
      <c r="C172" s="49" t="s">
        <v>242</v>
      </c>
      <c r="D172" s="50">
        <v>45922.0</v>
      </c>
      <c r="E172" s="50">
        <v>45922.0</v>
      </c>
      <c r="F172" s="52" t="b">
        <v>0</v>
      </c>
      <c r="G172" s="56"/>
      <c r="H172" s="52" t="b">
        <v>0</v>
      </c>
      <c r="I172" s="56"/>
      <c r="J172" s="52" t="b">
        <v>0</v>
      </c>
      <c r="K172" s="52" t="b">
        <v>0</v>
      </c>
      <c r="L172" s="53"/>
      <c r="M172" s="54"/>
      <c r="N172" s="55"/>
    </row>
    <row r="173">
      <c r="A173" s="49" t="s">
        <v>233</v>
      </c>
      <c r="B173" s="49"/>
      <c r="C173" s="49" t="s">
        <v>243</v>
      </c>
      <c r="D173" s="50">
        <v>45922.0</v>
      </c>
      <c r="E173" s="50">
        <v>45922.0</v>
      </c>
      <c r="F173" s="52" t="b">
        <v>0</v>
      </c>
      <c r="G173" s="56"/>
      <c r="H173" s="52" t="b">
        <v>0</v>
      </c>
      <c r="I173" s="56"/>
      <c r="J173" s="52" t="b">
        <v>0</v>
      </c>
      <c r="K173" s="52" t="b">
        <v>0</v>
      </c>
      <c r="L173" s="53"/>
      <c r="M173" s="54"/>
      <c r="N173" s="55"/>
    </row>
    <row r="174">
      <c r="A174" s="49" t="s">
        <v>233</v>
      </c>
      <c r="B174" s="49"/>
      <c r="C174" s="49" t="s">
        <v>244</v>
      </c>
      <c r="D174" s="50">
        <v>45922.0</v>
      </c>
      <c r="E174" s="50">
        <v>45922.0</v>
      </c>
      <c r="F174" s="52" t="b">
        <v>0</v>
      </c>
      <c r="G174" s="56"/>
      <c r="H174" s="52" t="b">
        <v>0</v>
      </c>
      <c r="I174" s="56"/>
      <c r="J174" s="52" t="b">
        <v>0</v>
      </c>
      <c r="K174" s="52" t="b">
        <v>0</v>
      </c>
      <c r="L174" s="53"/>
      <c r="M174" s="54"/>
      <c r="N174" s="55"/>
    </row>
    <row r="175">
      <c r="A175" s="49" t="s">
        <v>233</v>
      </c>
      <c r="B175" s="49"/>
      <c r="C175" s="49" t="s">
        <v>245</v>
      </c>
      <c r="D175" s="50">
        <v>45922.0</v>
      </c>
      <c r="E175" s="50">
        <v>45922.0</v>
      </c>
      <c r="F175" s="52" t="b">
        <v>0</v>
      </c>
      <c r="G175" s="56"/>
      <c r="H175" s="52" t="b">
        <v>0</v>
      </c>
      <c r="I175" s="56"/>
      <c r="J175" s="52" t="b">
        <v>0</v>
      </c>
      <c r="K175" s="52" t="b">
        <v>0</v>
      </c>
      <c r="L175" s="53"/>
      <c r="M175" s="54"/>
      <c r="N175" s="55"/>
    </row>
    <row r="176">
      <c r="A176" s="49" t="s">
        <v>233</v>
      </c>
      <c r="B176" s="49"/>
      <c r="C176" s="49" t="s">
        <v>246</v>
      </c>
      <c r="D176" s="50">
        <v>45922.0</v>
      </c>
      <c r="E176" s="50">
        <v>45922.0</v>
      </c>
      <c r="F176" s="52" t="b">
        <v>0</v>
      </c>
      <c r="G176" s="56"/>
      <c r="H176" s="52" t="b">
        <v>0</v>
      </c>
      <c r="I176" s="56"/>
      <c r="J176" s="52" t="b">
        <v>0</v>
      </c>
      <c r="K176" s="52" t="b">
        <v>0</v>
      </c>
      <c r="L176" s="53"/>
      <c r="M176" s="54"/>
      <c r="N176" s="55"/>
    </row>
    <row r="177">
      <c r="A177" s="49" t="s">
        <v>233</v>
      </c>
      <c r="B177" s="49"/>
      <c r="C177" s="49" t="s">
        <v>247</v>
      </c>
      <c r="D177" s="50">
        <v>45922.0</v>
      </c>
      <c r="E177" s="50">
        <v>45922.0</v>
      </c>
      <c r="F177" s="52" t="b">
        <v>0</v>
      </c>
      <c r="G177" s="56"/>
      <c r="H177" s="52" t="b">
        <v>0</v>
      </c>
      <c r="I177" s="56"/>
      <c r="J177" s="52" t="b">
        <v>0</v>
      </c>
      <c r="K177" s="52" t="b">
        <v>0</v>
      </c>
      <c r="L177" s="53"/>
      <c r="M177" s="54"/>
      <c r="N177" s="55"/>
    </row>
    <row r="178">
      <c r="A178" s="49" t="s">
        <v>233</v>
      </c>
      <c r="B178" s="49"/>
      <c r="C178" s="49" t="s">
        <v>248</v>
      </c>
      <c r="D178" s="50">
        <v>45922.0</v>
      </c>
      <c r="E178" s="50">
        <v>45922.0</v>
      </c>
      <c r="F178" s="52" t="b">
        <v>0</v>
      </c>
      <c r="G178" s="56"/>
      <c r="H178" s="52" t="b">
        <v>0</v>
      </c>
      <c r="I178" s="56"/>
      <c r="J178" s="52" t="b">
        <v>0</v>
      </c>
      <c r="K178" s="52" t="b">
        <v>0</v>
      </c>
      <c r="L178" s="53"/>
      <c r="M178" s="54"/>
      <c r="N178" s="55"/>
    </row>
    <row r="179">
      <c r="A179" s="49" t="s">
        <v>233</v>
      </c>
      <c r="B179" s="49"/>
      <c r="C179" s="49" t="s">
        <v>249</v>
      </c>
      <c r="D179" s="50">
        <v>45922.0</v>
      </c>
      <c r="E179" s="50">
        <v>45922.0</v>
      </c>
      <c r="F179" s="52" t="b">
        <v>0</v>
      </c>
      <c r="G179" s="56"/>
      <c r="H179" s="52" t="b">
        <v>0</v>
      </c>
      <c r="I179" s="56"/>
      <c r="J179" s="52" t="b">
        <v>0</v>
      </c>
      <c r="K179" s="52" t="b">
        <v>0</v>
      </c>
      <c r="L179" s="53"/>
      <c r="M179" s="54"/>
      <c r="N179" s="55"/>
    </row>
    <row r="180">
      <c r="A180" s="49" t="s">
        <v>233</v>
      </c>
      <c r="B180" s="49"/>
      <c r="C180" s="49" t="s">
        <v>250</v>
      </c>
      <c r="D180" s="50">
        <v>45922.0</v>
      </c>
      <c r="E180" s="50">
        <v>45922.0</v>
      </c>
      <c r="F180" s="52" t="b">
        <v>0</v>
      </c>
      <c r="G180" s="56"/>
      <c r="H180" s="52" t="b">
        <v>0</v>
      </c>
      <c r="I180" s="56"/>
      <c r="J180" s="52" t="b">
        <v>0</v>
      </c>
      <c r="K180" s="52" t="b">
        <v>0</v>
      </c>
      <c r="L180" s="53"/>
      <c r="M180" s="54"/>
      <c r="N180" s="55"/>
    </row>
    <row r="181">
      <c r="A181" s="49" t="s">
        <v>233</v>
      </c>
      <c r="B181" s="49"/>
      <c r="C181" s="49" t="s">
        <v>251</v>
      </c>
      <c r="D181" s="50">
        <v>45922.0</v>
      </c>
      <c r="E181" s="50">
        <v>45922.0</v>
      </c>
      <c r="F181" s="52" t="b">
        <v>0</v>
      </c>
      <c r="G181" s="56"/>
      <c r="H181" s="52" t="b">
        <v>0</v>
      </c>
      <c r="I181" s="56"/>
      <c r="J181" s="52" t="b">
        <v>0</v>
      </c>
      <c r="K181" s="52" t="b">
        <v>0</v>
      </c>
      <c r="L181" s="53"/>
      <c r="M181" s="54"/>
      <c r="N181" s="55"/>
    </row>
    <row r="182">
      <c r="A182" s="49" t="s">
        <v>233</v>
      </c>
      <c r="B182" s="49"/>
      <c r="C182" s="49" t="s">
        <v>252</v>
      </c>
      <c r="D182" s="50">
        <v>45922.0</v>
      </c>
      <c r="E182" s="50">
        <v>45922.0</v>
      </c>
      <c r="F182" s="52" t="b">
        <v>0</v>
      </c>
      <c r="G182" s="56"/>
      <c r="H182" s="52" t="b">
        <v>0</v>
      </c>
      <c r="I182" s="56"/>
      <c r="J182" s="52" t="b">
        <v>0</v>
      </c>
      <c r="K182" s="52" t="b">
        <v>0</v>
      </c>
      <c r="L182" s="53"/>
      <c r="M182" s="54"/>
      <c r="N182" s="55"/>
    </row>
    <row r="183">
      <c r="A183" s="49" t="s">
        <v>233</v>
      </c>
      <c r="B183" s="49"/>
      <c r="C183" s="49" t="s">
        <v>253</v>
      </c>
      <c r="D183" s="50">
        <v>45922.0</v>
      </c>
      <c r="E183" s="50">
        <v>45922.0</v>
      </c>
      <c r="F183" s="52" t="b">
        <v>0</v>
      </c>
      <c r="G183" s="56"/>
      <c r="H183" s="52" t="b">
        <v>0</v>
      </c>
      <c r="I183" s="56"/>
      <c r="J183" s="52" t="b">
        <v>0</v>
      </c>
      <c r="K183" s="52" t="b">
        <v>0</v>
      </c>
      <c r="L183" s="53"/>
      <c r="M183" s="54"/>
      <c r="N183" s="55"/>
    </row>
    <row r="184">
      <c r="A184" s="49" t="s">
        <v>233</v>
      </c>
      <c r="B184" s="49"/>
      <c r="C184" s="49" t="s">
        <v>254</v>
      </c>
      <c r="D184" s="50">
        <v>45922.0</v>
      </c>
      <c r="E184" s="50">
        <v>45922.0</v>
      </c>
      <c r="F184" s="52" t="b">
        <v>0</v>
      </c>
      <c r="G184" s="56"/>
      <c r="H184" s="52" t="b">
        <v>0</v>
      </c>
      <c r="I184" s="56"/>
      <c r="J184" s="52" t="b">
        <v>0</v>
      </c>
      <c r="K184" s="52" t="b">
        <v>0</v>
      </c>
      <c r="L184" s="53"/>
      <c r="M184" s="54"/>
      <c r="N184" s="55"/>
    </row>
    <row r="185">
      <c r="A185" s="49" t="s">
        <v>233</v>
      </c>
      <c r="B185" s="49"/>
      <c r="C185" s="49" t="s">
        <v>255</v>
      </c>
      <c r="D185" s="50">
        <v>45922.0</v>
      </c>
      <c r="E185" s="50">
        <v>45922.0</v>
      </c>
      <c r="F185" s="52" t="b">
        <v>0</v>
      </c>
      <c r="G185" s="56"/>
      <c r="H185" s="52" t="b">
        <v>0</v>
      </c>
      <c r="I185" s="56"/>
      <c r="J185" s="52" t="b">
        <v>0</v>
      </c>
      <c r="K185" s="52" t="b">
        <v>0</v>
      </c>
      <c r="L185" s="53"/>
      <c r="M185" s="54"/>
      <c r="N185" s="55"/>
    </row>
    <row r="186">
      <c r="A186" s="49" t="s">
        <v>233</v>
      </c>
      <c r="B186" s="49"/>
      <c r="C186" s="49" t="s">
        <v>256</v>
      </c>
      <c r="D186" s="50">
        <v>45922.0</v>
      </c>
      <c r="E186" s="50">
        <v>45922.0</v>
      </c>
      <c r="F186" s="52" t="b">
        <v>0</v>
      </c>
      <c r="G186" s="56"/>
      <c r="H186" s="52" t="b">
        <v>0</v>
      </c>
      <c r="I186" s="56"/>
      <c r="J186" s="52" t="b">
        <v>0</v>
      </c>
      <c r="K186" s="52" t="b">
        <v>0</v>
      </c>
      <c r="L186" s="53"/>
      <c r="M186" s="54"/>
      <c r="N186" s="55"/>
    </row>
    <row r="187">
      <c r="A187" s="49" t="s">
        <v>233</v>
      </c>
      <c r="B187" s="49"/>
      <c r="C187" s="49" t="s">
        <v>257</v>
      </c>
      <c r="D187" s="50">
        <v>45922.0</v>
      </c>
      <c r="E187" s="50">
        <v>45922.0</v>
      </c>
      <c r="F187" s="52" t="b">
        <v>0</v>
      </c>
      <c r="G187" s="56"/>
      <c r="H187" s="52" t="b">
        <v>0</v>
      </c>
      <c r="I187" s="56"/>
      <c r="J187" s="52" t="b">
        <v>0</v>
      </c>
      <c r="K187" s="52" t="b">
        <v>0</v>
      </c>
      <c r="L187" s="53"/>
      <c r="M187" s="54"/>
      <c r="N187" s="55"/>
    </row>
    <row r="188">
      <c r="A188" s="49" t="s">
        <v>233</v>
      </c>
      <c r="B188" s="49"/>
      <c r="C188" s="49" t="s">
        <v>258</v>
      </c>
      <c r="D188" s="50">
        <v>45922.0</v>
      </c>
      <c r="E188" s="50">
        <v>45922.0</v>
      </c>
      <c r="F188" s="52" t="b">
        <v>0</v>
      </c>
      <c r="G188" s="56"/>
      <c r="H188" s="52" t="b">
        <v>0</v>
      </c>
      <c r="I188" s="56"/>
      <c r="J188" s="52" t="b">
        <v>0</v>
      </c>
      <c r="K188" s="52" t="b">
        <v>0</v>
      </c>
      <c r="L188" s="53"/>
      <c r="M188" s="54"/>
      <c r="N188" s="55"/>
    </row>
    <row r="189">
      <c r="A189" s="49" t="s">
        <v>233</v>
      </c>
      <c r="B189" s="49"/>
      <c r="C189" s="49" t="s">
        <v>259</v>
      </c>
      <c r="D189" s="50">
        <v>45922.0</v>
      </c>
      <c r="E189" s="50">
        <v>45922.0</v>
      </c>
      <c r="F189" s="52" t="b">
        <v>0</v>
      </c>
      <c r="G189" s="56"/>
      <c r="H189" s="52" t="b">
        <v>0</v>
      </c>
      <c r="I189" s="56"/>
      <c r="J189" s="52" t="b">
        <v>0</v>
      </c>
      <c r="K189" s="52" t="b">
        <v>0</v>
      </c>
      <c r="L189" s="53"/>
      <c r="M189" s="54"/>
      <c r="N189" s="55"/>
    </row>
    <row r="190">
      <c r="A190" s="49" t="s">
        <v>233</v>
      </c>
      <c r="B190" s="49"/>
      <c r="C190" s="49" t="s">
        <v>260</v>
      </c>
      <c r="D190" s="50">
        <v>45922.0</v>
      </c>
      <c r="E190" s="50">
        <v>45922.0</v>
      </c>
      <c r="F190" s="52" t="b">
        <v>0</v>
      </c>
      <c r="G190" s="56"/>
      <c r="H190" s="52" t="b">
        <v>0</v>
      </c>
      <c r="I190" s="56"/>
      <c r="J190" s="52" t="b">
        <v>0</v>
      </c>
      <c r="K190" s="52" t="b">
        <v>0</v>
      </c>
      <c r="L190" s="53"/>
      <c r="M190" s="54"/>
      <c r="N190" s="55"/>
    </row>
    <row r="191">
      <c r="A191" s="49" t="s">
        <v>233</v>
      </c>
      <c r="B191" s="49"/>
      <c r="C191" s="49" t="s">
        <v>261</v>
      </c>
      <c r="D191" s="50">
        <v>45922.0</v>
      </c>
      <c r="E191" s="50">
        <v>45922.0</v>
      </c>
      <c r="F191" s="52" t="b">
        <v>0</v>
      </c>
      <c r="G191" s="56"/>
      <c r="H191" s="52" t="b">
        <v>0</v>
      </c>
      <c r="I191" s="56"/>
      <c r="J191" s="52" t="b">
        <v>0</v>
      </c>
      <c r="K191" s="52" t="b">
        <v>0</v>
      </c>
      <c r="L191" s="53"/>
      <c r="M191" s="54"/>
      <c r="N191" s="55"/>
    </row>
    <row r="192">
      <c r="A192" s="49" t="s">
        <v>233</v>
      </c>
      <c r="B192" s="49"/>
      <c r="C192" s="49" t="s">
        <v>262</v>
      </c>
      <c r="D192" s="50">
        <v>45922.0</v>
      </c>
      <c r="E192" s="50">
        <v>45922.0</v>
      </c>
      <c r="F192" s="52" t="b">
        <v>0</v>
      </c>
      <c r="G192" s="56"/>
      <c r="H192" s="52" t="b">
        <v>0</v>
      </c>
      <c r="I192" s="56"/>
      <c r="J192" s="52" t="b">
        <v>0</v>
      </c>
      <c r="K192" s="52" t="b">
        <v>0</v>
      </c>
      <c r="L192" s="53"/>
      <c r="M192" s="54"/>
      <c r="N192" s="55"/>
    </row>
    <row r="193">
      <c r="A193" s="49" t="s">
        <v>233</v>
      </c>
      <c r="B193" s="49"/>
      <c r="C193" s="49" t="s">
        <v>263</v>
      </c>
      <c r="D193" s="50">
        <v>45922.0</v>
      </c>
      <c r="E193" s="50">
        <v>45922.0</v>
      </c>
      <c r="F193" s="52" t="b">
        <v>0</v>
      </c>
      <c r="G193" s="56"/>
      <c r="H193" s="52" t="b">
        <v>0</v>
      </c>
      <c r="I193" s="56"/>
      <c r="J193" s="52" t="b">
        <v>0</v>
      </c>
      <c r="K193" s="52" t="b">
        <v>0</v>
      </c>
      <c r="L193" s="53"/>
      <c r="M193" s="54"/>
      <c r="N193" s="55"/>
    </row>
    <row r="194">
      <c r="A194" s="49" t="s">
        <v>233</v>
      </c>
      <c r="B194" s="49"/>
      <c r="C194" s="49" t="s">
        <v>264</v>
      </c>
      <c r="D194" s="50">
        <v>45922.0</v>
      </c>
      <c r="E194" s="50">
        <v>45922.0</v>
      </c>
      <c r="F194" s="52" t="b">
        <v>0</v>
      </c>
      <c r="G194" s="56"/>
      <c r="H194" s="52" t="b">
        <v>0</v>
      </c>
      <c r="I194" s="56"/>
      <c r="J194" s="52" t="b">
        <v>0</v>
      </c>
      <c r="K194" s="52" t="b">
        <v>0</v>
      </c>
      <c r="L194" s="53"/>
      <c r="M194" s="54"/>
      <c r="N194" s="55"/>
    </row>
    <row r="195">
      <c r="A195" s="49" t="s">
        <v>233</v>
      </c>
      <c r="B195" s="49"/>
      <c r="C195" s="49" t="s">
        <v>265</v>
      </c>
      <c r="D195" s="50">
        <v>45922.0</v>
      </c>
      <c r="E195" s="50">
        <v>45922.0</v>
      </c>
      <c r="F195" s="52" t="b">
        <v>0</v>
      </c>
      <c r="G195" s="56"/>
      <c r="H195" s="52" t="b">
        <v>0</v>
      </c>
      <c r="I195" s="56"/>
      <c r="J195" s="52" t="b">
        <v>0</v>
      </c>
      <c r="K195" s="52" t="b">
        <v>0</v>
      </c>
      <c r="L195" s="53"/>
      <c r="M195" s="54"/>
      <c r="N195" s="55"/>
    </row>
    <row r="196">
      <c r="A196" s="49" t="s">
        <v>233</v>
      </c>
      <c r="B196" s="49"/>
      <c r="C196" s="49" t="s">
        <v>266</v>
      </c>
      <c r="D196" s="50">
        <v>45922.0</v>
      </c>
      <c r="E196" s="50">
        <v>45922.0</v>
      </c>
      <c r="F196" s="52" t="b">
        <v>0</v>
      </c>
      <c r="G196" s="56"/>
      <c r="H196" s="52" t="b">
        <v>0</v>
      </c>
      <c r="I196" s="56"/>
      <c r="J196" s="52" t="b">
        <v>0</v>
      </c>
      <c r="K196" s="52" t="b">
        <v>0</v>
      </c>
      <c r="L196" s="53"/>
      <c r="M196" s="54"/>
      <c r="N196" s="55"/>
    </row>
    <row r="197">
      <c r="A197" s="49" t="s">
        <v>233</v>
      </c>
      <c r="B197" s="49"/>
      <c r="C197" s="49" t="s">
        <v>267</v>
      </c>
      <c r="D197" s="50">
        <v>45922.0</v>
      </c>
      <c r="E197" s="50">
        <v>45922.0</v>
      </c>
      <c r="F197" s="52" t="b">
        <v>0</v>
      </c>
      <c r="G197" s="56"/>
      <c r="H197" s="52" t="b">
        <v>0</v>
      </c>
      <c r="I197" s="56"/>
      <c r="J197" s="52" t="b">
        <v>0</v>
      </c>
      <c r="K197" s="52" t="b">
        <v>0</v>
      </c>
      <c r="L197" s="53"/>
      <c r="M197" s="54"/>
      <c r="N197" s="55"/>
    </row>
    <row r="198">
      <c r="A198" s="49" t="s">
        <v>233</v>
      </c>
      <c r="B198" s="49"/>
      <c r="C198" s="49" t="s">
        <v>268</v>
      </c>
      <c r="D198" s="50">
        <v>45922.0</v>
      </c>
      <c r="E198" s="50">
        <v>45922.0</v>
      </c>
      <c r="F198" s="52" t="b">
        <v>0</v>
      </c>
      <c r="G198" s="56"/>
      <c r="H198" s="52" t="b">
        <v>0</v>
      </c>
      <c r="I198" s="56"/>
      <c r="J198" s="52" t="b">
        <v>0</v>
      </c>
      <c r="K198" s="52" t="b">
        <v>0</v>
      </c>
      <c r="L198" s="53"/>
      <c r="M198" s="54"/>
      <c r="N198" s="55"/>
    </row>
    <row r="199">
      <c r="A199" s="49" t="s">
        <v>233</v>
      </c>
      <c r="B199" s="49"/>
      <c r="C199" s="49" t="s">
        <v>269</v>
      </c>
      <c r="D199" s="50">
        <v>45922.0</v>
      </c>
      <c r="E199" s="50">
        <v>45922.0</v>
      </c>
      <c r="F199" s="52" t="b">
        <v>0</v>
      </c>
      <c r="G199" s="56"/>
      <c r="H199" s="52" t="b">
        <v>0</v>
      </c>
      <c r="I199" s="56"/>
      <c r="J199" s="52" t="b">
        <v>0</v>
      </c>
      <c r="K199" s="52" t="b">
        <v>0</v>
      </c>
      <c r="L199" s="53"/>
      <c r="M199" s="54"/>
      <c r="N199" s="55"/>
    </row>
    <row r="200">
      <c r="A200" s="49" t="s">
        <v>233</v>
      </c>
      <c r="B200" s="49"/>
      <c r="C200" s="49" t="s">
        <v>270</v>
      </c>
      <c r="D200" s="50">
        <v>45922.0</v>
      </c>
      <c r="E200" s="50">
        <v>45922.0</v>
      </c>
      <c r="F200" s="52" t="b">
        <v>0</v>
      </c>
      <c r="G200" s="56"/>
      <c r="H200" s="52" t="b">
        <v>0</v>
      </c>
      <c r="I200" s="56"/>
      <c r="J200" s="52" t="b">
        <v>0</v>
      </c>
      <c r="K200" s="52" t="b">
        <v>0</v>
      </c>
      <c r="L200" s="53"/>
      <c r="M200" s="54"/>
      <c r="N200" s="55"/>
    </row>
    <row r="201">
      <c r="A201" s="49" t="s">
        <v>233</v>
      </c>
      <c r="B201" s="49"/>
      <c r="C201" s="49" t="s">
        <v>271</v>
      </c>
      <c r="D201" s="50">
        <v>45922.0</v>
      </c>
      <c r="E201" s="50">
        <v>45922.0</v>
      </c>
      <c r="F201" s="52" t="b">
        <v>0</v>
      </c>
      <c r="G201" s="56"/>
      <c r="H201" s="52" t="b">
        <v>0</v>
      </c>
      <c r="I201" s="56"/>
      <c r="J201" s="52" t="b">
        <v>0</v>
      </c>
      <c r="K201" s="52" t="b">
        <v>0</v>
      </c>
      <c r="L201" s="53"/>
      <c r="M201" s="54"/>
      <c r="N201" s="55"/>
    </row>
    <row r="202">
      <c r="A202" s="49" t="s">
        <v>233</v>
      </c>
      <c r="B202" s="49"/>
      <c r="C202" s="49" t="s">
        <v>272</v>
      </c>
      <c r="D202" s="50">
        <v>45922.0</v>
      </c>
      <c r="E202" s="50">
        <v>45922.0</v>
      </c>
      <c r="F202" s="52" t="b">
        <v>0</v>
      </c>
      <c r="G202" s="56"/>
      <c r="H202" s="52" t="b">
        <v>0</v>
      </c>
      <c r="I202" s="56"/>
      <c r="J202" s="52" t="b">
        <v>0</v>
      </c>
      <c r="K202" s="52" t="b">
        <v>0</v>
      </c>
      <c r="L202" s="53"/>
      <c r="M202" s="54"/>
      <c r="N202" s="55"/>
    </row>
    <row r="203">
      <c r="A203" s="49" t="s">
        <v>233</v>
      </c>
      <c r="B203" s="49"/>
      <c r="C203" s="49" t="s">
        <v>273</v>
      </c>
      <c r="D203" s="50">
        <v>45922.0</v>
      </c>
      <c r="E203" s="50">
        <v>45922.0</v>
      </c>
      <c r="F203" s="52" t="b">
        <v>0</v>
      </c>
      <c r="G203" s="56"/>
      <c r="H203" s="52" t="b">
        <v>0</v>
      </c>
      <c r="I203" s="56"/>
      <c r="J203" s="52" t="b">
        <v>0</v>
      </c>
      <c r="K203" s="52" t="b">
        <v>0</v>
      </c>
      <c r="L203" s="53"/>
      <c r="M203" s="54"/>
      <c r="N203" s="55"/>
    </row>
    <row r="204">
      <c r="A204" s="49" t="s">
        <v>233</v>
      </c>
      <c r="B204" s="49"/>
      <c r="C204" s="49" t="s">
        <v>274</v>
      </c>
      <c r="D204" s="50">
        <v>45922.0</v>
      </c>
      <c r="E204" s="50">
        <v>45922.0</v>
      </c>
      <c r="F204" s="52" t="b">
        <v>0</v>
      </c>
      <c r="G204" s="56"/>
      <c r="H204" s="52" t="b">
        <v>0</v>
      </c>
      <c r="I204" s="56"/>
      <c r="J204" s="52" t="b">
        <v>0</v>
      </c>
      <c r="K204" s="52" t="b">
        <v>0</v>
      </c>
      <c r="L204" s="53"/>
      <c r="M204" s="54"/>
      <c r="N204" s="55"/>
    </row>
    <row r="205">
      <c r="A205" s="49" t="s">
        <v>233</v>
      </c>
      <c r="B205" s="49"/>
      <c r="C205" s="49" t="s">
        <v>275</v>
      </c>
      <c r="D205" s="50">
        <v>45922.0</v>
      </c>
      <c r="E205" s="50">
        <v>45922.0</v>
      </c>
      <c r="F205" s="52" t="b">
        <v>0</v>
      </c>
      <c r="G205" s="56"/>
      <c r="H205" s="52" t="b">
        <v>0</v>
      </c>
      <c r="I205" s="56"/>
      <c r="J205" s="52" t="b">
        <v>0</v>
      </c>
      <c r="K205" s="52" t="b">
        <v>0</v>
      </c>
      <c r="L205" s="53"/>
      <c r="M205" s="54"/>
      <c r="N205" s="55"/>
    </row>
    <row r="206">
      <c r="A206" s="49" t="s">
        <v>233</v>
      </c>
      <c r="B206" s="49"/>
      <c r="C206" s="49" t="s">
        <v>276</v>
      </c>
      <c r="D206" s="50">
        <v>45922.0</v>
      </c>
      <c r="E206" s="50">
        <v>45922.0</v>
      </c>
      <c r="F206" s="52" t="b">
        <v>0</v>
      </c>
      <c r="G206" s="56"/>
      <c r="H206" s="52" t="b">
        <v>0</v>
      </c>
      <c r="I206" s="56"/>
      <c r="J206" s="52" t="b">
        <v>0</v>
      </c>
      <c r="K206" s="52" t="b">
        <v>0</v>
      </c>
      <c r="L206" s="53"/>
      <c r="M206" s="54"/>
      <c r="N206" s="55"/>
    </row>
    <row r="207">
      <c r="A207" s="49" t="s">
        <v>233</v>
      </c>
      <c r="B207" s="49"/>
      <c r="C207" s="49" t="s">
        <v>277</v>
      </c>
      <c r="D207" s="50">
        <v>45922.0</v>
      </c>
      <c r="E207" s="50">
        <v>45922.0</v>
      </c>
      <c r="F207" s="52" t="b">
        <v>0</v>
      </c>
      <c r="G207" s="56"/>
      <c r="H207" s="52" t="b">
        <v>0</v>
      </c>
      <c r="I207" s="56"/>
      <c r="J207" s="52" t="b">
        <v>0</v>
      </c>
      <c r="K207" s="52" t="b">
        <v>0</v>
      </c>
      <c r="L207" s="53"/>
      <c r="M207" s="54"/>
      <c r="N207" s="55"/>
    </row>
    <row r="208">
      <c r="A208" s="49" t="s">
        <v>233</v>
      </c>
      <c r="B208" s="49"/>
      <c r="C208" s="49" t="s">
        <v>278</v>
      </c>
      <c r="D208" s="50">
        <v>45922.0</v>
      </c>
      <c r="E208" s="50">
        <v>45922.0</v>
      </c>
      <c r="F208" s="52" t="b">
        <v>0</v>
      </c>
      <c r="G208" s="56"/>
      <c r="H208" s="52" t="b">
        <v>0</v>
      </c>
      <c r="I208" s="56"/>
      <c r="J208" s="52" t="b">
        <v>0</v>
      </c>
      <c r="K208" s="52" t="b">
        <v>0</v>
      </c>
      <c r="L208" s="53"/>
      <c r="M208" s="54"/>
      <c r="N208" s="55"/>
    </row>
    <row r="209">
      <c r="A209" s="49" t="s">
        <v>233</v>
      </c>
      <c r="B209" s="49"/>
      <c r="C209" s="49" t="s">
        <v>279</v>
      </c>
      <c r="D209" s="50">
        <v>45922.0</v>
      </c>
      <c r="E209" s="50">
        <v>45922.0</v>
      </c>
      <c r="F209" s="52" t="b">
        <v>0</v>
      </c>
      <c r="G209" s="56"/>
      <c r="H209" s="52" t="b">
        <v>0</v>
      </c>
      <c r="I209" s="56"/>
      <c r="J209" s="52" t="b">
        <v>0</v>
      </c>
      <c r="K209" s="52" t="b">
        <v>0</v>
      </c>
      <c r="L209" s="53"/>
      <c r="M209" s="54"/>
      <c r="N209" s="55"/>
    </row>
    <row r="210">
      <c r="A210" s="49" t="s">
        <v>233</v>
      </c>
      <c r="B210" s="49"/>
      <c r="C210" s="49" t="s">
        <v>280</v>
      </c>
      <c r="D210" s="50">
        <v>45922.0</v>
      </c>
      <c r="E210" s="50">
        <v>45922.0</v>
      </c>
      <c r="F210" s="52" t="b">
        <v>0</v>
      </c>
      <c r="G210" s="56"/>
      <c r="H210" s="52" t="b">
        <v>0</v>
      </c>
      <c r="I210" s="56"/>
      <c r="J210" s="52" t="b">
        <v>0</v>
      </c>
      <c r="K210" s="52" t="b">
        <v>0</v>
      </c>
      <c r="L210" s="53"/>
      <c r="M210" s="54"/>
      <c r="N210" s="55"/>
    </row>
    <row r="211">
      <c r="A211" s="49" t="s">
        <v>233</v>
      </c>
      <c r="B211" s="49"/>
      <c r="C211" s="49" t="s">
        <v>281</v>
      </c>
      <c r="D211" s="50">
        <v>45922.0</v>
      </c>
      <c r="E211" s="50">
        <v>45922.0</v>
      </c>
      <c r="F211" s="52" t="b">
        <v>0</v>
      </c>
      <c r="G211" s="56"/>
      <c r="H211" s="52" t="b">
        <v>0</v>
      </c>
      <c r="I211" s="56"/>
      <c r="J211" s="52" t="b">
        <v>0</v>
      </c>
      <c r="K211" s="52" t="b">
        <v>0</v>
      </c>
      <c r="L211" s="53"/>
      <c r="M211" s="54"/>
      <c r="N211" s="55"/>
    </row>
    <row r="212">
      <c r="A212" s="49" t="s">
        <v>233</v>
      </c>
      <c r="B212" s="49"/>
      <c r="C212" s="49" t="s">
        <v>282</v>
      </c>
      <c r="D212" s="50">
        <v>45922.0</v>
      </c>
      <c r="E212" s="50">
        <v>45922.0</v>
      </c>
      <c r="F212" s="52" t="b">
        <v>0</v>
      </c>
      <c r="G212" s="56"/>
      <c r="H212" s="52" t="b">
        <v>0</v>
      </c>
      <c r="I212" s="56"/>
      <c r="J212" s="52" t="b">
        <v>0</v>
      </c>
      <c r="K212" s="52" t="b">
        <v>0</v>
      </c>
      <c r="L212" s="53"/>
      <c r="M212" s="54"/>
      <c r="N212" s="55"/>
    </row>
    <row r="213">
      <c r="A213" s="49" t="s">
        <v>233</v>
      </c>
      <c r="B213" s="49"/>
      <c r="C213" s="49" t="s">
        <v>283</v>
      </c>
      <c r="D213" s="50">
        <v>45922.0</v>
      </c>
      <c r="E213" s="50">
        <v>45922.0</v>
      </c>
      <c r="F213" s="52" t="b">
        <v>0</v>
      </c>
      <c r="G213" s="56"/>
      <c r="H213" s="52" t="b">
        <v>0</v>
      </c>
      <c r="I213" s="56"/>
      <c r="J213" s="52" t="b">
        <v>0</v>
      </c>
      <c r="K213" s="52" t="b">
        <v>0</v>
      </c>
      <c r="L213" s="53"/>
      <c r="M213" s="54"/>
      <c r="N213" s="55"/>
    </row>
    <row r="214">
      <c r="A214" s="49" t="s">
        <v>233</v>
      </c>
      <c r="B214" s="49"/>
      <c r="C214" s="49" t="s">
        <v>284</v>
      </c>
      <c r="D214" s="50">
        <v>45922.0</v>
      </c>
      <c r="E214" s="50">
        <v>45922.0</v>
      </c>
      <c r="F214" s="52" t="b">
        <v>0</v>
      </c>
      <c r="G214" s="56"/>
      <c r="H214" s="52" t="b">
        <v>0</v>
      </c>
      <c r="I214" s="56"/>
      <c r="J214" s="52" t="b">
        <v>0</v>
      </c>
      <c r="K214" s="52" t="b">
        <v>0</v>
      </c>
      <c r="L214" s="53"/>
      <c r="M214" s="54"/>
      <c r="N214" s="55"/>
    </row>
    <row r="215">
      <c r="A215" s="49" t="s">
        <v>233</v>
      </c>
      <c r="B215" s="49"/>
      <c r="C215" s="49" t="s">
        <v>285</v>
      </c>
      <c r="D215" s="50">
        <v>45922.0</v>
      </c>
      <c r="E215" s="50">
        <v>45922.0</v>
      </c>
      <c r="F215" s="52" t="b">
        <v>0</v>
      </c>
      <c r="G215" s="56"/>
      <c r="H215" s="52" t="b">
        <v>0</v>
      </c>
      <c r="I215" s="56"/>
      <c r="J215" s="52" t="b">
        <v>0</v>
      </c>
      <c r="K215" s="52" t="b">
        <v>0</v>
      </c>
      <c r="L215" s="53"/>
      <c r="M215" s="54"/>
      <c r="N215" s="55"/>
    </row>
    <row r="216">
      <c r="A216" s="49" t="s">
        <v>233</v>
      </c>
      <c r="B216" s="49"/>
      <c r="C216" s="49" t="s">
        <v>286</v>
      </c>
      <c r="D216" s="50">
        <v>45922.0</v>
      </c>
      <c r="E216" s="50">
        <v>45922.0</v>
      </c>
      <c r="F216" s="52" t="b">
        <v>0</v>
      </c>
      <c r="G216" s="56"/>
      <c r="H216" s="52" t="b">
        <v>0</v>
      </c>
      <c r="I216" s="56"/>
      <c r="J216" s="52" t="b">
        <v>0</v>
      </c>
      <c r="K216" s="52" t="b">
        <v>0</v>
      </c>
      <c r="L216" s="53"/>
      <c r="M216" s="54"/>
      <c r="N216" s="55"/>
    </row>
    <row r="217">
      <c r="A217" s="49" t="s">
        <v>233</v>
      </c>
      <c r="B217" s="49"/>
      <c r="C217" s="49" t="s">
        <v>287</v>
      </c>
      <c r="D217" s="50">
        <v>45922.0</v>
      </c>
      <c r="E217" s="50">
        <v>45922.0</v>
      </c>
      <c r="F217" s="52" t="b">
        <v>0</v>
      </c>
      <c r="G217" s="56"/>
      <c r="H217" s="52" t="b">
        <v>0</v>
      </c>
      <c r="I217" s="56"/>
      <c r="J217" s="52" t="b">
        <v>0</v>
      </c>
      <c r="K217" s="52" t="b">
        <v>0</v>
      </c>
      <c r="L217" s="53"/>
      <c r="M217" s="54"/>
      <c r="N217" s="55"/>
    </row>
    <row r="218">
      <c r="A218" s="49" t="s">
        <v>233</v>
      </c>
      <c r="B218" s="49"/>
      <c r="C218" s="49" t="s">
        <v>288</v>
      </c>
      <c r="D218" s="50">
        <v>45922.0</v>
      </c>
      <c r="E218" s="50">
        <v>45922.0</v>
      </c>
      <c r="F218" s="52" t="b">
        <v>0</v>
      </c>
      <c r="G218" s="56"/>
      <c r="H218" s="52" t="b">
        <v>0</v>
      </c>
      <c r="I218" s="56"/>
      <c r="J218" s="52" t="b">
        <v>0</v>
      </c>
      <c r="K218" s="52" t="b">
        <v>0</v>
      </c>
      <c r="L218" s="53"/>
      <c r="M218" s="54"/>
      <c r="N218" s="55"/>
    </row>
    <row r="219">
      <c r="A219" s="49" t="s">
        <v>233</v>
      </c>
      <c r="B219" s="49"/>
      <c r="C219" s="49" t="s">
        <v>289</v>
      </c>
      <c r="D219" s="50">
        <v>45922.0</v>
      </c>
      <c r="E219" s="50">
        <v>45922.0</v>
      </c>
      <c r="F219" s="52" t="b">
        <v>0</v>
      </c>
      <c r="G219" s="56"/>
      <c r="H219" s="52" t="b">
        <v>0</v>
      </c>
      <c r="I219" s="56"/>
      <c r="J219" s="52" t="b">
        <v>0</v>
      </c>
      <c r="K219" s="52" t="b">
        <v>0</v>
      </c>
      <c r="L219" s="53"/>
      <c r="M219" s="54"/>
      <c r="N219" s="55"/>
    </row>
    <row r="220">
      <c r="A220" s="49" t="s">
        <v>233</v>
      </c>
      <c r="B220" s="49"/>
      <c r="C220" s="49" t="s">
        <v>290</v>
      </c>
      <c r="D220" s="50">
        <v>45922.0</v>
      </c>
      <c r="E220" s="50">
        <v>45922.0</v>
      </c>
      <c r="F220" s="52" t="b">
        <v>0</v>
      </c>
      <c r="G220" s="56"/>
      <c r="H220" s="52" t="b">
        <v>0</v>
      </c>
      <c r="I220" s="56"/>
      <c r="J220" s="52" t="b">
        <v>0</v>
      </c>
      <c r="K220" s="52" t="b">
        <v>0</v>
      </c>
      <c r="L220" s="53"/>
      <c r="M220" s="54"/>
      <c r="N220" s="55"/>
    </row>
    <row r="221">
      <c r="A221" s="49" t="s">
        <v>233</v>
      </c>
      <c r="B221" s="49"/>
      <c r="C221" s="49" t="s">
        <v>291</v>
      </c>
      <c r="D221" s="50">
        <v>45922.0</v>
      </c>
      <c r="E221" s="50">
        <v>45922.0</v>
      </c>
      <c r="F221" s="52" t="b">
        <v>0</v>
      </c>
      <c r="G221" s="56"/>
      <c r="H221" s="52" t="b">
        <v>0</v>
      </c>
      <c r="I221" s="56"/>
      <c r="J221" s="52" t="b">
        <v>0</v>
      </c>
      <c r="K221" s="52" t="b">
        <v>0</v>
      </c>
      <c r="L221" s="53"/>
      <c r="M221" s="54"/>
      <c r="N221" s="55"/>
    </row>
    <row r="222">
      <c r="A222" s="49" t="s">
        <v>233</v>
      </c>
      <c r="B222" s="49"/>
      <c r="C222" s="49" t="s">
        <v>292</v>
      </c>
      <c r="D222" s="50">
        <v>45922.0</v>
      </c>
      <c r="E222" s="50">
        <v>45922.0</v>
      </c>
      <c r="F222" s="52" t="b">
        <v>0</v>
      </c>
      <c r="G222" s="56"/>
      <c r="H222" s="52" t="b">
        <v>0</v>
      </c>
      <c r="I222" s="56"/>
      <c r="J222" s="52" t="b">
        <v>0</v>
      </c>
      <c r="K222" s="52" t="b">
        <v>0</v>
      </c>
      <c r="L222" s="53"/>
      <c r="M222" s="54"/>
      <c r="N222" s="55"/>
    </row>
    <row r="223">
      <c r="A223" s="49" t="s">
        <v>233</v>
      </c>
      <c r="B223" s="49"/>
      <c r="C223" s="49" t="s">
        <v>293</v>
      </c>
      <c r="D223" s="50">
        <v>45922.0</v>
      </c>
      <c r="E223" s="50">
        <v>45922.0</v>
      </c>
      <c r="F223" s="52" t="b">
        <v>0</v>
      </c>
      <c r="G223" s="56"/>
      <c r="H223" s="52" t="b">
        <v>0</v>
      </c>
      <c r="I223" s="56"/>
      <c r="J223" s="52" t="b">
        <v>0</v>
      </c>
      <c r="K223" s="52" t="b">
        <v>0</v>
      </c>
      <c r="L223" s="53"/>
      <c r="M223" s="54"/>
      <c r="N223" s="55"/>
    </row>
    <row r="224">
      <c r="A224" s="49" t="s">
        <v>233</v>
      </c>
      <c r="B224" s="49"/>
      <c r="C224" s="49" t="s">
        <v>294</v>
      </c>
      <c r="D224" s="50">
        <v>45922.0</v>
      </c>
      <c r="E224" s="50">
        <v>45922.0</v>
      </c>
      <c r="F224" s="52" t="b">
        <v>0</v>
      </c>
      <c r="G224" s="56"/>
      <c r="H224" s="52" t="b">
        <v>0</v>
      </c>
      <c r="I224" s="56"/>
      <c r="J224" s="52" t="b">
        <v>0</v>
      </c>
      <c r="K224" s="52" t="b">
        <v>0</v>
      </c>
      <c r="L224" s="53"/>
      <c r="M224" s="54"/>
      <c r="N224" s="55"/>
    </row>
    <row r="225">
      <c r="A225" s="49" t="s">
        <v>295</v>
      </c>
      <c r="B225" s="49"/>
      <c r="C225" s="49" t="s">
        <v>296</v>
      </c>
      <c r="D225" s="50">
        <v>45937.0</v>
      </c>
      <c r="E225" s="50">
        <v>45951.0</v>
      </c>
      <c r="F225" s="52" t="b">
        <v>0</v>
      </c>
      <c r="G225" s="56"/>
      <c r="H225" s="52" t="b">
        <v>0</v>
      </c>
      <c r="I225" s="56"/>
      <c r="J225" s="52" t="b">
        <v>0</v>
      </c>
      <c r="K225" s="52" t="b">
        <v>0</v>
      </c>
      <c r="L225" s="53"/>
      <c r="M225" s="54"/>
      <c r="N225" s="55"/>
    </row>
    <row r="226">
      <c r="A226" s="49" t="s">
        <v>295</v>
      </c>
      <c r="B226" s="49"/>
      <c r="C226" s="49" t="s">
        <v>297</v>
      </c>
      <c r="D226" s="50">
        <v>45937.0</v>
      </c>
      <c r="E226" s="50">
        <v>45951.0</v>
      </c>
      <c r="F226" s="52" t="b">
        <v>0</v>
      </c>
      <c r="G226" s="56"/>
      <c r="H226" s="52" t="b">
        <v>0</v>
      </c>
      <c r="I226" s="56"/>
      <c r="J226" s="52" t="b">
        <v>0</v>
      </c>
      <c r="K226" s="52" t="b">
        <v>0</v>
      </c>
      <c r="L226" s="53"/>
      <c r="M226" s="54"/>
      <c r="N226" s="55"/>
    </row>
    <row r="227">
      <c r="A227" s="49" t="s">
        <v>295</v>
      </c>
      <c r="B227" s="49"/>
      <c r="C227" s="49" t="s">
        <v>298</v>
      </c>
      <c r="D227" s="50">
        <v>45937.0</v>
      </c>
      <c r="E227" s="50">
        <v>45951.0</v>
      </c>
      <c r="F227" s="52" t="b">
        <v>0</v>
      </c>
      <c r="G227" s="56"/>
      <c r="H227" s="52" t="b">
        <v>0</v>
      </c>
      <c r="I227" s="56"/>
      <c r="J227" s="52" t="b">
        <v>0</v>
      </c>
      <c r="K227" s="52" t="b">
        <v>0</v>
      </c>
      <c r="L227" s="53"/>
      <c r="M227" s="54"/>
      <c r="N227" s="55"/>
    </row>
    <row r="228">
      <c r="A228" s="49" t="s">
        <v>295</v>
      </c>
      <c r="B228" s="49"/>
      <c r="C228" s="49" t="s">
        <v>299</v>
      </c>
      <c r="D228" s="50">
        <v>45937.0</v>
      </c>
      <c r="E228" s="50">
        <v>45951.0</v>
      </c>
      <c r="F228" s="52" t="b">
        <v>0</v>
      </c>
      <c r="G228" s="56"/>
      <c r="H228" s="52" t="b">
        <v>0</v>
      </c>
      <c r="I228" s="56"/>
      <c r="J228" s="52" t="b">
        <v>0</v>
      </c>
      <c r="K228" s="52" t="b">
        <v>0</v>
      </c>
      <c r="L228" s="53"/>
      <c r="M228" s="54"/>
      <c r="N228" s="55"/>
    </row>
    <row r="229">
      <c r="A229" s="49" t="s">
        <v>295</v>
      </c>
      <c r="B229" s="49"/>
      <c r="C229" s="49" t="s">
        <v>300</v>
      </c>
      <c r="D229" s="50">
        <v>45937.0</v>
      </c>
      <c r="E229" s="50">
        <v>45951.0</v>
      </c>
      <c r="F229" s="52" t="b">
        <v>0</v>
      </c>
      <c r="G229" s="56"/>
      <c r="H229" s="52" t="b">
        <v>0</v>
      </c>
      <c r="I229" s="56"/>
      <c r="J229" s="52" t="b">
        <v>0</v>
      </c>
      <c r="K229" s="52" t="b">
        <v>0</v>
      </c>
      <c r="L229" s="53"/>
      <c r="M229" s="54"/>
      <c r="N229" s="55"/>
    </row>
    <row r="230">
      <c r="A230" s="49" t="s">
        <v>295</v>
      </c>
      <c r="B230" s="49"/>
      <c r="C230" s="49" t="s">
        <v>301</v>
      </c>
      <c r="D230" s="50">
        <v>45937.0</v>
      </c>
      <c r="E230" s="50">
        <v>45951.0</v>
      </c>
      <c r="F230" s="52" t="b">
        <v>0</v>
      </c>
      <c r="G230" s="56"/>
      <c r="H230" s="52" t="b">
        <v>0</v>
      </c>
      <c r="I230" s="56"/>
      <c r="J230" s="52" t="b">
        <v>0</v>
      </c>
      <c r="K230" s="52" t="b">
        <v>0</v>
      </c>
      <c r="L230" s="53"/>
      <c r="M230" s="54"/>
      <c r="N230" s="55"/>
    </row>
    <row r="231">
      <c r="A231" s="49" t="s">
        <v>295</v>
      </c>
      <c r="B231" s="49"/>
      <c r="C231" s="49" t="s">
        <v>302</v>
      </c>
      <c r="D231" s="50">
        <v>45937.0</v>
      </c>
      <c r="E231" s="50">
        <v>45951.0</v>
      </c>
      <c r="F231" s="52" t="b">
        <v>0</v>
      </c>
      <c r="G231" s="56"/>
      <c r="H231" s="52" t="b">
        <v>0</v>
      </c>
      <c r="I231" s="56"/>
      <c r="J231" s="52" t="b">
        <v>0</v>
      </c>
      <c r="K231" s="52" t="b">
        <v>0</v>
      </c>
      <c r="L231" s="53"/>
      <c r="M231" s="54"/>
      <c r="N231" s="55"/>
    </row>
    <row r="232">
      <c r="A232" s="49" t="s">
        <v>295</v>
      </c>
      <c r="B232" s="49"/>
      <c r="C232" s="49" t="s">
        <v>303</v>
      </c>
      <c r="D232" s="50">
        <v>45937.0</v>
      </c>
      <c r="E232" s="50">
        <v>45951.0</v>
      </c>
      <c r="F232" s="52" t="b">
        <v>0</v>
      </c>
      <c r="G232" s="56"/>
      <c r="H232" s="52" t="b">
        <v>0</v>
      </c>
      <c r="I232" s="56"/>
      <c r="J232" s="52" t="b">
        <v>0</v>
      </c>
      <c r="K232" s="52" t="b">
        <v>0</v>
      </c>
      <c r="L232" s="53"/>
      <c r="M232" s="54"/>
      <c r="N232" s="55"/>
    </row>
    <row r="233">
      <c r="A233" s="49" t="s">
        <v>295</v>
      </c>
      <c r="B233" s="49"/>
      <c r="C233" s="49" t="s">
        <v>304</v>
      </c>
      <c r="D233" s="50">
        <v>45937.0</v>
      </c>
      <c r="E233" s="50">
        <v>45951.0</v>
      </c>
      <c r="F233" s="52" t="b">
        <v>0</v>
      </c>
      <c r="G233" s="56"/>
      <c r="H233" s="52" t="b">
        <v>0</v>
      </c>
      <c r="I233" s="56"/>
      <c r="J233" s="52" t="b">
        <v>0</v>
      </c>
      <c r="K233" s="52" t="b">
        <v>0</v>
      </c>
      <c r="L233" s="53"/>
      <c r="M233" s="54"/>
      <c r="N233" s="55"/>
    </row>
    <row r="234">
      <c r="A234" s="49" t="s">
        <v>295</v>
      </c>
      <c r="B234" s="49"/>
      <c r="C234" s="49" t="s">
        <v>305</v>
      </c>
      <c r="D234" s="50">
        <v>45937.0</v>
      </c>
      <c r="E234" s="50">
        <v>45951.0</v>
      </c>
      <c r="F234" s="52" t="b">
        <v>0</v>
      </c>
      <c r="G234" s="56"/>
      <c r="H234" s="52" t="b">
        <v>0</v>
      </c>
      <c r="I234" s="56"/>
      <c r="J234" s="52" t="b">
        <v>0</v>
      </c>
      <c r="K234" s="52" t="b">
        <v>0</v>
      </c>
      <c r="L234" s="53"/>
      <c r="M234" s="54"/>
      <c r="N234" s="55"/>
    </row>
    <row r="235">
      <c r="A235" s="49" t="s">
        <v>295</v>
      </c>
      <c r="B235" s="49"/>
      <c r="C235" s="49" t="s">
        <v>306</v>
      </c>
      <c r="D235" s="50">
        <v>45937.0</v>
      </c>
      <c r="E235" s="50">
        <v>45951.0</v>
      </c>
      <c r="F235" s="52" t="b">
        <v>0</v>
      </c>
      <c r="G235" s="56"/>
      <c r="H235" s="52" t="b">
        <v>0</v>
      </c>
      <c r="I235" s="56"/>
      <c r="J235" s="52" t="b">
        <v>0</v>
      </c>
      <c r="K235" s="52" t="b">
        <v>0</v>
      </c>
      <c r="L235" s="53"/>
      <c r="M235" s="54"/>
      <c r="N235" s="55"/>
    </row>
    <row r="236">
      <c r="A236" s="49" t="s">
        <v>295</v>
      </c>
      <c r="B236" s="49"/>
      <c r="C236" s="49" t="s">
        <v>307</v>
      </c>
      <c r="D236" s="50">
        <v>45937.0</v>
      </c>
      <c r="E236" s="50">
        <v>45951.0</v>
      </c>
      <c r="F236" s="52" t="b">
        <v>0</v>
      </c>
      <c r="G236" s="56"/>
      <c r="H236" s="52" t="b">
        <v>0</v>
      </c>
      <c r="I236" s="56"/>
      <c r="J236" s="52" t="b">
        <v>0</v>
      </c>
      <c r="K236" s="52" t="b">
        <v>0</v>
      </c>
      <c r="L236" s="53"/>
      <c r="M236" s="54"/>
      <c r="N236" s="55"/>
    </row>
    <row r="237">
      <c r="A237" s="49" t="s">
        <v>295</v>
      </c>
      <c r="B237" s="49"/>
      <c r="C237" s="49" t="s">
        <v>308</v>
      </c>
      <c r="D237" s="50">
        <v>45937.0</v>
      </c>
      <c r="E237" s="50">
        <v>45951.0</v>
      </c>
      <c r="F237" s="52" t="b">
        <v>0</v>
      </c>
      <c r="G237" s="56"/>
      <c r="H237" s="52" t="b">
        <v>0</v>
      </c>
      <c r="I237" s="56"/>
      <c r="J237" s="52" t="b">
        <v>0</v>
      </c>
      <c r="K237" s="52" t="b">
        <v>0</v>
      </c>
      <c r="L237" s="53"/>
      <c r="M237" s="54"/>
      <c r="N237" s="55"/>
    </row>
    <row r="238">
      <c r="A238" s="49" t="s">
        <v>295</v>
      </c>
      <c r="B238" s="49"/>
      <c r="C238" s="49" t="s">
        <v>309</v>
      </c>
      <c r="D238" s="50">
        <v>45937.0</v>
      </c>
      <c r="E238" s="50">
        <v>45951.0</v>
      </c>
      <c r="F238" s="52" t="b">
        <v>0</v>
      </c>
      <c r="G238" s="56"/>
      <c r="H238" s="52" t="b">
        <v>0</v>
      </c>
      <c r="I238" s="56"/>
      <c r="J238" s="52" t="b">
        <v>0</v>
      </c>
      <c r="K238" s="52" t="b">
        <v>0</v>
      </c>
      <c r="L238" s="53"/>
      <c r="M238" s="54"/>
      <c r="N238" s="55"/>
    </row>
    <row r="239">
      <c r="A239" s="49" t="s">
        <v>295</v>
      </c>
      <c r="B239" s="49"/>
      <c r="C239" s="49" t="s">
        <v>310</v>
      </c>
      <c r="D239" s="50">
        <v>45937.0</v>
      </c>
      <c r="E239" s="50">
        <v>45951.0</v>
      </c>
      <c r="F239" s="52" t="b">
        <v>0</v>
      </c>
      <c r="G239" s="56"/>
      <c r="H239" s="52" t="b">
        <v>0</v>
      </c>
      <c r="I239" s="56"/>
      <c r="J239" s="52" t="b">
        <v>0</v>
      </c>
      <c r="K239" s="52" t="b">
        <v>0</v>
      </c>
      <c r="L239" s="53"/>
      <c r="M239" s="54"/>
      <c r="N239" s="55"/>
    </row>
    <row r="240">
      <c r="A240" s="49" t="s">
        <v>295</v>
      </c>
      <c r="B240" s="49"/>
      <c r="C240" s="49" t="s">
        <v>311</v>
      </c>
      <c r="D240" s="50">
        <v>45937.0</v>
      </c>
      <c r="E240" s="50">
        <v>45951.0</v>
      </c>
      <c r="F240" s="52" t="b">
        <v>0</v>
      </c>
      <c r="G240" s="56"/>
      <c r="H240" s="52" t="b">
        <v>0</v>
      </c>
      <c r="I240" s="56"/>
      <c r="J240" s="52" t="b">
        <v>0</v>
      </c>
      <c r="K240" s="52" t="b">
        <v>0</v>
      </c>
      <c r="L240" s="53"/>
      <c r="M240" s="54"/>
      <c r="N240" s="55"/>
    </row>
    <row r="241">
      <c r="A241" s="49" t="s">
        <v>295</v>
      </c>
      <c r="B241" s="49"/>
      <c r="C241" s="49" t="s">
        <v>312</v>
      </c>
      <c r="D241" s="50">
        <v>45937.0</v>
      </c>
      <c r="E241" s="50">
        <v>45951.0</v>
      </c>
      <c r="F241" s="52" t="b">
        <v>0</v>
      </c>
      <c r="G241" s="56"/>
      <c r="H241" s="52" t="b">
        <v>0</v>
      </c>
      <c r="I241" s="56"/>
      <c r="J241" s="52" t="b">
        <v>0</v>
      </c>
      <c r="K241" s="52" t="b">
        <v>0</v>
      </c>
      <c r="L241" s="53"/>
      <c r="M241" s="54"/>
      <c r="N241" s="55"/>
    </row>
    <row r="242">
      <c r="A242" s="49" t="s">
        <v>295</v>
      </c>
      <c r="B242" s="49"/>
      <c r="C242" s="49" t="s">
        <v>313</v>
      </c>
      <c r="D242" s="50">
        <v>45937.0</v>
      </c>
      <c r="E242" s="50">
        <v>45951.0</v>
      </c>
      <c r="F242" s="52" t="b">
        <v>0</v>
      </c>
      <c r="G242" s="56"/>
      <c r="H242" s="52" t="b">
        <v>0</v>
      </c>
      <c r="I242" s="56"/>
      <c r="J242" s="52" t="b">
        <v>0</v>
      </c>
      <c r="K242" s="52" t="b">
        <v>0</v>
      </c>
      <c r="L242" s="53"/>
      <c r="M242" s="54"/>
      <c r="N242" s="55"/>
    </row>
    <row r="243">
      <c r="A243" s="49" t="s">
        <v>295</v>
      </c>
      <c r="B243" s="49"/>
      <c r="C243" s="49" t="s">
        <v>314</v>
      </c>
      <c r="D243" s="50">
        <v>45937.0</v>
      </c>
      <c r="E243" s="50">
        <v>45951.0</v>
      </c>
      <c r="F243" s="52" t="b">
        <v>0</v>
      </c>
      <c r="G243" s="56"/>
      <c r="H243" s="52" t="b">
        <v>0</v>
      </c>
      <c r="I243" s="56"/>
      <c r="J243" s="52" t="b">
        <v>0</v>
      </c>
      <c r="K243" s="52" t="b">
        <v>0</v>
      </c>
      <c r="L243" s="53"/>
      <c r="M243" s="54"/>
      <c r="N243" s="55"/>
    </row>
    <row r="244">
      <c r="A244" s="49" t="s">
        <v>295</v>
      </c>
      <c r="B244" s="49"/>
      <c r="C244" s="49" t="s">
        <v>315</v>
      </c>
      <c r="D244" s="50">
        <v>45937.0</v>
      </c>
      <c r="E244" s="50">
        <v>45951.0</v>
      </c>
      <c r="F244" s="52" t="b">
        <v>0</v>
      </c>
      <c r="G244" s="56"/>
      <c r="H244" s="52" t="b">
        <v>0</v>
      </c>
      <c r="I244" s="56"/>
      <c r="J244" s="52" t="b">
        <v>0</v>
      </c>
      <c r="K244" s="52" t="b">
        <v>0</v>
      </c>
      <c r="L244" s="53"/>
      <c r="M244" s="54"/>
      <c r="N244" s="55"/>
    </row>
    <row r="245">
      <c r="A245" s="49" t="s">
        <v>295</v>
      </c>
      <c r="B245" s="49"/>
      <c r="C245" s="49" t="s">
        <v>316</v>
      </c>
      <c r="D245" s="50">
        <v>45937.0</v>
      </c>
      <c r="E245" s="50">
        <v>45951.0</v>
      </c>
      <c r="F245" s="52" t="b">
        <v>0</v>
      </c>
      <c r="G245" s="56"/>
      <c r="H245" s="52" t="b">
        <v>0</v>
      </c>
      <c r="I245" s="56"/>
      <c r="J245" s="52" t="b">
        <v>0</v>
      </c>
      <c r="K245" s="52" t="b">
        <v>0</v>
      </c>
      <c r="L245" s="53"/>
      <c r="M245" s="54"/>
      <c r="N245" s="55"/>
    </row>
    <row r="246">
      <c r="A246" s="49" t="s">
        <v>295</v>
      </c>
      <c r="B246" s="49"/>
      <c r="C246" s="49" t="s">
        <v>317</v>
      </c>
      <c r="D246" s="50">
        <v>45937.0</v>
      </c>
      <c r="E246" s="50">
        <v>45951.0</v>
      </c>
      <c r="F246" s="52" t="b">
        <v>0</v>
      </c>
      <c r="G246" s="56"/>
      <c r="H246" s="52" t="b">
        <v>0</v>
      </c>
      <c r="I246" s="56"/>
      <c r="J246" s="52" t="b">
        <v>0</v>
      </c>
      <c r="K246" s="52" t="b">
        <v>0</v>
      </c>
      <c r="L246" s="53"/>
      <c r="M246" s="54"/>
      <c r="N246" s="55"/>
    </row>
    <row r="247">
      <c r="A247" s="49" t="s">
        <v>295</v>
      </c>
      <c r="B247" s="49"/>
      <c r="C247" s="49" t="s">
        <v>318</v>
      </c>
      <c r="D247" s="50">
        <v>45937.0</v>
      </c>
      <c r="E247" s="50">
        <v>45951.0</v>
      </c>
      <c r="F247" s="52" t="b">
        <v>0</v>
      </c>
      <c r="G247" s="56"/>
      <c r="H247" s="52" t="b">
        <v>0</v>
      </c>
      <c r="I247" s="56"/>
      <c r="J247" s="52" t="b">
        <v>0</v>
      </c>
      <c r="K247" s="52" t="b">
        <v>0</v>
      </c>
      <c r="L247" s="53"/>
      <c r="M247" s="54"/>
      <c r="N247" s="55"/>
    </row>
    <row r="248">
      <c r="A248" s="49" t="s">
        <v>295</v>
      </c>
      <c r="B248" s="49"/>
      <c r="C248" s="49" t="s">
        <v>319</v>
      </c>
      <c r="D248" s="50">
        <v>45937.0</v>
      </c>
      <c r="E248" s="50">
        <v>45951.0</v>
      </c>
      <c r="F248" s="52" t="b">
        <v>0</v>
      </c>
      <c r="G248" s="56"/>
      <c r="H248" s="52" t="b">
        <v>0</v>
      </c>
      <c r="I248" s="56"/>
      <c r="J248" s="52" t="b">
        <v>0</v>
      </c>
      <c r="K248" s="52" t="b">
        <v>0</v>
      </c>
      <c r="L248" s="53"/>
      <c r="M248" s="54"/>
      <c r="N248" s="55"/>
    </row>
    <row r="249">
      <c r="A249" s="49" t="s">
        <v>295</v>
      </c>
      <c r="B249" s="49"/>
      <c r="C249" s="49" t="s">
        <v>320</v>
      </c>
      <c r="D249" s="50">
        <v>45937.0</v>
      </c>
      <c r="E249" s="50">
        <v>45951.0</v>
      </c>
      <c r="F249" s="52" t="b">
        <v>0</v>
      </c>
      <c r="G249" s="56"/>
      <c r="H249" s="52" t="b">
        <v>0</v>
      </c>
      <c r="I249" s="56"/>
      <c r="J249" s="52" t="b">
        <v>0</v>
      </c>
      <c r="K249" s="52" t="b">
        <v>0</v>
      </c>
      <c r="L249" s="53"/>
      <c r="M249" s="54"/>
      <c r="N249" s="55"/>
    </row>
    <row r="250">
      <c r="A250" s="49" t="s">
        <v>295</v>
      </c>
      <c r="B250" s="49"/>
      <c r="C250" s="49" t="s">
        <v>321</v>
      </c>
      <c r="D250" s="50">
        <v>45937.0</v>
      </c>
      <c r="E250" s="50">
        <v>45951.0</v>
      </c>
      <c r="F250" s="52" t="b">
        <v>0</v>
      </c>
      <c r="G250" s="56"/>
      <c r="H250" s="52" t="b">
        <v>0</v>
      </c>
      <c r="I250" s="56"/>
      <c r="J250" s="52" t="b">
        <v>0</v>
      </c>
      <c r="K250" s="52" t="b">
        <v>0</v>
      </c>
      <c r="L250" s="53"/>
      <c r="M250" s="54"/>
      <c r="N250" s="55"/>
    </row>
    <row r="251">
      <c r="A251" s="49" t="s">
        <v>295</v>
      </c>
      <c r="B251" s="49"/>
      <c r="C251" s="49" t="s">
        <v>322</v>
      </c>
      <c r="D251" s="50">
        <v>45937.0</v>
      </c>
      <c r="E251" s="50">
        <v>45951.0</v>
      </c>
      <c r="F251" s="52" t="b">
        <v>0</v>
      </c>
      <c r="G251" s="56"/>
      <c r="H251" s="52" t="b">
        <v>0</v>
      </c>
      <c r="I251" s="56"/>
      <c r="J251" s="52" t="b">
        <v>0</v>
      </c>
      <c r="K251" s="52" t="b">
        <v>0</v>
      </c>
      <c r="L251" s="53"/>
      <c r="M251" s="54"/>
      <c r="N251" s="55"/>
    </row>
    <row r="252">
      <c r="A252" s="49" t="s">
        <v>295</v>
      </c>
      <c r="B252" s="49"/>
      <c r="C252" s="49" t="s">
        <v>323</v>
      </c>
      <c r="D252" s="50">
        <v>45937.0</v>
      </c>
      <c r="E252" s="50">
        <v>45951.0</v>
      </c>
      <c r="F252" s="52" t="b">
        <v>0</v>
      </c>
      <c r="G252" s="56"/>
      <c r="H252" s="52" t="b">
        <v>0</v>
      </c>
      <c r="I252" s="56"/>
      <c r="J252" s="52" t="b">
        <v>0</v>
      </c>
      <c r="K252" s="52" t="b">
        <v>0</v>
      </c>
      <c r="L252" s="53"/>
      <c r="M252" s="54"/>
      <c r="N252" s="55"/>
    </row>
    <row r="253">
      <c r="A253" s="49" t="s">
        <v>295</v>
      </c>
      <c r="B253" s="49"/>
      <c r="C253" s="49" t="s">
        <v>324</v>
      </c>
      <c r="D253" s="50">
        <v>45937.0</v>
      </c>
      <c r="E253" s="50">
        <v>45951.0</v>
      </c>
      <c r="F253" s="52" t="b">
        <v>0</v>
      </c>
      <c r="G253" s="56"/>
      <c r="H253" s="52" t="b">
        <v>0</v>
      </c>
      <c r="I253" s="56"/>
      <c r="J253" s="52" t="b">
        <v>0</v>
      </c>
      <c r="K253" s="52" t="b">
        <v>0</v>
      </c>
      <c r="L253" s="53"/>
      <c r="M253" s="54"/>
      <c r="N253" s="55"/>
    </row>
    <row r="254">
      <c r="A254" s="49" t="s">
        <v>295</v>
      </c>
      <c r="B254" s="49"/>
      <c r="C254" s="49" t="s">
        <v>325</v>
      </c>
      <c r="D254" s="50">
        <v>45937.0</v>
      </c>
      <c r="E254" s="50">
        <v>45951.0</v>
      </c>
      <c r="F254" s="52" t="b">
        <v>0</v>
      </c>
      <c r="G254" s="56"/>
      <c r="H254" s="52" t="b">
        <v>0</v>
      </c>
      <c r="I254" s="56"/>
      <c r="J254" s="52" t="b">
        <v>0</v>
      </c>
      <c r="K254" s="52" t="b">
        <v>0</v>
      </c>
      <c r="L254" s="53"/>
      <c r="M254" s="54"/>
      <c r="N254" s="55"/>
    </row>
    <row r="255">
      <c r="A255" s="49" t="s">
        <v>295</v>
      </c>
      <c r="B255" s="49"/>
      <c r="C255" s="49" t="s">
        <v>326</v>
      </c>
      <c r="D255" s="50">
        <v>45937.0</v>
      </c>
      <c r="E255" s="50">
        <v>45951.0</v>
      </c>
      <c r="F255" s="52" t="b">
        <v>0</v>
      </c>
      <c r="G255" s="56"/>
      <c r="H255" s="52" t="b">
        <v>0</v>
      </c>
      <c r="I255" s="56"/>
      <c r="J255" s="52" t="b">
        <v>0</v>
      </c>
      <c r="K255" s="52" t="b">
        <v>0</v>
      </c>
      <c r="L255" s="53"/>
      <c r="M255" s="54"/>
      <c r="N255" s="55"/>
    </row>
    <row r="256">
      <c r="A256" s="49" t="s">
        <v>295</v>
      </c>
      <c r="B256" s="49"/>
      <c r="C256" s="49" t="s">
        <v>327</v>
      </c>
      <c r="D256" s="50">
        <v>45937.0</v>
      </c>
      <c r="E256" s="50">
        <v>45951.0</v>
      </c>
      <c r="F256" s="52" t="b">
        <v>0</v>
      </c>
      <c r="G256" s="56"/>
      <c r="H256" s="52" t="b">
        <v>0</v>
      </c>
      <c r="I256" s="56"/>
      <c r="J256" s="52" t="b">
        <v>0</v>
      </c>
      <c r="K256" s="52" t="b">
        <v>0</v>
      </c>
      <c r="L256" s="53"/>
      <c r="M256" s="54"/>
      <c r="N256" s="55"/>
    </row>
    <row r="257">
      <c r="A257" s="49" t="s">
        <v>295</v>
      </c>
      <c r="B257" s="49"/>
      <c r="C257" s="49" t="s">
        <v>328</v>
      </c>
      <c r="D257" s="50">
        <v>45937.0</v>
      </c>
      <c r="E257" s="50">
        <v>45951.0</v>
      </c>
      <c r="F257" s="52" t="b">
        <v>0</v>
      </c>
      <c r="G257" s="56"/>
      <c r="H257" s="52" t="b">
        <v>0</v>
      </c>
      <c r="I257" s="56"/>
      <c r="J257" s="52" t="b">
        <v>0</v>
      </c>
      <c r="K257" s="52" t="b">
        <v>0</v>
      </c>
      <c r="L257" s="53"/>
      <c r="M257" s="54"/>
      <c r="N257" s="55"/>
    </row>
    <row r="258">
      <c r="A258" s="49" t="s">
        <v>295</v>
      </c>
      <c r="B258" s="49"/>
      <c r="C258" s="49" t="s">
        <v>329</v>
      </c>
      <c r="D258" s="50">
        <v>45937.0</v>
      </c>
      <c r="E258" s="50">
        <v>45951.0</v>
      </c>
      <c r="F258" s="52" t="b">
        <v>0</v>
      </c>
      <c r="G258" s="56"/>
      <c r="H258" s="52" t="b">
        <v>0</v>
      </c>
      <c r="I258" s="56"/>
      <c r="J258" s="52" t="b">
        <v>0</v>
      </c>
      <c r="K258" s="52" t="b">
        <v>0</v>
      </c>
      <c r="L258" s="53"/>
      <c r="M258" s="54"/>
      <c r="N258" s="55"/>
    </row>
    <row r="259">
      <c r="A259" s="49" t="s">
        <v>295</v>
      </c>
      <c r="B259" s="49"/>
      <c r="C259" s="49" t="s">
        <v>330</v>
      </c>
      <c r="D259" s="50">
        <v>45937.0</v>
      </c>
      <c r="E259" s="50">
        <v>45951.0</v>
      </c>
      <c r="F259" s="52" t="b">
        <v>0</v>
      </c>
      <c r="G259" s="56"/>
      <c r="H259" s="52" t="b">
        <v>0</v>
      </c>
      <c r="I259" s="56"/>
      <c r="J259" s="52" t="b">
        <v>0</v>
      </c>
      <c r="K259" s="52" t="b">
        <v>0</v>
      </c>
      <c r="L259" s="53"/>
      <c r="M259" s="54"/>
      <c r="N259" s="55"/>
    </row>
    <row r="260">
      <c r="A260" s="49" t="s">
        <v>295</v>
      </c>
      <c r="B260" s="49"/>
      <c r="C260" s="49" t="s">
        <v>331</v>
      </c>
      <c r="D260" s="50">
        <v>45937.0</v>
      </c>
      <c r="E260" s="50">
        <v>45951.0</v>
      </c>
      <c r="F260" s="52" t="b">
        <v>0</v>
      </c>
      <c r="G260" s="56"/>
      <c r="H260" s="52" t="b">
        <v>0</v>
      </c>
      <c r="I260" s="56"/>
      <c r="J260" s="52" t="b">
        <v>0</v>
      </c>
      <c r="K260" s="52" t="b">
        <v>0</v>
      </c>
      <c r="L260" s="53"/>
      <c r="M260" s="54"/>
      <c r="N260" s="55"/>
    </row>
    <row r="261">
      <c r="A261" s="49" t="s">
        <v>295</v>
      </c>
      <c r="B261" s="49"/>
      <c r="C261" s="49" t="s">
        <v>332</v>
      </c>
      <c r="D261" s="50">
        <v>45937.0</v>
      </c>
      <c r="E261" s="50">
        <v>45951.0</v>
      </c>
      <c r="F261" s="52" t="b">
        <v>0</v>
      </c>
      <c r="G261" s="56"/>
      <c r="H261" s="52" t="b">
        <v>0</v>
      </c>
      <c r="I261" s="56"/>
      <c r="J261" s="52" t="b">
        <v>0</v>
      </c>
      <c r="K261" s="52" t="b">
        <v>0</v>
      </c>
      <c r="L261" s="53"/>
      <c r="M261" s="54"/>
      <c r="N261" s="55"/>
    </row>
    <row r="262">
      <c r="A262" s="49" t="s">
        <v>295</v>
      </c>
      <c r="B262" s="49"/>
      <c r="C262" s="49" t="s">
        <v>333</v>
      </c>
      <c r="D262" s="50">
        <v>45937.0</v>
      </c>
      <c r="E262" s="50">
        <v>45951.0</v>
      </c>
      <c r="F262" s="52" t="b">
        <v>0</v>
      </c>
      <c r="G262" s="56"/>
      <c r="H262" s="52" t="b">
        <v>0</v>
      </c>
      <c r="I262" s="56"/>
      <c r="J262" s="52" t="b">
        <v>0</v>
      </c>
      <c r="K262" s="52" t="b">
        <v>0</v>
      </c>
      <c r="L262" s="53"/>
      <c r="M262" s="54"/>
      <c r="N262" s="55"/>
    </row>
    <row r="263">
      <c r="A263" s="49" t="s">
        <v>295</v>
      </c>
      <c r="B263" s="49"/>
      <c r="C263" s="49" t="s">
        <v>334</v>
      </c>
      <c r="D263" s="50">
        <v>45937.0</v>
      </c>
      <c r="E263" s="50">
        <v>45951.0</v>
      </c>
      <c r="F263" s="52" t="b">
        <v>0</v>
      </c>
      <c r="G263" s="56"/>
      <c r="H263" s="52" t="b">
        <v>0</v>
      </c>
      <c r="I263" s="56"/>
      <c r="J263" s="52" t="b">
        <v>0</v>
      </c>
      <c r="K263" s="52" t="b">
        <v>0</v>
      </c>
      <c r="L263" s="53"/>
      <c r="M263" s="54"/>
      <c r="N263" s="55"/>
    </row>
    <row r="264">
      <c r="A264" s="49" t="s">
        <v>295</v>
      </c>
      <c r="B264" s="49"/>
      <c r="C264" s="49" t="s">
        <v>335</v>
      </c>
      <c r="D264" s="50">
        <v>45937.0</v>
      </c>
      <c r="E264" s="50">
        <v>45951.0</v>
      </c>
      <c r="F264" s="52" t="b">
        <v>0</v>
      </c>
      <c r="G264" s="56"/>
      <c r="H264" s="52" t="b">
        <v>0</v>
      </c>
      <c r="I264" s="56"/>
      <c r="J264" s="52" t="b">
        <v>0</v>
      </c>
      <c r="K264" s="52" t="b">
        <v>0</v>
      </c>
      <c r="L264" s="53"/>
      <c r="M264" s="54"/>
      <c r="N264" s="55"/>
    </row>
    <row r="265">
      <c r="A265" s="49" t="s">
        <v>295</v>
      </c>
      <c r="B265" s="49"/>
      <c r="C265" s="49" t="s">
        <v>336</v>
      </c>
      <c r="D265" s="50">
        <v>45937.0</v>
      </c>
      <c r="E265" s="50">
        <v>45951.0</v>
      </c>
      <c r="F265" s="52" t="b">
        <v>0</v>
      </c>
      <c r="G265" s="56"/>
      <c r="H265" s="52" t="b">
        <v>0</v>
      </c>
      <c r="I265" s="56"/>
      <c r="J265" s="52" t="b">
        <v>0</v>
      </c>
      <c r="K265" s="52" t="b">
        <v>0</v>
      </c>
      <c r="L265" s="53"/>
      <c r="M265" s="54"/>
      <c r="N265" s="55"/>
    </row>
    <row r="266">
      <c r="A266" s="49" t="s">
        <v>295</v>
      </c>
      <c r="B266" s="49"/>
      <c r="C266" s="49" t="s">
        <v>337</v>
      </c>
      <c r="D266" s="50">
        <v>45937.0</v>
      </c>
      <c r="E266" s="50">
        <v>45951.0</v>
      </c>
      <c r="F266" s="52" t="b">
        <v>0</v>
      </c>
      <c r="G266" s="56"/>
      <c r="H266" s="52" t="b">
        <v>0</v>
      </c>
      <c r="I266" s="56"/>
      <c r="J266" s="52" t="b">
        <v>0</v>
      </c>
      <c r="K266" s="52" t="b">
        <v>0</v>
      </c>
      <c r="L266" s="53"/>
      <c r="M266" s="54"/>
      <c r="N266" s="55"/>
    </row>
    <row r="267">
      <c r="A267" s="49" t="s">
        <v>295</v>
      </c>
      <c r="B267" s="49"/>
      <c r="C267" s="49" t="s">
        <v>338</v>
      </c>
      <c r="D267" s="50">
        <v>45937.0</v>
      </c>
      <c r="E267" s="50">
        <v>45951.0</v>
      </c>
      <c r="F267" s="52" t="b">
        <v>0</v>
      </c>
      <c r="G267" s="56"/>
      <c r="H267" s="52" t="b">
        <v>0</v>
      </c>
      <c r="I267" s="56"/>
      <c r="J267" s="52" t="b">
        <v>0</v>
      </c>
      <c r="K267" s="52" t="b">
        <v>0</v>
      </c>
      <c r="L267" s="53"/>
      <c r="M267" s="54"/>
      <c r="N267" s="55"/>
    </row>
    <row r="268">
      <c r="A268" s="49" t="s">
        <v>295</v>
      </c>
      <c r="B268" s="49"/>
      <c r="C268" s="49" t="s">
        <v>339</v>
      </c>
      <c r="D268" s="50">
        <v>45937.0</v>
      </c>
      <c r="E268" s="50">
        <v>45951.0</v>
      </c>
      <c r="F268" s="52" t="b">
        <v>0</v>
      </c>
      <c r="G268" s="56"/>
      <c r="H268" s="52" t="b">
        <v>0</v>
      </c>
      <c r="I268" s="56"/>
      <c r="J268" s="52" t="b">
        <v>0</v>
      </c>
      <c r="K268" s="52" t="b">
        <v>0</v>
      </c>
      <c r="L268" s="53"/>
      <c r="M268" s="54"/>
      <c r="N268" s="55"/>
    </row>
    <row r="269">
      <c r="A269" s="49" t="s">
        <v>295</v>
      </c>
      <c r="B269" s="49"/>
      <c r="C269" s="49" t="s">
        <v>340</v>
      </c>
      <c r="D269" s="50">
        <v>45937.0</v>
      </c>
      <c r="E269" s="50">
        <v>45951.0</v>
      </c>
      <c r="F269" s="52" t="b">
        <v>0</v>
      </c>
      <c r="G269" s="56"/>
      <c r="H269" s="52" t="b">
        <v>0</v>
      </c>
      <c r="I269" s="56"/>
      <c r="J269" s="52" t="b">
        <v>0</v>
      </c>
      <c r="K269" s="52" t="b">
        <v>0</v>
      </c>
      <c r="L269" s="53"/>
      <c r="M269" s="54"/>
      <c r="N269" s="55"/>
    </row>
    <row r="270">
      <c r="A270" s="49" t="s">
        <v>295</v>
      </c>
      <c r="B270" s="49"/>
      <c r="C270" s="49" t="s">
        <v>341</v>
      </c>
      <c r="D270" s="50">
        <v>45937.0</v>
      </c>
      <c r="E270" s="50">
        <v>45951.0</v>
      </c>
      <c r="F270" s="52" t="b">
        <v>0</v>
      </c>
      <c r="G270" s="56"/>
      <c r="H270" s="52" t="b">
        <v>0</v>
      </c>
      <c r="I270" s="56"/>
      <c r="J270" s="52" t="b">
        <v>0</v>
      </c>
      <c r="K270" s="52" t="b">
        <v>0</v>
      </c>
      <c r="L270" s="53"/>
      <c r="M270" s="54"/>
      <c r="N270" s="55"/>
    </row>
    <row r="271">
      <c r="A271" s="49" t="s">
        <v>295</v>
      </c>
      <c r="B271" s="49"/>
      <c r="C271" s="49" t="s">
        <v>342</v>
      </c>
      <c r="D271" s="50">
        <v>45937.0</v>
      </c>
      <c r="E271" s="50">
        <v>45951.0</v>
      </c>
      <c r="F271" s="52" t="b">
        <v>0</v>
      </c>
      <c r="G271" s="56"/>
      <c r="H271" s="52" t="b">
        <v>0</v>
      </c>
      <c r="I271" s="56"/>
      <c r="J271" s="52" t="b">
        <v>0</v>
      </c>
      <c r="K271" s="52" t="b">
        <v>0</v>
      </c>
      <c r="L271" s="53"/>
      <c r="M271" s="54"/>
      <c r="N271" s="55"/>
    </row>
    <row r="272">
      <c r="A272" s="49" t="s">
        <v>295</v>
      </c>
      <c r="B272" s="49"/>
      <c r="C272" s="49" t="s">
        <v>343</v>
      </c>
      <c r="D272" s="50">
        <v>45937.0</v>
      </c>
      <c r="E272" s="50">
        <v>45951.0</v>
      </c>
      <c r="F272" s="52" t="b">
        <v>0</v>
      </c>
      <c r="G272" s="56"/>
      <c r="H272" s="52" t="b">
        <v>0</v>
      </c>
      <c r="I272" s="56"/>
      <c r="J272" s="52" t="b">
        <v>0</v>
      </c>
      <c r="K272" s="52" t="b">
        <v>0</v>
      </c>
      <c r="L272" s="53"/>
      <c r="M272" s="54"/>
      <c r="N272" s="55"/>
    </row>
    <row r="273">
      <c r="A273" s="49" t="s">
        <v>295</v>
      </c>
      <c r="B273" s="49"/>
      <c r="C273" s="49" t="s">
        <v>344</v>
      </c>
      <c r="D273" s="50">
        <v>45937.0</v>
      </c>
      <c r="E273" s="50">
        <v>45951.0</v>
      </c>
      <c r="F273" s="52" t="b">
        <v>0</v>
      </c>
      <c r="G273" s="56"/>
      <c r="H273" s="52" t="b">
        <v>0</v>
      </c>
      <c r="I273" s="56"/>
      <c r="J273" s="52" t="b">
        <v>0</v>
      </c>
      <c r="K273" s="52" t="b">
        <v>0</v>
      </c>
      <c r="L273" s="53"/>
      <c r="M273" s="54"/>
      <c r="N273" s="55"/>
    </row>
    <row r="274">
      <c r="A274" s="49" t="s">
        <v>295</v>
      </c>
      <c r="B274" s="49"/>
      <c r="C274" s="49" t="s">
        <v>345</v>
      </c>
      <c r="D274" s="50">
        <v>45937.0</v>
      </c>
      <c r="E274" s="50">
        <v>45951.0</v>
      </c>
      <c r="F274" s="52" t="b">
        <v>0</v>
      </c>
      <c r="G274" s="56"/>
      <c r="H274" s="52" t="b">
        <v>0</v>
      </c>
      <c r="I274" s="56"/>
      <c r="J274" s="52" t="b">
        <v>0</v>
      </c>
      <c r="K274" s="52" t="b">
        <v>0</v>
      </c>
      <c r="L274" s="53"/>
      <c r="M274" s="54"/>
      <c r="N274" s="55"/>
    </row>
    <row r="275">
      <c r="A275" s="49" t="s">
        <v>295</v>
      </c>
      <c r="B275" s="49"/>
      <c r="C275" s="49" t="s">
        <v>346</v>
      </c>
      <c r="D275" s="50">
        <v>45937.0</v>
      </c>
      <c r="E275" s="50">
        <v>45951.0</v>
      </c>
      <c r="F275" s="52" t="b">
        <v>0</v>
      </c>
      <c r="G275" s="56"/>
      <c r="H275" s="52" t="b">
        <v>0</v>
      </c>
      <c r="I275" s="56"/>
      <c r="J275" s="52" t="b">
        <v>0</v>
      </c>
      <c r="K275" s="52" t="b">
        <v>0</v>
      </c>
      <c r="L275" s="53"/>
      <c r="M275" s="54"/>
      <c r="N275" s="55"/>
    </row>
    <row r="276">
      <c r="A276" s="49" t="s">
        <v>295</v>
      </c>
      <c r="B276" s="49"/>
      <c r="C276" s="49" t="s">
        <v>347</v>
      </c>
      <c r="D276" s="50">
        <v>45937.0</v>
      </c>
      <c r="E276" s="50">
        <v>45951.0</v>
      </c>
      <c r="F276" s="52" t="b">
        <v>0</v>
      </c>
      <c r="G276" s="56"/>
      <c r="H276" s="52" t="b">
        <v>0</v>
      </c>
      <c r="I276" s="56"/>
      <c r="J276" s="52" t="b">
        <v>0</v>
      </c>
      <c r="K276" s="52" t="b">
        <v>0</v>
      </c>
      <c r="L276" s="53"/>
      <c r="M276" s="54"/>
      <c r="N276" s="55"/>
    </row>
    <row r="277">
      <c r="A277" s="49" t="s">
        <v>295</v>
      </c>
      <c r="B277" s="49"/>
      <c r="C277" s="49" t="s">
        <v>348</v>
      </c>
      <c r="D277" s="50">
        <v>45937.0</v>
      </c>
      <c r="E277" s="50">
        <v>45951.0</v>
      </c>
      <c r="F277" s="52" t="b">
        <v>0</v>
      </c>
      <c r="G277" s="56"/>
      <c r="H277" s="52" t="b">
        <v>0</v>
      </c>
      <c r="I277" s="56"/>
      <c r="J277" s="52" t="b">
        <v>0</v>
      </c>
      <c r="K277" s="52" t="b">
        <v>0</v>
      </c>
      <c r="L277" s="53"/>
      <c r="M277" s="54"/>
      <c r="N277" s="55"/>
    </row>
    <row r="278">
      <c r="A278" s="49" t="s">
        <v>295</v>
      </c>
      <c r="B278" s="49"/>
      <c r="C278" s="49" t="s">
        <v>349</v>
      </c>
      <c r="D278" s="50">
        <v>45937.0</v>
      </c>
      <c r="E278" s="50">
        <v>45951.0</v>
      </c>
      <c r="F278" s="52" t="b">
        <v>0</v>
      </c>
      <c r="G278" s="56"/>
      <c r="H278" s="52" t="b">
        <v>0</v>
      </c>
      <c r="I278" s="56"/>
      <c r="J278" s="52" t="b">
        <v>0</v>
      </c>
      <c r="K278" s="52" t="b">
        <v>0</v>
      </c>
      <c r="L278" s="53"/>
      <c r="M278" s="54"/>
      <c r="N278" s="55"/>
    </row>
    <row r="279">
      <c r="A279" s="49" t="s">
        <v>295</v>
      </c>
      <c r="B279" s="49"/>
      <c r="C279" s="49" t="s">
        <v>350</v>
      </c>
      <c r="D279" s="50">
        <v>45937.0</v>
      </c>
      <c r="E279" s="50">
        <v>45951.0</v>
      </c>
      <c r="F279" s="52" t="b">
        <v>0</v>
      </c>
      <c r="G279" s="56"/>
      <c r="H279" s="52" t="b">
        <v>0</v>
      </c>
      <c r="I279" s="56"/>
      <c r="J279" s="52" t="b">
        <v>0</v>
      </c>
      <c r="K279" s="52" t="b">
        <v>0</v>
      </c>
      <c r="L279" s="53"/>
      <c r="M279" s="54"/>
      <c r="N279" s="55"/>
    </row>
    <row r="280">
      <c r="A280" s="49" t="s">
        <v>295</v>
      </c>
      <c r="B280" s="49"/>
      <c r="C280" s="49" t="s">
        <v>351</v>
      </c>
      <c r="D280" s="50">
        <v>45937.0</v>
      </c>
      <c r="E280" s="50">
        <v>45951.0</v>
      </c>
      <c r="F280" s="52" t="b">
        <v>0</v>
      </c>
      <c r="G280" s="56"/>
      <c r="H280" s="52" t="b">
        <v>0</v>
      </c>
      <c r="I280" s="56"/>
      <c r="J280" s="52" t="b">
        <v>0</v>
      </c>
      <c r="K280" s="52" t="b">
        <v>0</v>
      </c>
      <c r="L280" s="53"/>
      <c r="M280" s="54"/>
      <c r="N280" s="55"/>
    </row>
    <row r="281">
      <c r="A281" s="49" t="s">
        <v>295</v>
      </c>
      <c r="B281" s="49"/>
      <c r="C281" s="49" t="s">
        <v>352</v>
      </c>
      <c r="D281" s="50">
        <v>45937.0</v>
      </c>
      <c r="E281" s="50">
        <v>45951.0</v>
      </c>
      <c r="F281" s="52" t="b">
        <v>0</v>
      </c>
      <c r="G281" s="56"/>
      <c r="H281" s="52" t="b">
        <v>0</v>
      </c>
      <c r="I281" s="56"/>
      <c r="J281" s="52" t="b">
        <v>0</v>
      </c>
      <c r="K281" s="52" t="b">
        <v>0</v>
      </c>
      <c r="L281" s="53"/>
      <c r="M281" s="54"/>
      <c r="N281" s="55"/>
    </row>
    <row r="282">
      <c r="A282" s="49" t="s">
        <v>295</v>
      </c>
      <c r="B282" s="49"/>
      <c r="C282" s="49" t="s">
        <v>353</v>
      </c>
      <c r="D282" s="50">
        <v>45937.0</v>
      </c>
      <c r="E282" s="50">
        <v>45951.0</v>
      </c>
      <c r="F282" s="52" t="b">
        <v>0</v>
      </c>
      <c r="G282" s="56"/>
      <c r="H282" s="52" t="b">
        <v>0</v>
      </c>
      <c r="I282" s="56"/>
      <c r="J282" s="52" t="b">
        <v>0</v>
      </c>
      <c r="K282" s="52" t="b">
        <v>0</v>
      </c>
      <c r="L282" s="53"/>
      <c r="M282" s="54"/>
      <c r="N282" s="55"/>
    </row>
    <row r="283">
      <c r="A283" s="49" t="s">
        <v>295</v>
      </c>
      <c r="B283" s="49"/>
      <c r="C283" s="49" t="s">
        <v>354</v>
      </c>
      <c r="D283" s="50">
        <v>45937.0</v>
      </c>
      <c r="E283" s="50">
        <v>45951.0</v>
      </c>
      <c r="F283" s="52" t="b">
        <v>0</v>
      </c>
      <c r="G283" s="56"/>
      <c r="H283" s="52" t="b">
        <v>0</v>
      </c>
      <c r="I283" s="56"/>
      <c r="J283" s="52" t="b">
        <v>0</v>
      </c>
      <c r="K283" s="52" t="b">
        <v>0</v>
      </c>
      <c r="L283" s="53"/>
      <c r="M283" s="54"/>
      <c r="N283" s="55"/>
    </row>
    <row r="284">
      <c r="A284" s="49" t="s">
        <v>295</v>
      </c>
      <c r="B284" s="49"/>
      <c r="C284" s="49" t="s">
        <v>355</v>
      </c>
      <c r="D284" s="50">
        <v>45937.0</v>
      </c>
      <c r="E284" s="50">
        <v>45951.0</v>
      </c>
      <c r="F284" s="52" t="b">
        <v>0</v>
      </c>
      <c r="G284" s="56"/>
      <c r="H284" s="52" t="b">
        <v>0</v>
      </c>
      <c r="I284" s="56"/>
      <c r="J284" s="52" t="b">
        <v>0</v>
      </c>
      <c r="K284" s="52" t="b">
        <v>0</v>
      </c>
      <c r="L284" s="53"/>
      <c r="M284" s="54"/>
      <c r="N284" s="55"/>
    </row>
    <row r="285">
      <c r="A285" s="49" t="s">
        <v>295</v>
      </c>
      <c r="B285" s="49"/>
      <c r="C285" s="49" t="s">
        <v>356</v>
      </c>
      <c r="D285" s="50">
        <v>45937.0</v>
      </c>
      <c r="E285" s="50">
        <v>45951.0</v>
      </c>
      <c r="F285" s="52" t="b">
        <v>0</v>
      </c>
      <c r="G285" s="56"/>
      <c r="H285" s="52" t="b">
        <v>0</v>
      </c>
      <c r="I285" s="56"/>
      <c r="J285" s="52" t="b">
        <v>0</v>
      </c>
      <c r="K285" s="52" t="b">
        <v>0</v>
      </c>
      <c r="L285" s="53"/>
      <c r="M285" s="54"/>
      <c r="N285" s="55"/>
    </row>
    <row r="286">
      <c r="A286" s="49" t="s">
        <v>295</v>
      </c>
      <c r="B286" s="49"/>
      <c r="C286" s="49" t="s">
        <v>357</v>
      </c>
      <c r="D286" s="50">
        <v>45937.0</v>
      </c>
      <c r="E286" s="50">
        <v>45951.0</v>
      </c>
      <c r="F286" s="52" t="b">
        <v>0</v>
      </c>
      <c r="G286" s="56"/>
      <c r="H286" s="52" t="b">
        <v>0</v>
      </c>
      <c r="I286" s="56"/>
      <c r="J286" s="52" t="b">
        <v>0</v>
      </c>
      <c r="K286" s="52" t="b">
        <v>0</v>
      </c>
      <c r="L286" s="53"/>
      <c r="M286" s="54"/>
      <c r="N286" s="55"/>
    </row>
    <row r="287">
      <c r="A287" s="49" t="s">
        <v>295</v>
      </c>
      <c r="B287" s="49"/>
      <c r="C287" s="49" t="s">
        <v>358</v>
      </c>
      <c r="D287" s="50">
        <v>45937.0</v>
      </c>
      <c r="E287" s="50">
        <v>45951.0</v>
      </c>
      <c r="F287" s="52" t="b">
        <v>0</v>
      </c>
      <c r="G287" s="56"/>
      <c r="H287" s="52" t="b">
        <v>0</v>
      </c>
      <c r="I287" s="56"/>
      <c r="J287" s="52" t="b">
        <v>0</v>
      </c>
      <c r="K287" s="52" t="b">
        <v>0</v>
      </c>
      <c r="L287" s="53"/>
      <c r="M287" s="54"/>
      <c r="N287" s="55"/>
    </row>
    <row r="288">
      <c r="A288" s="49" t="s">
        <v>295</v>
      </c>
      <c r="B288" s="49"/>
      <c r="C288" s="49" t="s">
        <v>359</v>
      </c>
      <c r="D288" s="50">
        <v>45937.0</v>
      </c>
      <c r="E288" s="50">
        <v>45951.0</v>
      </c>
      <c r="F288" s="52" t="b">
        <v>0</v>
      </c>
      <c r="G288" s="56"/>
      <c r="H288" s="52" t="b">
        <v>0</v>
      </c>
      <c r="I288" s="56"/>
      <c r="J288" s="52" t="b">
        <v>0</v>
      </c>
      <c r="K288" s="52" t="b">
        <v>0</v>
      </c>
      <c r="L288" s="53"/>
      <c r="M288" s="54"/>
      <c r="N288" s="55"/>
    </row>
    <row r="289">
      <c r="A289" s="49" t="s">
        <v>360</v>
      </c>
      <c r="B289" s="49"/>
      <c r="C289" s="49" t="s">
        <v>361</v>
      </c>
      <c r="D289" s="50">
        <v>45937.0</v>
      </c>
      <c r="E289" s="50">
        <v>45942.0</v>
      </c>
      <c r="F289" s="52" t="b">
        <v>0</v>
      </c>
      <c r="G289" s="56"/>
      <c r="H289" s="52" t="b">
        <v>0</v>
      </c>
      <c r="I289" s="56"/>
      <c r="J289" s="52" t="b">
        <v>0</v>
      </c>
      <c r="K289" s="52" t="b">
        <v>0</v>
      </c>
      <c r="L289" s="53"/>
      <c r="M289" s="54"/>
      <c r="N289" s="55"/>
    </row>
    <row r="290">
      <c r="A290" s="49" t="s">
        <v>360</v>
      </c>
      <c r="B290" s="49"/>
      <c r="C290" s="49" t="s">
        <v>362</v>
      </c>
      <c r="D290" s="50">
        <v>45937.0</v>
      </c>
      <c r="E290" s="50">
        <v>45942.0</v>
      </c>
      <c r="F290" s="52" t="b">
        <v>0</v>
      </c>
      <c r="G290" s="56"/>
      <c r="H290" s="52" t="b">
        <v>0</v>
      </c>
      <c r="I290" s="56"/>
      <c r="J290" s="52" t="b">
        <v>0</v>
      </c>
      <c r="K290" s="52" t="b">
        <v>0</v>
      </c>
      <c r="L290" s="53"/>
      <c r="M290" s="54"/>
      <c r="N290" s="55"/>
    </row>
    <row r="291">
      <c r="A291" s="49" t="s">
        <v>360</v>
      </c>
      <c r="B291" s="49"/>
      <c r="C291" s="49" t="s">
        <v>363</v>
      </c>
      <c r="D291" s="50">
        <v>45937.0</v>
      </c>
      <c r="E291" s="50">
        <v>45942.0</v>
      </c>
      <c r="F291" s="52" t="b">
        <v>0</v>
      </c>
      <c r="G291" s="56"/>
      <c r="H291" s="52" t="b">
        <v>0</v>
      </c>
      <c r="I291" s="56"/>
      <c r="J291" s="52" t="b">
        <v>0</v>
      </c>
      <c r="K291" s="52" t="b">
        <v>0</v>
      </c>
      <c r="L291" s="53"/>
      <c r="M291" s="54"/>
      <c r="N291" s="55"/>
    </row>
    <row r="292">
      <c r="A292" s="49" t="s">
        <v>360</v>
      </c>
      <c r="B292" s="49"/>
      <c r="C292" s="49" t="s">
        <v>364</v>
      </c>
      <c r="D292" s="50">
        <v>45937.0</v>
      </c>
      <c r="E292" s="50">
        <v>45942.0</v>
      </c>
      <c r="F292" s="52" t="b">
        <v>0</v>
      </c>
      <c r="G292" s="56"/>
      <c r="H292" s="52" t="b">
        <v>0</v>
      </c>
      <c r="I292" s="56"/>
      <c r="J292" s="52" t="b">
        <v>0</v>
      </c>
      <c r="K292" s="52" t="b">
        <v>0</v>
      </c>
      <c r="L292" s="53"/>
      <c r="M292" s="54"/>
      <c r="N292" s="55"/>
    </row>
    <row r="293">
      <c r="A293" s="49" t="s">
        <v>360</v>
      </c>
      <c r="B293" s="49"/>
      <c r="C293" s="49" t="s">
        <v>365</v>
      </c>
      <c r="D293" s="50">
        <v>45937.0</v>
      </c>
      <c r="E293" s="50">
        <v>45942.0</v>
      </c>
      <c r="F293" s="52" t="b">
        <v>0</v>
      </c>
      <c r="G293" s="56"/>
      <c r="H293" s="52" t="b">
        <v>0</v>
      </c>
      <c r="I293" s="56"/>
      <c r="J293" s="52" t="b">
        <v>0</v>
      </c>
      <c r="K293" s="52" t="b">
        <v>0</v>
      </c>
      <c r="L293" s="53"/>
      <c r="M293" s="54"/>
      <c r="N293" s="55"/>
    </row>
    <row r="294">
      <c r="A294" s="49" t="s">
        <v>360</v>
      </c>
      <c r="B294" s="49"/>
      <c r="C294" s="49" t="s">
        <v>366</v>
      </c>
      <c r="D294" s="50">
        <v>45937.0</v>
      </c>
      <c r="E294" s="50">
        <v>45942.0</v>
      </c>
      <c r="F294" s="52" t="b">
        <v>0</v>
      </c>
      <c r="G294" s="56"/>
      <c r="H294" s="52" t="b">
        <v>0</v>
      </c>
      <c r="I294" s="56"/>
      <c r="J294" s="52" t="b">
        <v>0</v>
      </c>
      <c r="K294" s="52" t="b">
        <v>0</v>
      </c>
      <c r="L294" s="53"/>
      <c r="M294" s="54"/>
      <c r="N294" s="55"/>
    </row>
    <row r="295">
      <c r="A295" s="49" t="s">
        <v>360</v>
      </c>
      <c r="B295" s="49"/>
      <c r="C295" s="49" t="s">
        <v>367</v>
      </c>
      <c r="D295" s="50">
        <v>45937.0</v>
      </c>
      <c r="E295" s="50">
        <v>45942.0</v>
      </c>
      <c r="F295" s="52" t="b">
        <v>0</v>
      </c>
      <c r="G295" s="56"/>
      <c r="H295" s="52" t="b">
        <v>0</v>
      </c>
      <c r="I295" s="56"/>
      <c r="J295" s="52" t="b">
        <v>0</v>
      </c>
      <c r="K295" s="52" t="b">
        <v>0</v>
      </c>
      <c r="L295" s="53"/>
      <c r="M295" s="54"/>
      <c r="N295" s="55"/>
    </row>
    <row r="296">
      <c r="A296" s="49" t="s">
        <v>360</v>
      </c>
      <c r="B296" s="49"/>
      <c r="C296" s="49" t="s">
        <v>368</v>
      </c>
      <c r="D296" s="50">
        <v>45937.0</v>
      </c>
      <c r="E296" s="50">
        <v>45942.0</v>
      </c>
      <c r="F296" s="52" t="b">
        <v>0</v>
      </c>
      <c r="G296" s="56"/>
      <c r="H296" s="52" t="b">
        <v>0</v>
      </c>
      <c r="I296" s="56"/>
      <c r="J296" s="52" t="b">
        <v>0</v>
      </c>
      <c r="K296" s="52" t="b">
        <v>0</v>
      </c>
      <c r="L296" s="53"/>
      <c r="M296" s="54"/>
      <c r="N296" s="55"/>
    </row>
    <row r="297">
      <c r="A297" s="49" t="s">
        <v>360</v>
      </c>
      <c r="B297" s="49"/>
      <c r="C297" s="49" t="s">
        <v>369</v>
      </c>
      <c r="D297" s="50">
        <v>45937.0</v>
      </c>
      <c r="E297" s="50">
        <v>45942.0</v>
      </c>
      <c r="F297" s="52" t="b">
        <v>0</v>
      </c>
      <c r="G297" s="56"/>
      <c r="H297" s="52" t="b">
        <v>0</v>
      </c>
      <c r="I297" s="56"/>
      <c r="J297" s="52" t="b">
        <v>0</v>
      </c>
      <c r="K297" s="52" t="b">
        <v>0</v>
      </c>
      <c r="L297" s="53"/>
      <c r="M297" s="54"/>
      <c r="N297" s="55"/>
    </row>
    <row r="298">
      <c r="A298" s="49" t="s">
        <v>360</v>
      </c>
      <c r="B298" s="49"/>
      <c r="C298" s="49" t="s">
        <v>370</v>
      </c>
      <c r="D298" s="50">
        <v>45937.0</v>
      </c>
      <c r="E298" s="50">
        <v>45942.0</v>
      </c>
      <c r="F298" s="52" t="b">
        <v>0</v>
      </c>
      <c r="G298" s="56"/>
      <c r="H298" s="52" t="b">
        <v>0</v>
      </c>
      <c r="I298" s="56"/>
      <c r="J298" s="52" t="b">
        <v>0</v>
      </c>
      <c r="K298" s="52" t="b">
        <v>0</v>
      </c>
      <c r="L298" s="53"/>
      <c r="M298" s="54"/>
      <c r="N298" s="55"/>
    </row>
    <row r="299">
      <c r="A299" s="49" t="s">
        <v>360</v>
      </c>
      <c r="B299" s="49"/>
      <c r="C299" s="49" t="s">
        <v>371</v>
      </c>
      <c r="D299" s="50">
        <v>45937.0</v>
      </c>
      <c r="E299" s="50">
        <v>45942.0</v>
      </c>
      <c r="F299" s="52" t="b">
        <v>0</v>
      </c>
      <c r="G299" s="56"/>
      <c r="H299" s="52" t="b">
        <v>0</v>
      </c>
      <c r="I299" s="56"/>
      <c r="J299" s="52" t="b">
        <v>0</v>
      </c>
      <c r="K299" s="52" t="b">
        <v>0</v>
      </c>
      <c r="L299" s="53"/>
      <c r="M299" s="54"/>
      <c r="N299" s="55"/>
    </row>
    <row r="300">
      <c r="A300" s="49" t="s">
        <v>360</v>
      </c>
      <c r="B300" s="49"/>
      <c r="C300" s="49" t="s">
        <v>372</v>
      </c>
      <c r="D300" s="50">
        <v>45937.0</v>
      </c>
      <c r="E300" s="50">
        <v>45942.0</v>
      </c>
      <c r="F300" s="52" t="b">
        <v>0</v>
      </c>
      <c r="G300" s="56"/>
      <c r="H300" s="52" t="b">
        <v>0</v>
      </c>
      <c r="I300" s="56"/>
      <c r="J300" s="52" t="b">
        <v>0</v>
      </c>
      <c r="K300" s="52" t="b">
        <v>0</v>
      </c>
      <c r="L300" s="53"/>
      <c r="M300" s="54"/>
      <c r="N300" s="55"/>
    </row>
    <row r="301">
      <c r="A301" s="49" t="s">
        <v>360</v>
      </c>
      <c r="B301" s="49"/>
      <c r="C301" s="49" t="s">
        <v>373</v>
      </c>
      <c r="D301" s="50">
        <v>45937.0</v>
      </c>
      <c r="E301" s="50">
        <v>45942.0</v>
      </c>
      <c r="F301" s="52" t="b">
        <v>0</v>
      </c>
      <c r="G301" s="56"/>
      <c r="H301" s="52" t="b">
        <v>0</v>
      </c>
      <c r="I301" s="56"/>
      <c r="J301" s="52" t="b">
        <v>0</v>
      </c>
      <c r="K301" s="52" t="b">
        <v>0</v>
      </c>
      <c r="L301" s="53"/>
      <c r="M301" s="54"/>
      <c r="N301" s="55"/>
    </row>
    <row r="302">
      <c r="A302" s="49" t="s">
        <v>360</v>
      </c>
      <c r="B302" s="49"/>
      <c r="C302" s="49" t="s">
        <v>374</v>
      </c>
      <c r="D302" s="50">
        <v>45937.0</v>
      </c>
      <c r="E302" s="50">
        <v>45942.0</v>
      </c>
      <c r="F302" s="52" t="b">
        <v>0</v>
      </c>
      <c r="G302" s="56"/>
      <c r="H302" s="52" t="b">
        <v>0</v>
      </c>
      <c r="I302" s="56"/>
      <c r="J302" s="52" t="b">
        <v>0</v>
      </c>
      <c r="K302" s="52" t="b">
        <v>0</v>
      </c>
      <c r="L302" s="53"/>
      <c r="M302" s="54"/>
      <c r="N302" s="55"/>
    </row>
    <row r="303">
      <c r="A303" s="49" t="s">
        <v>360</v>
      </c>
      <c r="B303" s="49"/>
      <c r="C303" s="49" t="s">
        <v>375</v>
      </c>
      <c r="D303" s="50">
        <v>45937.0</v>
      </c>
      <c r="E303" s="50">
        <v>45942.0</v>
      </c>
      <c r="F303" s="52" t="b">
        <v>0</v>
      </c>
      <c r="G303" s="56"/>
      <c r="H303" s="52" t="b">
        <v>0</v>
      </c>
      <c r="I303" s="56"/>
      <c r="J303" s="52" t="b">
        <v>0</v>
      </c>
      <c r="K303" s="52" t="b">
        <v>0</v>
      </c>
      <c r="L303" s="53"/>
      <c r="M303" s="54"/>
      <c r="N303" s="55"/>
    </row>
    <row r="304">
      <c r="A304" s="49" t="s">
        <v>360</v>
      </c>
      <c r="B304" s="49"/>
      <c r="C304" s="49" t="s">
        <v>376</v>
      </c>
      <c r="D304" s="50">
        <v>45937.0</v>
      </c>
      <c r="E304" s="50">
        <v>45942.0</v>
      </c>
      <c r="F304" s="52" t="b">
        <v>0</v>
      </c>
      <c r="G304" s="56"/>
      <c r="H304" s="52" t="b">
        <v>0</v>
      </c>
      <c r="I304" s="56"/>
      <c r="J304" s="52" t="b">
        <v>0</v>
      </c>
      <c r="K304" s="52" t="b">
        <v>0</v>
      </c>
      <c r="L304" s="53"/>
      <c r="M304" s="54"/>
      <c r="N304" s="55"/>
    </row>
    <row r="305">
      <c r="A305" s="49" t="s">
        <v>360</v>
      </c>
      <c r="B305" s="49"/>
      <c r="C305" s="49" t="s">
        <v>377</v>
      </c>
      <c r="D305" s="50">
        <v>45937.0</v>
      </c>
      <c r="E305" s="50">
        <v>45942.0</v>
      </c>
      <c r="F305" s="52" t="b">
        <v>0</v>
      </c>
      <c r="G305" s="56"/>
      <c r="H305" s="52" t="b">
        <v>0</v>
      </c>
      <c r="I305" s="56"/>
      <c r="J305" s="52" t="b">
        <v>0</v>
      </c>
      <c r="K305" s="52" t="b">
        <v>0</v>
      </c>
      <c r="L305" s="53"/>
      <c r="M305" s="54"/>
      <c r="N305" s="55"/>
    </row>
    <row r="306">
      <c r="A306" s="49" t="s">
        <v>360</v>
      </c>
      <c r="B306" s="49"/>
      <c r="C306" s="49" t="s">
        <v>378</v>
      </c>
      <c r="D306" s="50">
        <v>45937.0</v>
      </c>
      <c r="E306" s="50">
        <v>45942.0</v>
      </c>
      <c r="F306" s="52" t="b">
        <v>0</v>
      </c>
      <c r="G306" s="56"/>
      <c r="H306" s="52" t="b">
        <v>0</v>
      </c>
      <c r="I306" s="56"/>
      <c r="J306" s="52" t="b">
        <v>0</v>
      </c>
      <c r="K306" s="52" t="b">
        <v>0</v>
      </c>
      <c r="L306" s="53"/>
      <c r="M306" s="54"/>
      <c r="N306" s="55"/>
    </row>
    <row r="307">
      <c r="A307" s="49" t="s">
        <v>360</v>
      </c>
      <c r="B307" s="49"/>
      <c r="C307" s="49" t="s">
        <v>379</v>
      </c>
      <c r="D307" s="50">
        <v>45937.0</v>
      </c>
      <c r="E307" s="50">
        <v>45942.0</v>
      </c>
      <c r="F307" s="52" t="b">
        <v>0</v>
      </c>
      <c r="G307" s="56"/>
      <c r="H307" s="52" t="b">
        <v>0</v>
      </c>
      <c r="I307" s="56"/>
      <c r="J307" s="52" t="b">
        <v>0</v>
      </c>
      <c r="K307" s="52" t="b">
        <v>0</v>
      </c>
      <c r="L307" s="53"/>
      <c r="M307" s="54"/>
      <c r="N307" s="55"/>
    </row>
    <row r="308">
      <c r="A308" s="49" t="s">
        <v>360</v>
      </c>
      <c r="B308" s="49"/>
      <c r="C308" s="49" t="s">
        <v>380</v>
      </c>
      <c r="D308" s="50">
        <v>45937.0</v>
      </c>
      <c r="E308" s="50">
        <v>45942.0</v>
      </c>
      <c r="F308" s="52" t="b">
        <v>0</v>
      </c>
      <c r="G308" s="56"/>
      <c r="H308" s="52" t="b">
        <v>0</v>
      </c>
      <c r="I308" s="56"/>
      <c r="J308" s="52" t="b">
        <v>0</v>
      </c>
      <c r="K308" s="52" t="b">
        <v>0</v>
      </c>
      <c r="L308" s="53"/>
      <c r="M308" s="54"/>
      <c r="N308" s="55"/>
    </row>
    <row r="309">
      <c r="A309" s="49" t="s">
        <v>360</v>
      </c>
      <c r="B309" s="49"/>
      <c r="C309" s="49" t="s">
        <v>381</v>
      </c>
      <c r="D309" s="50">
        <v>45937.0</v>
      </c>
      <c r="E309" s="50">
        <v>45942.0</v>
      </c>
      <c r="F309" s="52" t="b">
        <v>0</v>
      </c>
      <c r="G309" s="56"/>
      <c r="H309" s="52" t="b">
        <v>0</v>
      </c>
      <c r="I309" s="56"/>
      <c r="J309" s="52" t="b">
        <v>0</v>
      </c>
      <c r="K309" s="52" t="b">
        <v>0</v>
      </c>
      <c r="L309" s="53"/>
      <c r="M309" s="54"/>
      <c r="N309" s="55"/>
    </row>
    <row r="310">
      <c r="A310" s="49" t="s">
        <v>360</v>
      </c>
      <c r="B310" s="49"/>
      <c r="C310" s="49" t="s">
        <v>382</v>
      </c>
      <c r="D310" s="50">
        <v>45937.0</v>
      </c>
      <c r="E310" s="50">
        <v>45942.0</v>
      </c>
      <c r="F310" s="52" t="b">
        <v>0</v>
      </c>
      <c r="G310" s="56"/>
      <c r="H310" s="52" t="b">
        <v>0</v>
      </c>
      <c r="I310" s="56"/>
      <c r="J310" s="52" t="b">
        <v>0</v>
      </c>
      <c r="K310" s="52" t="b">
        <v>0</v>
      </c>
      <c r="L310" s="53"/>
      <c r="M310" s="54"/>
      <c r="N310" s="55"/>
    </row>
    <row r="311">
      <c r="A311" s="49" t="s">
        <v>360</v>
      </c>
      <c r="B311" s="49"/>
      <c r="C311" s="49" t="s">
        <v>383</v>
      </c>
      <c r="D311" s="50">
        <v>45937.0</v>
      </c>
      <c r="E311" s="50">
        <v>45942.0</v>
      </c>
      <c r="F311" s="52" t="b">
        <v>0</v>
      </c>
      <c r="G311" s="56"/>
      <c r="H311" s="52" t="b">
        <v>0</v>
      </c>
      <c r="I311" s="56"/>
      <c r="J311" s="52" t="b">
        <v>0</v>
      </c>
      <c r="K311" s="52" t="b">
        <v>0</v>
      </c>
      <c r="L311" s="53"/>
      <c r="M311" s="54"/>
      <c r="N311" s="55"/>
    </row>
    <row r="312">
      <c r="A312" s="49" t="s">
        <v>360</v>
      </c>
      <c r="B312" s="49"/>
      <c r="C312" s="49" t="s">
        <v>384</v>
      </c>
      <c r="D312" s="50">
        <v>45937.0</v>
      </c>
      <c r="E312" s="50">
        <v>45942.0</v>
      </c>
      <c r="F312" s="52" t="b">
        <v>0</v>
      </c>
      <c r="G312" s="56"/>
      <c r="H312" s="52" t="b">
        <v>0</v>
      </c>
      <c r="I312" s="56"/>
      <c r="J312" s="52" t="b">
        <v>0</v>
      </c>
      <c r="K312" s="52" t="b">
        <v>0</v>
      </c>
      <c r="L312" s="53"/>
      <c r="M312" s="54"/>
      <c r="N312" s="55"/>
    </row>
    <row r="313">
      <c r="A313" s="49" t="s">
        <v>360</v>
      </c>
      <c r="B313" s="49"/>
      <c r="C313" s="49" t="s">
        <v>385</v>
      </c>
      <c r="D313" s="50">
        <v>45937.0</v>
      </c>
      <c r="E313" s="50">
        <v>45942.0</v>
      </c>
      <c r="F313" s="52" t="b">
        <v>0</v>
      </c>
      <c r="G313" s="56"/>
      <c r="H313" s="52" t="b">
        <v>0</v>
      </c>
      <c r="I313" s="56"/>
      <c r="J313" s="52" t="b">
        <v>0</v>
      </c>
      <c r="K313" s="52" t="b">
        <v>0</v>
      </c>
      <c r="L313" s="53"/>
      <c r="M313" s="54"/>
      <c r="N313" s="55"/>
    </row>
    <row r="314">
      <c r="A314" s="49" t="s">
        <v>360</v>
      </c>
      <c r="B314" s="49"/>
      <c r="C314" s="49" t="s">
        <v>386</v>
      </c>
      <c r="D314" s="50">
        <v>45937.0</v>
      </c>
      <c r="E314" s="50">
        <v>45942.0</v>
      </c>
      <c r="F314" s="52" t="b">
        <v>0</v>
      </c>
      <c r="G314" s="56"/>
      <c r="H314" s="52" t="b">
        <v>0</v>
      </c>
      <c r="I314" s="56"/>
      <c r="J314" s="52" t="b">
        <v>0</v>
      </c>
      <c r="K314" s="52" t="b">
        <v>0</v>
      </c>
      <c r="L314" s="53"/>
      <c r="M314" s="54"/>
      <c r="N314" s="55"/>
    </row>
    <row r="315">
      <c r="A315" s="49" t="s">
        <v>360</v>
      </c>
      <c r="B315" s="49"/>
      <c r="C315" s="49" t="s">
        <v>387</v>
      </c>
      <c r="D315" s="50">
        <v>45937.0</v>
      </c>
      <c r="E315" s="50">
        <v>45942.0</v>
      </c>
      <c r="F315" s="52" t="b">
        <v>0</v>
      </c>
      <c r="G315" s="56"/>
      <c r="H315" s="52" t="b">
        <v>0</v>
      </c>
      <c r="I315" s="56"/>
      <c r="J315" s="52" t="b">
        <v>0</v>
      </c>
      <c r="K315" s="52" t="b">
        <v>0</v>
      </c>
      <c r="L315" s="53"/>
      <c r="M315" s="54"/>
      <c r="N315" s="55"/>
    </row>
    <row r="316">
      <c r="A316" s="49" t="s">
        <v>360</v>
      </c>
      <c r="B316" s="49"/>
      <c r="C316" s="49" t="s">
        <v>388</v>
      </c>
      <c r="D316" s="50">
        <v>45937.0</v>
      </c>
      <c r="E316" s="50">
        <v>45942.0</v>
      </c>
      <c r="F316" s="52" t="b">
        <v>0</v>
      </c>
      <c r="G316" s="56"/>
      <c r="H316" s="52" t="b">
        <v>0</v>
      </c>
      <c r="I316" s="56"/>
      <c r="J316" s="52" t="b">
        <v>0</v>
      </c>
      <c r="K316" s="52" t="b">
        <v>0</v>
      </c>
      <c r="L316" s="53"/>
      <c r="M316" s="54"/>
      <c r="N316" s="55"/>
    </row>
    <row r="317">
      <c r="A317" s="49" t="s">
        <v>360</v>
      </c>
      <c r="B317" s="49"/>
      <c r="C317" s="49" t="s">
        <v>389</v>
      </c>
      <c r="D317" s="50">
        <v>45937.0</v>
      </c>
      <c r="E317" s="50">
        <v>45942.0</v>
      </c>
      <c r="F317" s="52" t="b">
        <v>0</v>
      </c>
      <c r="G317" s="56"/>
      <c r="H317" s="52" t="b">
        <v>0</v>
      </c>
      <c r="I317" s="56"/>
      <c r="J317" s="52" t="b">
        <v>0</v>
      </c>
      <c r="K317" s="52" t="b">
        <v>0</v>
      </c>
      <c r="L317" s="53"/>
      <c r="M317" s="54"/>
      <c r="N317" s="55"/>
    </row>
    <row r="318">
      <c r="A318" s="49" t="s">
        <v>360</v>
      </c>
      <c r="B318" s="49"/>
      <c r="C318" s="49" t="s">
        <v>390</v>
      </c>
      <c r="D318" s="50">
        <v>45937.0</v>
      </c>
      <c r="E318" s="50">
        <v>45942.0</v>
      </c>
      <c r="F318" s="52" t="b">
        <v>0</v>
      </c>
      <c r="G318" s="56"/>
      <c r="H318" s="52" t="b">
        <v>0</v>
      </c>
      <c r="I318" s="56"/>
      <c r="J318" s="52" t="b">
        <v>0</v>
      </c>
      <c r="K318" s="52" t="b">
        <v>0</v>
      </c>
      <c r="L318" s="53"/>
      <c r="M318" s="54"/>
      <c r="N318" s="55"/>
    </row>
    <row r="319">
      <c r="A319" s="49" t="s">
        <v>360</v>
      </c>
      <c r="B319" s="49"/>
      <c r="C319" s="49" t="s">
        <v>391</v>
      </c>
      <c r="D319" s="50">
        <v>45937.0</v>
      </c>
      <c r="E319" s="50">
        <v>45942.0</v>
      </c>
      <c r="F319" s="52" t="b">
        <v>0</v>
      </c>
      <c r="G319" s="56"/>
      <c r="H319" s="52" t="b">
        <v>0</v>
      </c>
      <c r="I319" s="56"/>
      <c r="J319" s="52" t="b">
        <v>0</v>
      </c>
      <c r="K319" s="52" t="b">
        <v>0</v>
      </c>
      <c r="L319" s="53"/>
      <c r="M319" s="54"/>
      <c r="N319" s="55"/>
    </row>
    <row r="320">
      <c r="A320" s="49" t="s">
        <v>360</v>
      </c>
      <c r="B320" s="49"/>
      <c r="C320" s="49" t="s">
        <v>392</v>
      </c>
      <c r="D320" s="50">
        <v>45937.0</v>
      </c>
      <c r="E320" s="50">
        <v>45942.0</v>
      </c>
      <c r="F320" s="52" t="b">
        <v>0</v>
      </c>
      <c r="G320" s="56"/>
      <c r="H320" s="52" t="b">
        <v>0</v>
      </c>
      <c r="I320" s="56"/>
      <c r="J320" s="52" t="b">
        <v>0</v>
      </c>
      <c r="K320" s="52" t="b">
        <v>0</v>
      </c>
      <c r="L320" s="53"/>
      <c r="M320" s="54"/>
      <c r="N320" s="55"/>
    </row>
    <row r="321">
      <c r="A321" s="49" t="s">
        <v>360</v>
      </c>
      <c r="B321" s="49"/>
      <c r="C321" s="49" t="s">
        <v>393</v>
      </c>
      <c r="D321" s="50">
        <v>45937.0</v>
      </c>
      <c r="E321" s="50">
        <v>45942.0</v>
      </c>
      <c r="F321" s="52" t="b">
        <v>0</v>
      </c>
      <c r="G321" s="56"/>
      <c r="H321" s="52" t="b">
        <v>0</v>
      </c>
      <c r="I321" s="56"/>
      <c r="J321" s="52" t="b">
        <v>0</v>
      </c>
      <c r="K321" s="52" t="b">
        <v>0</v>
      </c>
      <c r="L321" s="53"/>
      <c r="M321" s="54"/>
      <c r="N321" s="55"/>
    </row>
    <row r="322">
      <c r="A322" s="49" t="s">
        <v>360</v>
      </c>
      <c r="B322" s="49"/>
      <c r="C322" s="49" t="s">
        <v>394</v>
      </c>
      <c r="D322" s="50">
        <v>45937.0</v>
      </c>
      <c r="E322" s="50">
        <v>45942.0</v>
      </c>
      <c r="F322" s="52" t="b">
        <v>0</v>
      </c>
      <c r="G322" s="56"/>
      <c r="H322" s="52" t="b">
        <v>0</v>
      </c>
      <c r="I322" s="56"/>
      <c r="J322" s="52" t="b">
        <v>0</v>
      </c>
      <c r="K322" s="52" t="b">
        <v>0</v>
      </c>
      <c r="L322" s="53"/>
      <c r="M322" s="54"/>
      <c r="N322" s="55"/>
    </row>
    <row r="323">
      <c r="A323" s="49" t="s">
        <v>360</v>
      </c>
      <c r="B323" s="49"/>
      <c r="C323" s="49" t="s">
        <v>395</v>
      </c>
      <c r="D323" s="50">
        <v>45937.0</v>
      </c>
      <c r="E323" s="50">
        <v>45942.0</v>
      </c>
      <c r="F323" s="52" t="b">
        <v>0</v>
      </c>
      <c r="G323" s="56"/>
      <c r="H323" s="52" t="b">
        <v>0</v>
      </c>
      <c r="I323" s="56"/>
      <c r="J323" s="52" t="b">
        <v>0</v>
      </c>
      <c r="K323" s="52" t="b">
        <v>0</v>
      </c>
      <c r="L323" s="53"/>
      <c r="M323" s="54"/>
      <c r="N323" s="55"/>
    </row>
    <row r="324">
      <c r="A324" s="49" t="s">
        <v>360</v>
      </c>
      <c r="B324" s="49"/>
      <c r="C324" s="49" t="s">
        <v>396</v>
      </c>
      <c r="D324" s="50">
        <v>45937.0</v>
      </c>
      <c r="E324" s="50">
        <v>45942.0</v>
      </c>
      <c r="F324" s="52" t="b">
        <v>0</v>
      </c>
      <c r="G324" s="56"/>
      <c r="H324" s="52" t="b">
        <v>0</v>
      </c>
      <c r="I324" s="56"/>
      <c r="J324" s="52" t="b">
        <v>0</v>
      </c>
      <c r="K324" s="52" t="b">
        <v>0</v>
      </c>
      <c r="L324" s="53"/>
      <c r="M324" s="54"/>
      <c r="N324" s="55"/>
    </row>
    <row r="325">
      <c r="A325" s="49" t="s">
        <v>360</v>
      </c>
      <c r="B325" s="49"/>
      <c r="C325" s="49" t="s">
        <v>397</v>
      </c>
      <c r="D325" s="50">
        <v>45937.0</v>
      </c>
      <c r="E325" s="50">
        <v>45942.0</v>
      </c>
      <c r="F325" s="52" t="b">
        <v>0</v>
      </c>
      <c r="G325" s="56"/>
      <c r="H325" s="52" t="b">
        <v>0</v>
      </c>
      <c r="I325" s="56"/>
      <c r="J325" s="52" t="b">
        <v>0</v>
      </c>
      <c r="K325" s="52" t="b">
        <v>0</v>
      </c>
      <c r="L325" s="53"/>
      <c r="M325" s="54"/>
      <c r="N325" s="55"/>
    </row>
    <row r="326">
      <c r="A326" s="49" t="s">
        <v>360</v>
      </c>
      <c r="B326" s="49"/>
      <c r="C326" s="49" t="s">
        <v>398</v>
      </c>
      <c r="D326" s="50">
        <v>45937.0</v>
      </c>
      <c r="E326" s="50">
        <v>45942.0</v>
      </c>
      <c r="F326" s="52" t="b">
        <v>0</v>
      </c>
      <c r="G326" s="56"/>
      <c r="H326" s="52" t="b">
        <v>0</v>
      </c>
      <c r="I326" s="56"/>
      <c r="J326" s="52" t="b">
        <v>0</v>
      </c>
      <c r="K326" s="52" t="b">
        <v>0</v>
      </c>
      <c r="L326" s="53"/>
      <c r="M326" s="54"/>
      <c r="N326" s="55"/>
    </row>
    <row r="327">
      <c r="A327" s="49" t="s">
        <v>360</v>
      </c>
      <c r="B327" s="49"/>
      <c r="C327" s="49" t="s">
        <v>399</v>
      </c>
      <c r="D327" s="50">
        <v>45937.0</v>
      </c>
      <c r="E327" s="50">
        <v>45942.0</v>
      </c>
      <c r="F327" s="52" t="b">
        <v>0</v>
      </c>
      <c r="G327" s="56"/>
      <c r="H327" s="52" t="b">
        <v>0</v>
      </c>
      <c r="I327" s="56"/>
      <c r="J327" s="52" t="b">
        <v>0</v>
      </c>
      <c r="K327" s="52" t="b">
        <v>0</v>
      </c>
      <c r="L327" s="53"/>
      <c r="M327" s="54"/>
      <c r="N327" s="55"/>
    </row>
    <row r="328">
      <c r="A328" s="49" t="s">
        <v>360</v>
      </c>
      <c r="B328" s="49"/>
      <c r="C328" s="49" t="s">
        <v>400</v>
      </c>
      <c r="D328" s="50">
        <v>45937.0</v>
      </c>
      <c r="E328" s="50">
        <v>45942.0</v>
      </c>
      <c r="F328" s="52" t="b">
        <v>0</v>
      </c>
      <c r="G328" s="56"/>
      <c r="H328" s="52" t="b">
        <v>0</v>
      </c>
      <c r="I328" s="56"/>
      <c r="J328" s="52" t="b">
        <v>0</v>
      </c>
      <c r="K328" s="52" t="b">
        <v>0</v>
      </c>
      <c r="L328" s="53"/>
      <c r="M328" s="54"/>
      <c r="N328" s="55"/>
    </row>
    <row r="329">
      <c r="A329" s="49" t="s">
        <v>360</v>
      </c>
      <c r="B329" s="49"/>
      <c r="C329" s="49" t="s">
        <v>401</v>
      </c>
      <c r="D329" s="50">
        <v>45937.0</v>
      </c>
      <c r="E329" s="50">
        <v>45942.0</v>
      </c>
      <c r="F329" s="52" t="b">
        <v>0</v>
      </c>
      <c r="G329" s="56"/>
      <c r="H329" s="52" t="b">
        <v>0</v>
      </c>
      <c r="I329" s="56"/>
      <c r="J329" s="52" t="b">
        <v>0</v>
      </c>
      <c r="K329" s="52" t="b">
        <v>0</v>
      </c>
      <c r="L329" s="53"/>
      <c r="M329" s="54"/>
      <c r="N329" s="55"/>
    </row>
    <row r="330">
      <c r="A330" s="49" t="s">
        <v>295</v>
      </c>
      <c r="B330" s="49"/>
      <c r="C330" s="49" t="s">
        <v>402</v>
      </c>
      <c r="D330" s="50">
        <v>45937.0</v>
      </c>
      <c r="E330" s="50">
        <v>45951.0</v>
      </c>
      <c r="F330" s="52" t="b">
        <v>0</v>
      </c>
      <c r="G330" s="56"/>
      <c r="H330" s="52" t="b">
        <v>0</v>
      </c>
      <c r="I330" s="56"/>
      <c r="J330" s="52" t="b">
        <v>0</v>
      </c>
      <c r="K330" s="52" t="b">
        <v>0</v>
      </c>
      <c r="L330" s="53"/>
      <c r="M330" s="54"/>
      <c r="N330" s="55"/>
    </row>
    <row r="331">
      <c r="A331" s="49" t="s">
        <v>295</v>
      </c>
      <c r="B331" s="49"/>
      <c r="C331" s="49" t="s">
        <v>403</v>
      </c>
      <c r="D331" s="50">
        <v>45937.0</v>
      </c>
      <c r="E331" s="50">
        <v>45951.0</v>
      </c>
      <c r="F331" s="52" t="b">
        <v>0</v>
      </c>
      <c r="G331" s="56"/>
      <c r="H331" s="52" t="b">
        <v>0</v>
      </c>
      <c r="I331" s="56"/>
      <c r="J331" s="52" t="b">
        <v>0</v>
      </c>
      <c r="K331" s="52" t="b">
        <v>0</v>
      </c>
      <c r="L331" s="53"/>
      <c r="M331" s="54"/>
      <c r="N331" s="55"/>
    </row>
    <row r="332">
      <c r="A332" s="49" t="s">
        <v>295</v>
      </c>
      <c r="B332" s="49"/>
      <c r="C332" s="49" t="s">
        <v>404</v>
      </c>
      <c r="D332" s="50">
        <v>45937.0</v>
      </c>
      <c r="E332" s="50">
        <v>45951.0</v>
      </c>
      <c r="F332" s="52" t="b">
        <v>0</v>
      </c>
      <c r="G332" s="56"/>
      <c r="H332" s="52" t="b">
        <v>0</v>
      </c>
      <c r="I332" s="56"/>
      <c r="J332" s="52" t="b">
        <v>0</v>
      </c>
      <c r="K332" s="52" t="b">
        <v>0</v>
      </c>
      <c r="L332" s="53"/>
      <c r="M332" s="54"/>
      <c r="N332" s="55"/>
    </row>
    <row r="333">
      <c r="A333" s="49" t="s">
        <v>295</v>
      </c>
      <c r="B333" s="49"/>
      <c r="C333" s="49" t="s">
        <v>405</v>
      </c>
      <c r="D333" s="50">
        <v>45937.0</v>
      </c>
      <c r="E333" s="50">
        <v>45951.0</v>
      </c>
      <c r="F333" s="52" t="b">
        <v>0</v>
      </c>
      <c r="G333" s="56"/>
      <c r="H333" s="52" t="b">
        <v>0</v>
      </c>
      <c r="I333" s="56"/>
      <c r="J333" s="52" t="b">
        <v>0</v>
      </c>
      <c r="K333" s="52" t="b">
        <v>0</v>
      </c>
      <c r="L333" s="53"/>
      <c r="M333" s="54"/>
      <c r="N333" s="55"/>
    </row>
    <row r="334">
      <c r="A334" s="49" t="s">
        <v>295</v>
      </c>
      <c r="B334" s="49"/>
      <c r="C334" s="49" t="s">
        <v>406</v>
      </c>
      <c r="D334" s="50">
        <v>45937.0</v>
      </c>
      <c r="E334" s="50">
        <v>45951.0</v>
      </c>
      <c r="F334" s="52" t="b">
        <v>0</v>
      </c>
      <c r="G334" s="56"/>
      <c r="H334" s="52" t="b">
        <v>0</v>
      </c>
      <c r="I334" s="56"/>
      <c r="J334" s="52" t="b">
        <v>0</v>
      </c>
      <c r="K334" s="52" t="b">
        <v>0</v>
      </c>
      <c r="L334" s="53"/>
      <c r="M334" s="54"/>
      <c r="N334" s="55"/>
    </row>
    <row r="335">
      <c r="A335" s="49" t="s">
        <v>295</v>
      </c>
      <c r="B335" s="49"/>
      <c r="C335" s="49" t="s">
        <v>407</v>
      </c>
      <c r="D335" s="50">
        <v>45937.0</v>
      </c>
      <c r="E335" s="50">
        <v>45951.0</v>
      </c>
      <c r="F335" s="52" t="b">
        <v>0</v>
      </c>
      <c r="G335" s="56"/>
      <c r="H335" s="52" t="b">
        <v>0</v>
      </c>
      <c r="I335" s="56"/>
      <c r="J335" s="52" t="b">
        <v>0</v>
      </c>
      <c r="K335" s="52" t="b">
        <v>0</v>
      </c>
      <c r="L335" s="53"/>
      <c r="M335" s="54"/>
      <c r="N335" s="55"/>
    </row>
    <row r="336">
      <c r="A336" s="49" t="s">
        <v>295</v>
      </c>
      <c r="B336" s="49"/>
      <c r="C336" s="49" t="s">
        <v>408</v>
      </c>
      <c r="D336" s="50">
        <v>45937.0</v>
      </c>
      <c r="E336" s="50">
        <v>45951.0</v>
      </c>
      <c r="F336" s="52" t="b">
        <v>0</v>
      </c>
      <c r="G336" s="56"/>
      <c r="H336" s="52" t="b">
        <v>0</v>
      </c>
      <c r="I336" s="56"/>
      <c r="J336" s="52" t="b">
        <v>0</v>
      </c>
      <c r="K336" s="52" t="b">
        <v>0</v>
      </c>
      <c r="L336" s="53"/>
      <c r="M336" s="54"/>
      <c r="N336" s="55"/>
    </row>
    <row r="337">
      <c r="A337" s="49" t="s">
        <v>295</v>
      </c>
      <c r="B337" s="49"/>
      <c r="C337" s="49" t="s">
        <v>409</v>
      </c>
      <c r="D337" s="50">
        <v>45937.0</v>
      </c>
      <c r="E337" s="50">
        <v>45951.0</v>
      </c>
      <c r="F337" s="52" t="b">
        <v>0</v>
      </c>
      <c r="G337" s="56"/>
      <c r="H337" s="52" t="b">
        <v>0</v>
      </c>
      <c r="I337" s="56"/>
      <c r="J337" s="52" t="b">
        <v>0</v>
      </c>
      <c r="K337" s="52" t="b">
        <v>0</v>
      </c>
      <c r="L337" s="53"/>
      <c r="M337" s="54"/>
      <c r="N337" s="55"/>
    </row>
    <row r="338">
      <c r="A338" s="49" t="s">
        <v>295</v>
      </c>
      <c r="B338" s="49"/>
      <c r="C338" s="49" t="s">
        <v>410</v>
      </c>
      <c r="D338" s="50">
        <v>45937.0</v>
      </c>
      <c r="E338" s="50">
        <v>45951.0</v>
      </c>
      <c r="F338" s="52" t="b">
        <v>0</v>
      </c>
      <c r="G338" s="56"/>
      <c r="H338" s="52" t="b">
        <v>0</v>
      </c>
      <c r="I338" s="56"/>
      <c r="J338" s="52" t="b">
        <v>0</v>
      </c>
      <c r="K338" s="52" t="b">
        <v>0</v>
      </c>
      <c r="L338" s="53"/>
      <c r="M338" s="54"/>
      <c r="N338" s="55"/>
    </row>
    <row r="339">
      <c r="A339" s="49" t="s">
        <v>295</v>
      </c>
      <c r="B339" s="49"/>
      <c r="C339" s="49" t="s">
        <v>411</v>
      </c>
      <c r="D339" s="50">
        <v>45937.0</v>
      </c>
      <c r="E339" s="50">
        <v>45951.0</v>
      </c>
      <c r="F339" s="52" t="b">
        <v>0</v>
      </c>
      <c r="G339" s="56"/>
      <c r="H339" s="52" t="b">
        <v>0</v>
      </c>
      <c r="I339" s="56"/>
      <c r="J339" s="52" t="b">
        <v>0</v>
      </c>
      <c r="K339" s="52" t="b">
        <v>0</v>
      </c>
      <c r="L339" s="53"/>
      <c r="M339" s="54"/>
      <c r="N339" s="55"/>
    </row>
    <row r="340">
      <c r="A340" s="49" t="s">
        <v>295</v>
      </c>
      <c r="B340" s="49"/>
      <c r="C340" s="49" t="s">
        <v>412</v>
      </c>
      <c r="D340" s="50">
        <v>45937.0</v>
      </c>
      <c r="E340" s="50">
        <v>45951.0</v>
      </c>
      <c r="F340" s="52" t="b">
        <v>0</v>
      </c>
      <c r="G340" s="56"/>
      <c r="H340" s="52" t="b">
        <v>0</v>
      </c>
      <c r="I340" s="56"/>
      <c r="J340" s="52" t="b">
        <v>0</v>
      </c>
      <c r="K340" s="52" t="b">
        <v>0</v>
      </c>
      <c r="L340" s="53"/>
      <c r="M340" s="54"/>
      <c r="N340" s="55"/>
    </row>
    <row r="341">
      <c r="A341" s="49" t="s">
        <v>295</v>
      </c>
      <c r="B341" s="49"/>
      <c r="C341" s="49" t="s">
        <v>413</v>
      </c>
      <c r="D341" s="50">
        <v>45937.0</v>
      </c>
      <c r="E341" s="50">
        <v>45951.0</v>
      </c>
      <c r="F341" s="52" t="b">
        <v>0</v>
      </c>
      <c r="G341" s="56"/>
      <c r="H341" s="52" t="b">
        <v>0</v>
      </c>
      <c r="I341" s="56"/>
      <c r="J341" s="52" t="b">
        <v>0</v>
      </c>
      <c r="K341" s="52" t="b">
        <v>0</v>
      </c>
      <c r="L341" s="53"/>
      <c r="M341" s="54"/>
      <c r="N341" s="55"/>
    </row>
    <row r="342">
      <c r="A342" s="49" t="s">
        <v>295</v>
      </c>
      <c r="B342" s="49"/>
      <c r="C342" s="49" t="s">
        <v>414</v>
      </c>
      <c r="D342" s="50">
        <v>45937.0</v>
      </c>
      <c r="E342" s="50">
        <v>45951.0</v>
      </c>
      <c r="F342" s="52" t="b">
        <v>0</v>
      </c>
      <c r="G342" s="56"/>
      <c r="H342" s="52" t="b">
        <v>0</v>
      </c>
      <c r="I342" s="56"/>
      <c r="J342" s="52" t="b">
        <v>0</v>
      </c>
      <c r="K342" s="52" t="b">
        <v>0</v>
      </c>
      <c r="L342" s="53"/>
      <c r="M342" s="54"/>
      <c r="N342" s="55"/>
    </row>
    <row r="343">
      <c r="A343" s="49" t="s">
        <v>295</v>
      </c>
      <c r="B343" s="49"/>
      <c r="C343" s="49" t="s">
        <v>415</v>
      </c>
      <c r="D343" s="50">
        <v>45937.0</v>
      </c>
      <c r="E343" s="50">
        <v>45951.0</v>
      </c>
      <c r="F343" s="52" t="b">
        <v>0</v>
      </c>
      <c r="G343" s="56"/>
      <c r="H343" s="52" t="b">
        <v>0</v>
      </c>
      <c r="I343" s="56"/>
      <c r="J343" s="52" t="b">
        <v>0</v>
      </c>
      <c r="K343" s="52" t="b">
        <v>0</v>
      </c>
      <c r="L343" s="53"/>
      <c r="M343" s="54"/>
      <c r="N343" s="55"/>
    </row>
    <row r="344">
      <c r="A344" s="49" t="s">
        <v>295</v>
      </c>
      <c r="B344" s="49"/>
      <c r="C344" s="49" t="s">
        <v>416</v>
      </c>
      <c r="D344" s="50">
        <v>45937.0</v>
      </c>
      <c r="E344" s="50">
        <v>45951.0</v>
      </c>
      <c r="F344" s="52" t="b">
        <v>0</v>
      </c>
      <c r="G344" s="56"/>
      <c r="H344" s="52" t="b">
        <v>0</v>
      </c>
      <c r="I344" s="56"/>
      <c r="J344" s="52" t="b">
        <v>0</v>
      </c>
      <c r="K344" s="52" t="b">
        <v>0</v>
      </c>
      <c r="L344" s="53"/>
      <c r="M344" s="54"/>
      <c r="N344" s="55"/>
    </row>
    <row r="345">
      <c r="A345" s="49" t="s">
        <v>295</v>
      </c>
      <c r="B345" s="49"/>
      <c r="C345" s="49" t="s">
        <v>417</v>
      </c>
      <c r="D345" s="50">
        <v>45937.0</v>
      </c>
      <c r="E345" s="50">
        <v>45951.0</v>
      </c>
      <c r="F345" s="52" t="b">
        <v>0</v>
      </c>
      <c r="G345" s="56"/>
      <c r="H345" s="52" t="b">
        <v>0</v>
      </c>
      <c r="I345" s="56"/>
      <c r="J345" s="52" t="b">
        <v>0</v>
      </c>
      <c r="K345" s="52" t="b">
        <v>0</v>
      </c>
      <c r="L345" s="53"/>
      <c r="M345" s="54"/>
      <c r="N345" s="55"/>
    </row>
    <row r="346">
      <c r="A346" s="49" t="s">
        <v>295</v>
      </c>
      <c r="B346" s="49"/>
      <c r="C346" s="49" t="s">
        <v>418</v>
      </c>
      <c r="D346" s="50">
        <v>45937.0</v>
      </c>
      <c r="E346" s="50">
        <v>45951.0</v>
      </c>
      <c r="F346" s="52" t="b">
        <v>0</v>
      </c>
      <c r="G346" s="56"/>
      <c r="H346" s="52" t="b">
        <v>0</v>
      </c>
      <c r="I346" s="56"/>
      <c r="J346" s="52" t="b">
        <v>0</v>
      </c>
      <c r="K346" s="52" t="b">
        <v>0</v>
      </c>
      <c r="L346" s="53"/>
      <c r="M346" s="54"/>
      <c r="N346" s="55"/>
    </row>
    <row r="347">
      <c r="A347" s="49" t="s">
        <v>295</v>
      </c>
      <c r="B347" s="49"/>
      <c r="C347" s="49" t="s">
        <v>419</v>
      </c>
      <c r="D347" s="50">
        <v>45937.0</v>
      </c>
      <c r="E347" s="50">
        <v>45951.0</v>
      </c>
      <c r="F347" s="52" t="b">
        <v>0</v>
      </c>
      <c r="G347" s="56"/>
      <c r="H347" s="52" t="b">
        <v>0</v>
      </c>
      <c r="I347" s="56"/>
      <c r="J347" s="52" t="b">
        <v>0</v>
      </c>
      <c r="K347" s="52" t="b">
        <v>0</v>
      </c>
      <c r="L347" s="53"/>
      <c r="M347" s="54"/>
      <c r="N347" s="55"/>
    </row>
    <row r="348">
      <c r="A348" s="49" t="s">
        <v>295</v>
      </c>
      <c r="B348" s="49"/>
      <c r="C348" s="49" t="s">
        <v>420</v>
      </c>
      <c r="D348" s="50">
        <v>45937.0</v>
      </c>
      <c r="E348" s="50">
        <v>45951.0</v>
      </c>
      <c r="F348" s="52" t="b">
        <v>0</v>
      </c>
      <c r="G348" s="56"/>
      <c r="H348" s="52" t="b">
        <v>0</v>
      </c>
      <c r="I348" s="56"/>
      <c r="J348" s="52" t="b">
        <v>0</v>
      </c>
      <c r="K348" s="52" t="b">
        <v>0</v>
      </c>
      <c r="L348" s="53"/>
      <c r="M348" s="54"/>
      <c r="N348" s="55"/>
    </row>
    <row r="349">
      <c r="A349" s="49" t="s">
        <v>295</v>
      </c>
      <c r="B349" s="49"/>
      <c r="C349" s="49" t="s">
        <v>421</v>
      </c>
      <c r="D349" s="50">
        <v>45937.0</v>
      </c>
      <c r="E349" s="50">
        <v>45951.0</v>
      </c>
      <c r="F349" s="52" t="b">
        <v>0</v>
      </c>
      <c r="G349" s="56"/>
      <c r="H349" s="52" t="b">
        <v>0</v>
      </c>
      <c r="I349" s="56"/>
      <c r="J349" s="52" t="b">
        <v>0</v>
      </c>
      <c r="K349" s="52" t="b">
        <v>0</v>
      </c>
      <c r="L349" s="53"/>
      <c r="M349" s="54"/>
      <c r="N349" s="55"/>
    </row>
    <row r="350">
      <c r="A350" s="49" t="s">
        <v>295</v>
      </c>
      <c r="B350" s="49"/>
      <c r="C350" s="49" t="s">
        <v>422</v>
      </c>
      <c r="D350" s="50">
        <v>45937.0</v>
      </c>
      <c r="E350" s="50">
        <v>45951.0</v>
      </c>
      <c r="F350" s="52" t="b">
        <v>0</v>
      </c>
      <c r="G350" s="56"/>
      <c r="H350" s="52" t="b">
        <v>0</v>
      </c>
      <c r="I350" s="56"/>
      <c r="J350" s="52" t="b">
        <v>0</v>
      </c>
      <c r="K350" s="52" t="b">
        <v>0</v>
      </c>
      <c r="L350" s="53"/>
      <c r="M350" s="54"/>
      <c r="N350" s="55"/>
    </row>
    <row r="351">
      <c r="A351" s="49" t="s">
        <v>295</v>
      </c>
      <c r="B351" s="49"/>
      <c r="C351" s="49" t="s">
        <v>423</v>
      </c>
      <c r="D351" s="50">
        <v>45937.0</v>
      </c>
      <c r="E351" s="50">
        <v>45951.0</v>
      </c>
      <c r="F351" s="52" t="b">
        <v>0</v>
      </c>
      <c r="G351" s="56"/>
      <c r="H351" s="52" t="b">
        <v>0</v>
      </c>
      <c r="I351" s="56"/>
      <c r="J351" s="52" t="b">
        <v>0</v>
      </c>
      <c r="K351" s="52" t="b">
        <v>0</v>
      </c>
      <c r="L351" s="53"/>
      <c r="M351" s="54"/>
      <c r="N351" s="55"/>
    </row>
    <row r="352">
      <c r="A352" s="49" t="s">
        <v>295</v>
      </c>
      <c r="B352" s="49"/>
      <c r="C352" s="49" t="s">
        <v>424</v>
      </c>
      <c r="D352" s="50">
        <v>45937.0</v>
      </c>
      <c r="E352" s="50">
        <v>45951.0</v>
      </c>
      <c r="F352" s="52" t="b">
        <v>0</v>
      </c>
      <c r="G352" s="56"/>
      <c r="H352" s="52" t="b">
        <v>0</v>
      </c>
      <c r="I352" s="56"/>
      <c r="J352" s="52" t="b">
        <v>0</v>
      </c>
      <c r="K352" s="52" t="b">
        <v>0</v>
      </c>
      <c r="L352" s="53"/>
      <c r="M352" s="54"/>
      <c r="N352" s="55"/>
    </row>
    <row r="353">
      <c r="A353" s="49" t="s">
        <v>295</v>
      </c>
      <c r="B353" s="49"/>
      <c r="C353" s="49" t="s">
        <v>425</v>
      </c>
      <c r="D353" s="50">
        <v>45937.0</v>
      </c>
      <c r="E353" s="50">
        <v>45951.0</v>
      </c>
      <c r="F353" s="52" t="b">
        <v>0</v>
      </c>
      <c r="G353" s="56"/>
      <c r="H353" s="52" t="b">
        <v>0</v>
      </c>
      <c r="I353" s="56"/>
      <c r="J353" s="52" t="b">
        <v>0</v>
      </c>
      <c r="K353" s="52" t="b">
        <v>0</v>
      </c>
      <c r="L353" s="53"/>
      <c r="M353" s="54"/>
      <c r="N353" s="55"/>
    </row>
    <row r="354">
      <c r="A354" s="49" t="s">
        <v>295</v>
      </c>
      <c r="B354" s="49"/>
      <c r="C354" s="49" t="s">
        <v>426</v>
      </c>
      <c r="D354" s="50">
        <v>45937.0</v>
      </c>
      <c r="E354" s="50">
        <v>45951.0</v>
      </c>
      <c r="F354" s="52" t="b">
        <v>0</v>
      </c>
      <c r="G354" s="56"/>
      <c r="H354" s="52" t="b">
        <v>0</v>
      </c>
      <c r="I354" s="56"/>
      <c r="J354" s="52" t="b">
        <v>0</v>
      </c>
      <c r="K354" s="52" t="b">
        <v>0</v>
      </c>
      <c r="L354" s="53"/>
      <c r="M354" s="54"/>
      <c r="N354" s="55"/>
    </row>
    <row r="355">
      <c r="A355" s="49" t="s">
        <v>295</v>
      </c>
      <c r="B355" s="49"/>
      <c r="C355" s="49" t="s">
        <v>427</v>
      </c>
      <c r="D355" s="50">
        <v>45937.0</v>
      </c>
      <c r="E355" s="50">
        <v>45951.0</v>
      </c>
      <c r="F355" s="52" t="b">
        <v>0</v>
      </c>
      <c r="G355" s="56"/>
      <c r="H355" s="52" t="b">
        <v>0</v>
      </c>
      <c r="I355" s="56"/>
      <c r="J355" s="52" t="b">
        <v>0</v>
      </c>
      <c r="K355" s="52" t="b">
        <v>0</v>
      </c>
      <c r="L355" s="53"/>
      <c r="M355" s="54"/>
      <c r="N355" s="55"/>
    </row>
    <row r="356">
      <c r="A356" s="49" t="s">
        <v>295</v>
      </c>
      <c r="B356" s="49"/>
      <c r="C356" s="49" t="s">
        <v>428</v>
      </c>
      <c r="D356" s="50">
        <v>45937.0</v>
      </c>
      <c r="E356" s="50">
        <v>45951.0</v>
      </c>
      <c r="F356" s="52" t="b">
        <v>0</v>
      </c>
      <c r="G356" s="56"/>
      <c r="H356" s="52" t="b">
        <v>0</v>
      </c>
      <c r="I356" s="56"/>
      <c r="J356" s="52" t="b">
        <v>0</v>
      </c>
      <c r="K356" s="52" t="b">
        <v>0</v>
      </c>
      <c r="L356" s="53"/>
      <c r="M356" s="54"/>
      <c r="N356" s="55"/>
    </row>
    <row r="357">
      <c r="A357" s="49" t="s">
        <v>295</v>
      </c>
      <c r="B357" s="49"/>
      <c r="C357" s="49" t="s">
        <v>429</v>
      </c>
      <c r="D357" s="50">
        <v>45937.0</v>
      </c>
      <c r="E357" s="50">
        <v>45951.0</v>
      </c>
      <c r="F357" s="52" t="b">
        <v>0</v>
      </c>
      <c r="G357" s="56"/>
      <c r="H357" s="52" t="b">
        <v>0</v>
      </c>
      <c r="I357" s="56"/>
      <c r="J357" s="52" t="b">
        <v>0</v>
      </c>
      <c r="K357" s="52" t="b">
        <v>0</v>
      </c>
      <c r="L357" s="53"/>
      <c r="M357" s="54"/>
      <c r="N357" s="55"/>
    </row>
    <row r="358">
      <c r="A358" s="49" t="s">
        <v>295</v>
      </c>
      <c r="B358" s="49"/>
      <c r="C358" s="49" t="s">
        <v>430</v>
      </c>
      <c r="D358" s="50">
        <v>45937.0</v>
      </c>
      <c r="E358" s="50">
        <v>45951.0</v>
      </c>
      <c r="F358" s="52" t="b">
        <v>0</v>
      </c>
      <c r="G358" s="56"/>
      <c r="H358" s="52" t="b">
        <v>0</v>
      </c>
      <c r="I358" s="56"/>
      <c r="J358" s="52" t="b">
        <v>0</v>
      </c>
      <c r="K358" s="52" t="b">
        <v>0</v>
      </c>
      <c r="L358" s="53"/>
      <c r="M358" s="54"/>
      <c r="N358" s="55"/>
    </row>
    <row r="359">
      <c r="A359" s="49" t="s">
        <v>295</v>
      </c>
      <c r="B359" s="49"/>
      <c r="C359" s="49" t="s">
        <v>431</v>
      </c>
      <c r="D359" s="50">
        <v>45937.0</v>
      </c>
      <c r="E359" s="50">
        <v>45951.0</v>
      </c>
      <c r="F359" s="52" t="b">
        <v>0</v>
      </c>
      <c r="G359" s="56"/>
      <c r="H359" s="52" t="b">
        <v>0</v>
      </c>
      <c r="I359" s="56"/>
      <c r="J359" s="52" t="b">
        <v>0</v>
      </c>
      <c r="K359" s="52" t="b">
        <v>0</v>
      </c>
      <c r="L359" s="53"/>
      <c r="M359" s="54"/>
      <c r="N359" s="55"/>
    </row>
    <row r="360">
      <c r="A360" s="49" t="s">
        <v>295</v>
      </c>
      <c r="B360" s="49"/>
      <c r="C360" s="49" t="s">
        <v>432</v>
      </c>
      <c r="D360" s="50">
        <v>45937.0</v>
      </c>
      <c r="E360" s="50">
        <v>45951.0</v>
      </c>
      <c r="F360" s="52" t="b">
        <v>0</v>
      </c>
      <c r="G360" s="56"/>
      <c r="H360" s="52" t="b">
        <v>0</v>
      </c>
      <c r="I360" s="56"/>
      <c r="J360" s="52" t="b">
        <v>0</v>
      </c>
      <c r="K360" s="52" t="b">
        <v>0</v>
      </c>
      <c r="L360" s="53"/>
      <c r="M360" s="54"/>
      <c r="N360" s="55"/>
    </row>
    <row r="361">
      <c r="A361" s="49" t="s">
        <v>295</v>
      </c>
      <c r="B361" s="49"/>
      <c r="C361" s="49" t="s">
        <v>433</v>
      </c>
      <c r="D361" s="50">
        <v>45937.0</v>
      </c>
      <c r="E361" s="50">
        <v>45951.0</v>
      </c>
      <c r="F361" s="52" t="b">
        <v>0</v>
      </c>
      <c r="G361" s="56"/>
      <c r="H361" s="52" t="b">
        <v>0</v>
      </c>
      <c r="I361" s="56"/>
      <c r="J361" s="52" t="b">
        <v>0</v>
      </c>
      <c r="K361" s="52" t="b">
        <v>0</v>
      </c>
      <c r="L361" s="53"/>
      <c r="M361" s="54"/>
      <c r="N361" s="55"/>
    </row>
    <row r="362">
      <c r="A362" s="49" t="s">
        <v>295</v>
      </c>
      <c r="B362" s="49"/>
      <c r="C362" s="49" t="s">
        <v>434</v>
      </c>
      <c r="D362" s="50">
        <v>45937.0</v>
      </c>
      <c r="E362" s="50">
        <v>45951.0</v>
      </c>
      <c r="F362" s="52" t="b">
        <v>0</v>
      </c>
      <c r="G362" s="56"/>
      <c r="H362" s="52" t="b">
        <v>0</v>
      </c>
      <c r="I362" s="56"/>
      <c r="J362" s="52" t="b">
        <v>0</v>
      </c>
      <c r="K362" s="52" t="b">
        <v>0</v>
      </c>
      <c r="L362" s="53"/>
      <c r="M362" s="54"/>
      <c r="N362" s="55"/>
    </row>
    <row r="363">
      <c r="A363" s="49" t="s">
        <v>295</v>
      </c>
      <c r="B363" s="49"/>
      <c r="C363" s="49" t="s">
        <v>435</v>
      </c>
      <c r="D363" s="50">
        <v>45937.0</v>
      </c>
      <c r="E363" s="50">
        <v>45951.0</v>
      </c>
      <c r="F363" s="52" t="b">
        <v>0</v>
      </c>
      <c r="G363" s="56"/>
      <c r="H363" s="52" t="b">
        <v>0</v>
      </c>
      <c r="I363" s="56"/>
      <c r="J363" s="52" t="b">
        <v>0</v>
      </c>
      <c r="K363" s="52" t="b">
        <v>0</v>
      </c>
      <c r="L363" s="53"/>
      <c r="M363" s="54"/>
      <c r="N363" s="55"/>
    </row>
    <row r="364">
      <c r="A364" s="49" t="s">
        <v>295</v>
      </c>
      <c r="B364" s="49"/>
      <c r="C364" s="49" t="s">
        <v>436</v>
      </c>
      <c r="D364" s="50">
        <v>45937.0</v>
      </c>
      <c r="E364" s="50">
        <v>45951.0</v>
      </c>
      <c r="F364" s="52" t="b">
        <v>0</v>
      </c>
      <c r="G364" s="56"/>
      <c r="H364" s="52" t="b">
        <v>0</v>
      </c>
      <c r="I364" s="56"/>
      <c r="J364" s="52" t="b">
        <v>0</v>
      </c>
      <c r="K364" s="52" t="b">
        <v>0</v>
      </c>
      <c r="L364" s="53"/>
      <c r="M364" s="54"/>
      <c r="N364" s="55"/>
    </row>
    <row r="365">
      <c r="A365" s="49" t="s">
        <v>295</v>
      </c>
      <c r="B365" s="49"/>
      <c r="C365" s="49" t="s">
        <v>437</v>
      </c>
      <c r="D365" s="50">
        <v>45937.0</v>
      </c>
      <c r="E365" s="50">
        <v>45951.0</v>
      </c>
      <c r="F365" s="52" t="b">
        <v>0</v>
      </c>
      <c r="G365" s="56"/>
      <c r="H365" s="52" t="b">
        <v>0</v>
      </c>
      <c r="I365" s="56"/>
      <c r="J365" s="52" t="b">
        <v>0</v>
      </c>
      <c r="K365" s="52" t="b">
        <v>0</v>
      </c>
      <c r="L365" s="53"/>
      <c r="M365" s="54"/>
      <c r="N365" s="55"/>
    </row>
    <row r="366">
      <c r="A366" s="49" t="s">
        <v>295</v>
      </c>
      <c r="B366" s="49"/>
      <c r="C366" s="49" t="s">
        <v>438</v>
      </c>
      <c r="D366" s="50">
        <v>45937.0</v>
      </c>
      <c r="E366" s="50">
        <v>45951.0</v>
      </c>
      <c r="F366" s="52" t="b">
        <v>0</v>
      </c>
      <c r="G366" s="56"/>
      <c r="H366" s="52" t="b">
        <v>0</v>
      </c>
      <c r="I366" s="56"/>
      <c r="J366" s="52" t="b">
        <v>0</v>
      </c>
      <c r="K366" s="52" t="b">
        <v>0</v>
      </c>
      <c r="L366" s="53"/>
      <c r="M366" s="54"/>
      <c r="N366" s="55"/>
    </row>
    <row r="367">
      <c r="A367" s="49" t="s">
        <v>295</v>
      </c>
      <c r="B367" s="49"/>
      <c r="C367" s="49" t="s">
        <v>439</v>
      </c>
      <c r="D367" s="50">
        <v>45937.0</v>
      </c>
      <c r="E367" s="50">
        <v>45951.0</v>
      </c>
      <c r="F367" s="52" t="b">
        <v>0</v>
      </c>
      <c r="G367" s="56"/>
      <c r="H367" s="52" t="b">
        <v>0</v>
      </c>
      <c r="I367" s="56"/>
      <c r="J367" s="52" t="b">
        <v>0</v>
      </c>
      <c r="K367" s="52" t="b">
        <v>0</v>
      </c>
      <c r="L367" s="53"/>
      <c r="M367" s="54"/>
      <c r="N367" s="55"/>
    </row>
    <row r="368">
      <c r="A368" s="49" t="s">
        <v>295</v>
      </c>
      <c r="B368" s="49"/>
      <c r="C368" s="49" t="s">
        <v>440</v>
      </c>
      <c r="D368" s="50">
        <v>45937.0</v>
      </c>
      <c r="E368" s="50">
        <v>45951.0</v>
      </c>
      <c r="F368" s="52" t="b">
        <v>0</v>
      </c>
      <c r="G368" s="56"/>
      <c r="H368" s="52" t="b">
        <v>0</v>
      </c>
      <c r="I368" s="56"/>
      <c r="J368" s="52" t="b">
        <v>0</v>
      </c>
      <c r="K368" s="52" t="b">
        <v>0</v>
      </c>
      <c r="L368" s="53"/>
      <c r="M368" s="54"/>
      <c r="N368" s="55"/>
    </row>
    <row r="369">
      <c r="A369" s="49" t="s">
        <v>295</v>
      </c>
      <c r="B369" s="49"/>
      <c r="C369" s="49" t="s">
        <v>441</v>
      </c>
      <c r="D369" s="50">
        <v>45937.0</v>
      </c>
      <c r="E369" s="50">
        <v>45951.0</v>
      </c>
      <c r="F369" s="52" t="b">
        <v>0</v>
      </c>
      <c r="G369" s="56"/>
      <c r="H369" s="52" t="b">
        <v>0</v>
      </c>
      <c r="I369" s="56"/>
      <c r="J369" s="52" t="b">
        <v>0</v>
      </c>
      <c r="K369" s="52" t="b">
        <v>0</v>
      </c>
      <c r="L369" s="53"/>
      <c r="M369" s="54"/>
      <c r="N369" s="55"/>
    </row>
    <row r="370">
      <c r="A370" s="49" t="s">
        <v>295</v>
      </c>
      <c r="B370" s="49"/>
      <c r="C370" s="49" t="s">
        <v>442</v>
      </c>
      <c r="D370" s="50">
        <v>45937.0</v>
      </c>
      <c r="E370" s="50">
        <v>45951.0</v>
      </c>
      <c r="F370" s="52" t="b">
        <v>0</v>
      </c>
      <c r="G370" s="56"/>
      <c r="H370" s="52" t="b">
        <v>0</v>
      </c>
      <c r="I370" s="56"/>
      <c r="J370" s="52" t="b">
        <v>0</v>
      </c>
      <c r="K370" s="52" t="b">
        <v>0</v>
      </c>
      <c r="L370" s="53"/>
      <c r="M370" s="54"/>
      <c r="N370" s="55"/>
    </row>
    <row r="371">
      <c r="A371" s="49" t="s">
        <v>295</v>
      </c>
      <c r="B371" s="49"/>
      <c r="C371" s="49" t="s">
        <v>443</v>
      </c>
      <c r="D371" s="50">
        <v>45937.0</v>
      </c>
      <c r="E371" s="50">
        <v>45951.0</v>
      </c>
      <c r="F371" s="52" t="b">
        <v>0</v>
      </c>
      <c r="G371" s="56"/>
      <c r="H371" s="52" t="b">
        <v>0</v>
      </c>
      <c r="I371" s="56"/>
      <c r="J371" s="52" t="b">
        <v>0</v>
      </c>
      <c r="K371" s="52" t="b">
        <v>0</v>
      </c>
      <c r="L371" s="53"/>
      <c r="M371" s="54"/>
      <c r="N371" s="55"/>
    </row>
    <row r="372">
      <c r="A372" s="49" t="s">
        <v>295</v>
      </c>
      <c r="B372" s="49"/>
      <c r="C372" s="49" t="s">
        <v>444</v>
      </c>
      <c r="D372" s="50">
        <v>45937.0</v>
      </c>
      <c r="E372" s="50">
        <v>45951.0</v>
      </c>
      <c r="F372" s="52" t="b">
        <v>0</v>
      </c>
      <c r="G372" s="56"/>
      <c r="H372" s="52" t="b">
        <v>0</v>
      </c>
      <c r="I372" s="56"/>
      <c r="J372" s="52" t="b">
        <v>0</v>
      </c>
      <c r="K372" s="52" t="b">
        <v>0</v>
      </c>
      <c r="L372" s="53"/>
      <c r="M372" s="54"/>
      <c r="N372" s="55"/>
    </row>
    <row r="373">
      <c r="A373" s="49" t="s">
        <v>295</v>
      </c>
      <c r="B373" s="49"/>
      <c r="C373" s="49" t="s">
        <v>445</v>
      </c>
      <c r="D373" s="50">
        <v>45937.0</v>
      </c>
      <c r="E373" s="50">
        <v>45951.0</v>
      </c>
      <c r="F373" s="52" t="b">
        <v>0</v>
      </c>
      <c r="G373" s="56"/>
      <c r="H373" s="52" t="b">
        <v>0</v>
      </c>
      <c r="I373" s="56"/>
      <c r="J373" s="52" t="b">
        <v>0</v>
      </c>
      <c r="K373" s="52" t="b">
        <v>0</v>
      </c>
      <c r="L373" s="53"/>
      <c r="M373" s="54"/>
      <c r="N373" s="55"/>
    </row>
    <row r="374">
      <c r="A374" s="49" t="s">
        <v>295</v>
      </c>
      <c r="B374" s="49"/>
      <c r="C374" s="49" t="s">
        <v>446</v>
      </c>
      <c r="D374" s="50">
        <v>45937.0</v>
      </c>
      <c r="E374" s="50">
        <v>45951.0</v>
      </c>
      <c r="F374" s="52" t="b">
        <v>0</v>
      </c>
      <c r="G374" s="56"/>
      <c r="H374" s="52" t="b">
        <v>0</v>
      </c>
      <c r="I374" s="56"/>
      <c r="J374" s="52" t="b">
        <v>0</v>
      </c>
      <c r="K374" s="52" t="b">
        <v>0</v>
      </c>
      <c r="L374" s="53"/>
      <c r="M374" s="54"/>
      <c r="N374" s="55"/>
    </row>
    <row r="375">
      <c r="A375" s="49" t="s">
        <v>295</v>
      </c>
      <c r="B375" s="49"/>
      <c r="C375" s="49" t="s">
        <v>447</v>
      </c>
      <c r="D375" s="50">
        <v>45937.0</v>
      </c>
      <c r="E375" s="50">
        <v>45951.0</v>
      </c>
      <c r="F375" s="52" t="b">
        <v>0</v>
      </c>
      <c r="G375" s="56"/>
      <c r="H375" s="52" t="b">
        <v>0</v>
      </c>
      <c r="I375" s="56"/>
      <c r="J375" s="52" t="b">
        <v>0</v>
      </c>
      <c r="K375" s="52" t="b">
        <v>0</v>
      </c>
      <c r="L375" s="53"/>
      <c r="M375" s="54"/>
      <c r="N375" s="55"/>
    </row>
    <row r="376">
      <c r="A376" s="49" t="s">
        <v>295</v>
      </c>
      <c r="B376" s="49"/>
      <c r="C376" s="49" t="s">
        <v>448</v>
      </c>
      <c r="D376" s="50">
        <v>45937.0</v>
      </c>
      <c r="E376" s="50">
        <v>45951.0</v>
      </c>
      <c r="F376" s="52" t="b">
        <v>0</v>
      </c>
      <c r="G376" s="56"/>
      <c r="H376" s="52" t="b">
        <v>0</v>
      </c>
      <c r="I376" s="56"/>
      <c r="J376" s="52" t="b">
        <v>0</v>
      </c>
      <c r="K376" s="52" t="b">
        <v>0</v>
      </c>
      <c r="L376" s="53"/>
      <c r="M376" s="54"/>
      <c r="N376" s="55"/>
    </row>
    <row r="377">
      <c r="A377" s="49" t="s">
        <v>295</v>
      </c>
      <c r="B377" s="49"/>
      <c r="C377" s="49" t="s">
        <v>449</v>
      </c>
      <c r="D377" s="50">
        <v>45937.0</v>
      </c>
      <c r="E377" s="50">
        <v>45951.0</v>
      </c>
      <c r="F377" s="52" t="b">
        <v>0</v>
      </c>
      <c r="G377" s="56"/>
      <c r="H377" s="52" t="b">
        <v>0</v>
      </c>
      <c r="I377" s="56"/>
      <c r="J377" s="52" t="b">
        <v>0</v>
      </c>
      <c r="K377" s="52" t="b">
        <v>0</v>
      </c>
      <c r="L377" s="53"/>
      <c r="M377" s="54"/>
      <c r="N377" s="55"/>
    </row>
    <row r="378">
      <c r="A378" s="49" t="s">
        <v>295</v>
      </c>
      <c r="B378" s="49"/>
      <c r="C378" s="49" t="s">
        <v>450</v>
      </c>
      <c r="D378" s="50">
        <v>45937.0</v>
      </c>
      <c r="E378" s="50">
        <v>45951.0</v>
      </c>
      <c r="F378" s="52" t="b">
        <v>0</v>
      </c>
      <c r="G378" s="56"/>
      <c r="H378" s="52" t="b">
        <v>0</v>
      </c>
      <c r="I378" s="56"/>
      <c r="J378" s="52" t="b">
        <v>0</v>
      </c>
      <c r="K378" s="52" t="b">
        <v>0</v>
      </c>
      <c r="L378" s="53"/>
      <c r="M378" s="54"/>
      <c r="N378" s="55"/>
    </row>
    <row r="379">
      <c r="A379" s="49" t="s">
        <v>295</v>
      </c>
      <c r="B379" s="49"/>
      <c r="C379" s="49" t="s">
        <v>451</v>
      </c>
      <c r="D379" s="50">
        <v>45937.0</v>
      </c>
      <c r="E379" s="50">
        <v>45951.0</v>
      </c>
      <c r="F379" s="52" t="b">
        <v>0</v>
      </c>
      <c r="G379" s="56"/>
      <c r="H379" s="52" t="b">
        <v>0</v>
      </c>
      <c r="I379" s="56"/>
      <c r="J379" s="52" t="b">
        <v>0</v>
      </c>
      <c r="K379" s="52" t="b">
        <v>0</v>
      </c>
      <c r="L379" s="53"/>
      <c r="M379" s="54"/>
      <c r="N379" s="55"/>
    </row>
    <row r="380">
      <c r="A380" s="49" t="s">
        <v>295</v>
      </c>
      <c r="B380" s="49"/>
      <c r="C380" s="49" t="s">
        <v>452</v>
      </c>
      <c r="D380" s="50">
        <v>45937.0</v>
      </c>
      <c r="E380" s="50">
        <v>45951.0</v>
      </c>
      <c r="F380" s="52" t="b">
        <v>0</v>
      </c>
      <c r="G380" s="56"/>
      <c r="H380" s="52" t="b">
        <v>0</v>
      </c>
      <c r="I380" s="56"/>
      <c r="J380" s="52" t="b">
        <v>0</v>
      </c>
      <c r="K380" s="52" t="b">
        <v>0</v>
      </c>
      <c r="L380" s="53"/>
      <c r="M380" s="54"/>
      <c r="N380" s="55"/>
    </row>
    <row r="381">
      <c r="A381" s="49" t="s">
        <v>295</v>
      </c>
      <c r="B381" s="49"/>
      <c r="C381" s="49" t="s">
        <v>453</v>
      </c>
      <c r="D381" s="50">
        <v>45937.0</v>
      </c>
      <c r="E381" s="50">
        <v>45951.0</v>
      </c>
      <c r="F381" s="52" t="b">
        <v>0</v>
      </c>
      <c r="G381" s="56"/>
      <c r="H381" s="52" t="b">
        <v>0</v>
      </c>
      <c r="I381" s="56"/>
      <c r="J381" s="52" t="b">
        <v>0</v>
      </c>
      <c r="K381" s="52" t="b">
        <v>0</v>
      </c>
      <c r="L381" s="53"/>
      <c r="M381" s="54"/>
      <c r="N381" s="55"/>
    </row>
    <row r="382">
      <c r="A382" s="49" t="s">
        <v>295</v>
      </c>
      <c r="B382" s="49"/>
      <c r="C382" s="49" t="s">
        <v>454</v>
      </c>
      <c r="D382" s="50">
        <v>45937.0</v>
      </c>
      <c r="E382" s="50">
        <v>45951.0</v>
      </c>
      <c r="F382" s="52" t="b">
        <v>0</v>
      </c>
      <c r="G382" s="56"/>
      <c r="H382" s="52" t="b">
        <v>0</v>
      </c>
      <c r="I382" s="56"/>
      <c r="J382" s="52" t="b">
        <v>0</v>
      </c>
      <c r="K382" s="52" t="b">
        <v>0</v>
      </c>
      <c r="L382" s="53"/>
      <c r="M382" s="54"/>
      <c r="N382" s="55"/>
    </row>
    <row r="383">
      <c r="A383" s="49" t="s">
        <v>295</v>
      </c>
      <c r="B383" s="49"/>
      <c r="C383" s="49" t="s">
        <v>455</v>
      </c>
      <c r="D383" s="50">
        <v>45937.0</v>
      </c>
      <c r="E383" s="50">
        <v>45951.0</v>
      </c>
      <c r="F383" s="52" t="b">
        <v>0</v>
      </c>
      <c r="G383" s="56"/>
      <c r="H383" s="52" t="b">
        <v>0</v>
      </c>
      <c r="I383" s="56"/>
      <c r="J383" s="52" t="b">
        <v>0</v>
      </c>
      <c r="K383" s="52" t="b">
        <v>0</v>
      </c>
      <c r="L383" s="53"/>
      <c r="M383" s="54"/>
      <c r="N383" s="55"/>
    </row>
    <row r="384">
      <c r="A384" s="49" t="s">
        <v>295</v>
      </c>
      <c r="B384" s="49"/>
      <c r="C384" s="49" t="s">
        <v>456</v>
      </c>
      <c r="D384" s="50">
        <v>45937.0</v>
      </c>
      <c r="E384" s="50">
        <v>45951.0</v>
      </c>
      <c r="F384" s="52" t="b">
        <v>0</v>
      </c>
      <c r="G384" s="56"/>
      <c r="H384" s="52" t="b">
        <v>0</v>
      </c>
      <c r="I384" s="56"/>
      <c r="J384" s="52" t="b">
        <v>0</v>
      </c>
      <c r="K384" s="52" t="b">
        <v>0</v>
      </c>
      <c r="L384" s="53"/>
      <c r="M384" s="54"/>
      <c r="N384" s="55"/>
    </row>
    <row r="385">
      <c r="A385" s="49" t="s">
        <v>295</v>
      </c>
      <c r="B385" s="49"/>
      <c r="C385" s="49" t="s">
        <v>457</v>
      </c>
      <c r="D385" s="50">
        <v>45937.0</v>
      </c>
      <c r="E385" s="50">
        <v>45951.0</v>
      </c>
      <c r="F385" s="52" t="b">
        <v>0</v>
      </c>
      <c r="G385" s="56"/>
      <c r="H385" s="52" t="b">
        <v>0</v>
      </c>
      <c r="I385" s="56"/>
      <c r="J385" s="52" t="b">
        <v>0</v>
      </c>
      <c r="K385" s="52" t="b">
        <v>0</v>
      </c>
      <c r="L385" s="53"/>
      <c r="M385" s="54"/>
      <c r="N385" s="55"/>
    </row>
    <row r="386">
      <c r="A386" s="49" t="s">
        <v>295</v>
      </c>
      <c r="B386" s="49"/>
      <c r="C386" s="49" t="s">
        <v>458</v>
      </c>
      <c r="D386" s="50">
        <v>45937.0</v>
      </c>
      <c r="E386" s="50">
        <v>45951.0</v>
      </c>
      <c r="F386" s="52" t="b">
        <v>0</v>
      </c>
      <c r="G386" s="56"/>
      <c r="H386" s="52" t="b">
        <v>0</v>
      </c>
      <c r="I386" s="56"/>
      <c r="J386" s="52" t="b">
        <v>0</v>
      </c>
      <c r="K386" s="52" t="b">
        <v>0</v>
      </c>
      <c r="L386" s="53"/>
      <c r="M386" s="54"/>
      <c r="N386" s="55"/>
    </row>
    <row r="387">
      <c r="A387" s="49" t="s">
        <v>295</v>
      </c>
      <c r="B387" s="49"/>
      <c r="C387" s="49" t="s">
        <v>459</v>
      </c>
      <c r="D387" s="50">
        <v>45937.0</v>
      </c>
      <c r="E387" s="50">
        <v>45951.0</v>
      </c>
      <c r="F387" s="52" t="b">
        <v>0</v>
      </c>
      <c r="G387" s="56"/>
      <c r="H387" s="52" t="b">
        <v>0</v>
      </c>
      <c r="I387" s="56"/>
      <c r="J387" s="52" t="b">
        <v>0</v>
      </c>
      <c r="K387" s="52" t="b">
        <v>0</v>
      </c>
      <c r="L387" s="53"/>
      <c r="M387" s="54"/>
      <c r="N387" s="55"/>
    </row>
    <row r="388">
      <c r="A388" s="49" t="s">
        <v>295</v>
      </c>
      <c r="B388" s="49"/>
      <c r="C388" s="49" t="s">
        <v>460</v>
      </c>
      <c r="D388" s="50">
        <v>45937.0</v>
      </c>
      <c r="E388" s="50">
        <v>45951.0</v>
      </c>
      <c r="F388" s="52" t="b">
        <v>0</v>
      </c>
      <c r="G388" s="56"/>
      <c r="H388" s="52" t="b">
        <v>0</v>
      </c>
      <c r="I388" s="56"/>
      <c r="J388" s="52" t="b">
        <v>0</v>
      </c>
      <c r="K388" s="52" t="b">
        <v>0</v>
      </c>
      <c r="L388" s="53"/>
      <c r="M388" s="54"/>
      <c r="N388" s="55"/>
    </row>
    <row r="389">
      <c r="A389" s="49" t="s">
        <v>295</v>
      </c>
      <c r="B389" s="49"/>
      <c r="C389" s="49" t="s">
        <v>461</v>
      </c>
      <c r="D389" s="50">
        <v>45937.0</v>
      </c>
      <c r="E389" s="50">
        <v>45951.0</v>
      </c>
      <c r="F389" s="52" t="b">
        <v>0</v>
      </c>
      <c r="G389" s="56"/>
      <c r="H389" s="52" t="b">
        <v>0</v>
      </c>
      <c r="I389" s="56"/>
      <c r="J389" s="52" t="b">
        <v>0</v>
      </c>
      <c r="K389" s="52" t="b">
        <v>0</v>
      </c>
      <c r="L389" s="53"/>
      <c r="M389" s="54"/>
      <c r="N389" s="55"/>
    </row>
    <row r="390">
      <c r="A390" s="49" t="s">
        <v>295</v>
      </c>
      <c r="B390" s="49"/>
      <c r="C390" s="49" t="s">
        <v>462</v>
      </c>
      <c r="D390" s="50">
        <v>45937.0</v>
      </c>
      <c r="E390" s="50">
        <v>45951.0</v>
      </c>
      <c r="F390" s="52" t="b">
        <v>0</v>
      </c>
      <c r="G390" s="56"/>
      <c r="H390" s="52" t="b">
        <v>0</v>
      </c>
      <c r="I390" s="56"/>
      <c r="J390" s="52" t="b">
        <v>0</v>
      </c>
      <c r="K390" s="52" t="b">
        <v>0</v>
      </c>
      <c r="L390" s="53"/>
      <c r="M390" s="54"/>
      <c r="N390" s="55"/>
    </row>
    <row r="391">
      <c r="A391" s="49" t="s">
        <v>295</v>
      </c>
      <c r="B391" s="49"/>
      <c r="C391" s="49" t="s">
        <v>463</v>
      </c>
      <c r="D391" s="50">
        <v>45937.0</v>
      </c>
      <c r="E391" s="50">
        <v>45951.0</v>
      </c>
      <c r="F391" s="52" t="b">
        <v>0</v>
      </c>
      <c r="G391" s="56"/>
      <c r="H391" s="52" t="b">
        <v>0</v>
      </c>
      <c r="I391" s="56"/>
      <c r="J391" s="52" t="b">
        <v>0</v>
      </c>
      <c r="K391" s="52" t="b">
        <v>0</v>
      </c>
      <c r="L391" s="53"/>
      <c r="M391" s="54"/>
      <c r="N391" s="55"/>
    </row>
    <row r="392">
      <c r="A392" s="49" t="s">
        <v>295</v>
      </c>
      <c r="B392" s="49"/>
      <c r="C392" s="49" t="s">
        <v>464</v>
      </c>
      <c r="D392" s="50">
        <v>45937.0</v>
      </c>
      <c r="E392" s="50">
        <v>45951.0</v>
      </c>
      <c r="F392" s="52" t="b">
        <v>0</v>
      </c>
      <c r="G392" s="56"/>
      <c r="H392" s="52" t="b">
        <v>0</v>
      </c>
      <c r="I392" s="56"/>
      <c r="J392" s="52" t="b">
        <v>0</v>
      </c>
      <c r="K392" s="52" t="b">
        <v>0</v>
      </c>
      <c r="L392" s="53"/>
      <c r="M392" s="54"/>
      <c r="N392" s="55"/>
    </row>
    <row r="393">
      <c r="A393" s="49" t="s">
        <v>295</v>
      </c>
      <c r="B393" s="49"/>
      <c r="C393" s="49" t="s">
        <v>465</v>
      </c>
      <c r="D393" s="50">
        <v>45937.0</v>
      </c>
      <c r="E393" s="50">
        <v>45951.0</v>
      </c>
      <c r="F393" s="52" t="b">
        <v>0</v>
      </c>
      <c r="G393" s="56"/>
      <c r="H393" s="52" t="b">
        <v>0</v>
      </c>
      <c r="I393" s="56"/>
      <c r="J393" s="52" t="b">
        <v>0</v>
      </c>
      <c r="K393" s="52" t="b">
        <v>0</v>
      </c>
      <c r="L393" s="53"/>
      <c r="M393" s="54"/>
      <c r="N393" s="55"/>
    </row>
    <row r="394">
      <c r="A394" s="49" t="s">
        <v>295</v>
      </c>
      <c r="B394" s="49"/>
      <c r="C394" s="49" t="s">
        <v>466</v>
      </c>
      <c r="D394" s="50">
        <v>45937.0</v>
      </c>
      <c r="E394" s="50">
        <v>45951.0</v>
      </c>
      <c r="F394" s="52" t="b">
        <v>0</v>
      </c>
      <c r="G394" s="56"/>
      <c r="H394" s="52" t="b">
        <v>0</v>
      </c>
      <c r="I394" s="56"/>
      <c r="J394" s="52" t="b">
        <v>0</v>
      </c>
      <c r="K394" s="52" t="b">
        <v>0</v>
      </c>
      <c r="L394" s="53"/>
      <c r="M394" s="54"/>
      <c r="N394" s="55"/>
    </row>
    <row r="395">
      <c r="A395" s="49" t="s">
        <v>295</v>
      </c>
      <c r="B395" s="49"/>
      <c r="C395" s="49" t="s">
        <v>467</v>
      </c>
      <c r="D395" s="50">
        <v>45937.0</v>
      </c>
      <c r="E395" s="50">
        <v>45951.0</v>
      </c>
      <c r="F395" s="52" t="b">
        <v>0</v>
      </c>
      <c r="G395" s="56"/>
      <c r="H395" s="52" t="b">
        <v>0</v>
      </c>
      <c r="I395" s="56"/>
      <c r="J395" s="52" t="b">
        <v>0</v>
      </c>
      <c r="K395" s="52" t="b">
        <v>0</v>
      </c>
      <c r="L395" s="53"/>
      <c r="M395" s="54"/>
      <c r="N395" s="55"/>
    </row>
    <row r="396">
      <c r="A396" s="49" t="s">
        <v>295</v>
      </c>
      <c r="B396" s="49"/>
      <c r="C396" s="49" t="s">
        <v>468</v>
      </c>
      <c r="D396" s="50">
        <v>45937.0</v>
      </c>
      <c r="E396" s="50">
        <v>45951.0</v>
      </c>
      <c r="F396" s="52" t="b">
        <v>0</v>
      </c>
      <c r="G396" s="56"/>
      <c r="H396" s="52" t="b">
        <v>0</v>
      </c>
      <c r="I396" s="56"/>
      <c r="J396" s="52" t="b">
        <v>0</v>
      </c>
      <c r="K396" s="52" t="b">
        <v>0</v>
      </c>
      <c r="L396" s="53"/>
      <c r="M396" s="54"/>
      <c r="N396" s="55"/>
    </row>
    <row r="397">
      <c r="A397" s="49" t="s">
        <v>295</v>
      </c>
      <c r="B397" s="49"/>
      <c r="C397" s="49" t="s">
        <v>469</v>
      </c>
      <c r="D397" s="50">
        <v>45937.0</v>
      </c>
      <c r="E397" s="50">
        <v>45951.0</v>
      </c>
      <c r="F397" s="52" t="b">
        <v>0</v>
      </c>
      <c r="G397" s="56"/>
      <c r="H397" s="52" t="b">
        <v>0</v>
      </c>
      <c r="I397" s="56"/>
      <c r="J397" s="52" t="b">
        <v>0</v>
      </c>
      <c r="K397" s="52" t="b">
        <v>0</v>
      </c>
      <c r="L397" s="53"/>
      <c r="M397" s="54"/>
      <c r="N397" s="55"/>
    </row>
    <row r="398">
      <c r="A398" s="49" t="s">
        <v>295</v>
      </c>
      <c r="B398" s="49"/>
      <c r="C398" s="49" t="s">
        <v>470</v>
      </c>
      <c r="D398" s="50">
        <v>45937.0</v>
      </c>
      <c r="E398" s="50">
        <v>45951.0</v>
      </c>
      <c r="F398" s="52" t="b">
        <v>0</v>
      </c>
      <c r="G398" s="56"/>
      <c r="H398" s="52" t="b">
        <v>0</v>
      </c>
      <c r="I398" s="56"/>
      <c r="J398" s="52" t="b">
        <v>0</v>
      </c>
      <c r="K398" s="52" t="b">
        <v>0</v>
      </c>
      <c r="L398" s="53"/>
      <c r="M398" s="54"/>
      <c r="N398" s="55"/>
    </row>
    <row r="399">
      <c r="A399" s="49" t="s">
        <v>295</v>
      </c>
      <c r="B399" s="49"/>
      <c r="C399" s="49" t="s">
        <v>471</v>
      </c>
      <c r="D399" s="50">
        <v>45937.0</v>
      </c>
      <c r="E399" s="50">
        <v>45951.0</v>
      </c>
      <c r="F399" s="52" t="b">
        <v>0</v>
      </c>
      <c r="G399" s="56"/>
      <c r="H399" s="52" t="b">
        <v>0</v>
      </c>
      <c r="I399" s="56"/>
      <c r="J399" s="52" t="b">
        <v>0</v>
      </c>
      <c r="K399" s="52" t="b">
        <v>0</v>
      </c>
      <c r="L399" s="53"/>
      <c r="M399" s="54"/>
      <c r="N399" s="55"/>
    </row>
    <row r="400">
      <c r="A400" s="49" t="s">
        <v>295</v>
      </c>
      <c r="B400" s="49"/>
      <c r="C400" s="49" t="s">
        <v>472</v>
      </c>
      <c r="D400" s="50">
        <v>45937.0</v>
      </c>
      <c r="E400" s="50">
        <v>45951.0</v>
      </c>
      <c r="F400" s="52" t="b">
        <v>0</v>
      </c>
      <c r="G400" s="56"/>
      <c r="H400" s="52" t="b">
        <v>0</v>
      </c>
      <c r="I400" s="56"/>
      <c r="J400" s="52" t="b">
        <v>0</v>
      </c>
      <c r="K400" s="52" t="b">
        <v>0</v>
      </c>
      <c r="L400" s="53"/>
      <c r="M400" s="54"/>
      <c r="N400" s="55"/>
    </row>
    <row r="401">
      <c r="A401" s="49" t="s">
        <v>295</v>
      </c>
      <c r="B401" s="49"/>
      <c r="C401" s="49" t="s">
        <v>473</v>
      </c>
      <c r="D401" s="50">
        <v>45937.0</v>
      </c>
      <c r="E401" s="50">
        <v>45951.0</v>
      </c>
      <c r="F401" s="52" t="b">
        <v>0</v>
      </c>
      <c r="G401" s="56"/>
      <c r="H401" s="52" t="b">
        <v>0</v>
      </c>
      <c r="I401" s="56"/>
      <c r="J401" s="52" t="b">
        <v>0</v>
      </c>
      <c r="K401" s="52" t="b">
        <v>0</v>
      </c>
      <c r="L401" s="53"/>
      <c r="M401" s="54"/>
      <c r="N401" s="55"/>
    </row>
    <row r="402">
      <c r="A402" s="49" t="s">
        <v>295</v>
      </c>
      <c r="B402" s="49"/>
      <c r="C402" s="49" t="s">
        <v>474</v>
      </c>
      <c r="D402" s="50">
        <v>45937.0</v>
      </c>
      <c r="E402" s="50">
        <v>45951.0</v>
      </c>
      <c r="F402" s="52" t="b">
        <v>0</v>
      </c>
      <c r="G402" s="56"/>
      <c r="H402" s="52" t="b">
        <v>0</v>
      </c>
      <c r="I402" s="56"/>
      <c r="J402" s="52" t="b">
        <v>0</v>
      </c>
      <c r="K402" s="52" t="b">
        <v>0</v>
      </c>
      <c r="L402" s="53"/>
      <c r="M402" s="54"/>
      <c r="N402" s="55"/>
    </row>
    <row r="403">
      <c r="A403" s="49" t="s">
        <v>475</v>
      </c>
      <c r="B403" s="49"/>
      <c r="C403" s="49" t="s">
        <v>476</v>
      </c>
      <c r="D403" s="50">
        <v>45944.0</v>
      </c>
      <c r="E403" s="50">
        <v>45946.0</v>
      </c>
      <c r="F403" s="52" t="b">
        <v>0</v>
      </c>
      <c r="G403" s="56"/>
      <c r="H403" s="52" t="b">
        <v>0</v>
      </c>
      <c r="I403" s="56"/>
      <c r="J403" s="52" t="b">
        <v>0</v>
      </c>
      <c r="K403" s="52" t="b">
        <v>0</v>
      </c>
      <c r="L403" s="53"/>
      <c r="M403" s="54"/>
      <c r="N403" s="55"/>
    </row>
    <row r="404">
      <c r="A404" s="49" t="s">
        <v>475</v>
      </c>
      <c r="B404" s="49"/>
      <c r="C404" s="49" t="s">
        <v>477</v>
      </c>
      <c r="D404" s="50">
        <v>45944.0</v>
      </c>
      <c r="E404" s="50">
        <v>45946.0</v>
      </c>
      <c r="F404" s="52" t="b">
        <v>0</v>
      </c>
      <c r="G404" s="56"/>
      <c r="H404" s="52" t="b">
        <v>0</v>
      </c>
      <c r="I404" s="56"/>
      <c r="J404" s="52" t="b">
        <v>0</v>
      </c>
      <c r="K404" s="52" t="b">
        <v>0</v>
      </c>
      <c r="L404" s="53"/>
      <c r="M404" s="54"/>
      <c r="N404" s="55"/>
    </row>
    <row r="405">
      <c r="A405" s="49" t="s">
        <v>475</v>
      </c>
      <c r="B405" s="49"/>
      <c r="C405" s="49" t="s">
        <v>478</v>
      </c>
      <c r="D405" s="50">
        <v>45944.0</v>
      </c>
      <c r="E405" s="50">
        <v>45946.0</v>
      </c>
      <c r="F405" s="52" t="b">
        <v>0</v>
      </c>
      <c r="G405" s="56"/>
      <c r="H405" s="52" t="b">
        <v>0</v>
      </c>
      <c r="I405" s="56"/>
      <c r="J405" s="52" t="b">
        <v>0</v>
      </c>
      <c r="K405" s="52" t="b">
        <v>0</v>
      </c>
      <c r="L405" s="53"/>
      <c r="M405" s="54"/>
      <c r="N405" s="55"/>
    </row>
    <row r="406">
      <c r="A406" s="49" t="s">
        <v>475</v>
      </c>
      <c r="B406" s="49"/>
      <c r="C406" s="49" t="s">
        <v>479</v>
      </c>
      <c r="D406" s="50">
        <v>45944.0</v>
      </c>
      <c r="E406" s="50">
        <v>45946.0</v>
      </c>
      <c r="F406" s="52" t="b">
        <v>0</v>
      </c>
      <c r="G406" s="56"/>
      <c r="H406" s="52" t="b">
        <v>0</v>
      </c>
      <c r="I406" s="56"/>
      <c r="J406" s="52" t="b">
        <v>0</v>
      </c>
      <c r="K406" s="52" t="b">
        <v>0</v>
      </c>
      <c r="L406" s="53"/>
      <c r="M406" s="54"/>
      <c r="N406" s="55"/>
    </row>
    <row r="407">
      <c r="A407" s="49" t="s">
        <v>475</v>
      </c>
      <c r="B407" s="49"/>
      <c r="C407" s="49" t="s">
        <v>480</v>
      </c>
      <c r="D407" s="50">
        <v>45944.0</v>
      </c>
      <c r="E407" s="50">
        <v>45946.0</v>
      </c>
      <c r="F407" s="52" t="b">
        <v>0</v>
      </c>
      <c r="G407" s="56"/>
      <c r="H407" s="52" t="b">
        <v>0</v>
      </c>
      <c r="I407" s="56"/>
      <c r="J407" s="52" t="b">
        <v>0</v>
      </c>
      <c r="K407" s="52" t="b">
        <v>0</v>
      </c>
      <c r="L407" s="53"/>
      <c r="M407" s="54"/>
      <c r="N407" s="55"/>
    </row>
    <row r="408">
      <c r="A408" s="49" t="s">
        <v>475</v>
      </c>
      <c r="B408" s="49"/>
      <c r="C408" s="49" t="s">
        <v>481</v>
      </c>
      <c r="D408" s="50">
        <v>45944.0</v>
      </c>
      <c r="E408" s="50">
        <v>45946.0</v>
      </c>
      <c r="F408" s="52" t="b">
        <v>0</v>
      </c>
      <c r="G408" s="56"/>
      <c r="H408" s="52" t="b">
        <v>0</v>
      </c>
      <c r="I408" s="56"/>
      <c r="J408" s="52" t="b">
        <v>0</v>
      </c>
      <c r="K408" s="52" t="b">
        <v>0</v>
      </c>
      <c r="L408" s="53"/>
      <c r="M408" s="54"/>
      <c r="N408" s="55"/>
    </row>
    <row r="409">
      <c r="A409" s="49" t="s">
        <v>475</v>
      </c>
      <c r="B409" s="49"/>
      <c r="C409" s="49" t="s">
        <v>482</v>
      </c>
      <c r="D409" s="50">
        <v>45944.0</v>
      </c>
      <c r="E409" s="50">
        <v>45946.0</v>
      </c>
      <c r="F409" s="52" t="b">
        <v>0</v>
      </c>
      <c r="G409" s="56"/>
      <c r="H409" s="52" t="b">
        <v>0</v>
      </c>
      <c r="I409" s="56"/>
      <c r="J409" s="52" t="b">
        <v>0</v>
      </c>
      <c r="K409" s="52" t="b">
        <v>0</v>
      </c>
      <c r="L409" s="53"/>
      <c r="M409" s="54"/>
      <c r="N409" s="55"/>
    </row>
    <row r="410">
      <c r="A410" s="49" t="s">
        <v>475</v>
      </c>
      <c r="B410" s="49"/>
      <c r="C410" s="49" t="s">
        <v>483</v>
      </c>
      <c r="D410" s="50">
        <v>45944.0</v>
      </c>
      <c r="E410" s="50">
        <v>45946.0</v>
      </c>
      <c r="F410" s="52" t="b">
        <v>0</v>
      </c>
      <c r="G410" s="56"/>
      <c r="H410" s="52" t="b">
        <v>0</v>
      </c>
      <c r="I410" s="56"/>
      <c r="J410" s="52" t="b">
        <v>0</v>
      </c>
      <c r="K410" s="52" t="b">
        <v>0</v>
      </c>
      <c r="L410" s="53"/>
      <c r="M410" s="54"/>
      <c r="N410" s="55"/>
    </row>
    <row r="411">
      <c r="A411" s="49" t="s">
        <v>475</v>
      </c>
      <c r="B411" s="49"/>
      <c r="C411" s="49" t="s">
        <v>484</v>
      </c>
      <c r="D411" s="50">
        <v>45944.0</v>
      </c>
      <c r="E411" s="50">
        <v>45946.0</v>
      </c>
      <c r="F411" s="52" t="b">
        <v>0</v>
      </c>
      <c r="G411" s="56"/>
      <c r="H411" s="52" t="b">
        <v>0</v>
      </c>
      <c r="I411" s="56"/>
      <c r="J411" s="52" t="b">
        <v>0</v>
      </c>
      <c r="K411" s="52" t="b">
        <v>0</v>
      </c>
      <c r="L411" s="53"/>
      <c r="M411" s="54"/>
      <c r="N411" s="55"/>
    </row>
    <row r="412">
      <c r="A412" s="49" t="s">
        <v>475</v>
      </c>
      <c r="B412" s="49"/>
      <c r="C412" s="49" t="s">
        <v>485</v>
      </c>
      <c r="D412" s="50">
        <v>45944.0</v>
      </c>
      <c r="E412" s="50">
        <v>45946.0</v>
      </c>
      <c r="F412" s="52" t="b">
        <v>0</v>
      </c>
      <c r="G412" s="56"/>
      <c r="H412" s="52" t="b">
        <v>0</v>
      </c>
      <c r="I412" s="56"/>
      <c r="J412" s="52" t="b">
        <v>0</v>
      </c>
      <c r="K412" s="52" t="b">
        <v>0</v>
      </c>
      <c r="L412" s="53"/>
      <c r="M412" s="54"/>
      <c r="N412" s="55"/>
    </row>
    <row r="413">
      <c r="A413" s="49" t="s">
        <v>475</v>
      </c>
      <c r="B413" s="49"/>
      <c r="C413" s="49" t="s">
        <v>486</v>
      </c>
      <c r="D413" s="50">
        <v>45944.0</v>
      </c>
      <c r="E413" s="50">
        <v>45946.0</v>
      </c>
      <c r="F413" s="52" t="b">
        <v>0</v>
      </c>
      <c r="G413" s="56"/>
      <c r="H413" s="52" t="b">
        <v>0</v>
      </c>
      <c r="I413" s="56"/>
      <c r="J413" s="52" t="b">
        <v>0</v>
      </c>
      <c r="K413" s="52" t="b">
        <v>0</v>
      </c>
      <c r="L413" s="53"/>
      <c r="M413" s="54"/>
      <c r="N413" s="55"/>
    </row>
    <row r="414">
      <c r="A414" s="49" t="s">
        <v>475</v>
      </c>
      <c r="B414" s="49"/>
      <c r="C414" s="49" t="s">
        <v>487</v>
      </c>
      <c r="D414" s="50">
        <v>45944.0</v>
      </c>
      <c r="E414" s="50">
        <v>45946.0</v>
      </c>
      <c r="F414" s="52" t="b">
        <v>0</v>
      </c>
      <c r="G414" s="56"/>
      <c r="H414" s="52" t="b">
        <v>0</v>
      </c>
      <c r="I414" s="56"/>
      <c r="J414" s="52" t="b">
        <v>0</v>
      </c>
      <c r="K414" s="52" t="b">
        <v>0</v>
      </c>
      <c r="L414" s="53"/>
      <c r="M414" s="54"/>
      <c r="N414" s="55"/>
    </row>
    <row r="415">
      <c r="A415" s="49" t="s">
        <v>475</v>
      </c>
      <c r="B415" s="49"/>
      <c r="C415" s="49" t="s">
        <v>488</v>
      </c>
      <c r="D415" s="50">
        <v>45944.0</v>
      </c>
      <c r="E415" s="50">
        <v>45946.0</v>
      </c>
      <c r="F415" s="52" t="b">
        <v>0</v>
      </c>
      <c r="G415" s="56"/>
      <c r="H415" s="52" t="b">
        <v>0</v>
      </c>
      <c r="I415" s="56"/>
      <c r="J415" s="52" t="b">
        <v>0</v>
      </c>
      <c r="K415" s="52" t="b">
        <v>0</v>
      </c>
      <c r="L415" s="53"/>
      <c r="M415" s="54"/>
      <c r="N415" s="55"/>
    </row>
    <row r="416">
      <c r="A416" s="49" t="s">
        <v>475</v>
      </c>
      <c r="B416" s="49"/>
      <c r="C416" s="49" t="s">
        <v>489</v>
      </c>
      <c r="D416" s="50">
        <v>45944.0</v>
      </c>
      <c r="E416" s="50">
        <v>45946.0</v>
      </c>
      <c r="F416" s="52" t="b">
        <v>0</v>
      </c>
      <c r="G416" s="56"/>
      <c r="H416" s="52" t="b">
        <v>0</v>
      </c>
      <c r="I416" s="56"/>
      <c r="J416" s="52" t="b">
        <v>0</v>
      </c>
      <c r="K416" s="52" t="b">
        <v>0</v>
      </c>
      <c r="L416" s="53"/>
      <c r="M416" s="54"/>
      <c r="N416" s="55"/>
    </row>
    <row r="417">
      <c r="A417" s="49" t="s">
        <v>475</v>
      </c>
      <c r="B417" s="49"/>
      <c r="C417" s="49" t="s">
        <v>490</v>
      </c>
      <c r="D417" s="50">
        <v>45944.0</v>
      </c>
      <c r="E417" s="50">
        <v>45946.0</v>
      </c>
      <c r="F417" s="52" t="b">
        <v>0</v>
      </c>
      <c r="G417" s="56"/>
      <c r="H417" s="52" t="b">
        <v>0</v>
      </c>
      <c r="I417" s="56"/>
      <c r="J417" s="52" t="b">
        <v>0</v>
      </c>
      <c r="K417" s="52" t="b">
        <v>0</v>
      </c>
      <c r="L417" s="53"/>
      <c r="M417" s="54"/>
      <c r="N417" s="55"/>
    </row>
    <row r="418">
      <c r="A418" s="49" t="s">
        <v>475</v>
      </c>
      <c r="B418" s="49"/>
      <c r="C418" s="49" t="s">
        <v>491</v>
      </c>
      <c r="D418" s="50">
        <v>45944.0</v>
      </c>
      <c r="E418" s="50">
        <v>45946.0</v>
      </c>
      <c r="F418" s="52" t="b">
        <v>0</v>
      </c>
      <c r="G418" s="56"/>
      <c r="H418" s="52" t="b">
        <v>0</v>
      </c>
      <c r="I418" s="56"/>
      <c r="J418" s="52" t="b">
        <v>0</v>
      </c>
      <c r="K418" s="52" t="b">
        <v>0</v>
      </c>
      <c r="L418" s="53"/>
      <c r="M418" s="54"/>
      <c r="N418" s="55"/>
    </row>
    <row r="419">
      <c r="A419" s="49" t="s">
        <v>475</v>
      </c>
      <c r="B419" s="49"/>
      <c r="C419" s="49" t="s">
        <v>492</v>
      </c>
      <c r="D419" s="50">
        <v>45944.0</v>
      </c>
      <c r="E419" s="50">
        <v>45946.0</v>
      </c>
      <c r="F419" s="52" t="b">
        <v>0</v>
      </c>
      <c r="G419" s="56"/>
      <c r="H419" s="52" t="b">
        <v>0</v>
      </c>
      <c r="I419" s="56"/>
      <c r="J419" s="52" t="b">
        <v>0</v>
      </c>
      <c r="K419" s="52" t="b">
        <v>0</v>
      </c>
      <c r="L419" s="53"/>
      <c r="M419" s="54"/>
      <c r="N419" s="55"/>
    </row>
    <row r="420">
      <c r="A420" s="49" t="s">
        <v>475</v>
      </c>
      <c r="B420" s="49"/>
      <c r="C420" s="49" t="s">
        <v>493</v>
      </c>
      <c r="D420" s="50">
        <v>45944.0</v>
      </c>
      <c r="E420" s="50">
        <v>45946.0</v>
      </c>
      <c r="F420" s="52" t="b">
        <v>0</v>
      </c>
      <c r="G420" s="56"/>
      <c r="H420" s="52" t="b">
        <v>0</v>
      </c>
      <c r="I420" s="56"/>
      <c r="J420" s="52" t="b">
        <v>0</v>
      </c>
      <c r="K420" s="52" t="b">
        <v>0</v>
      </c>
      <c r="L420" s="53"/>
      <c r="M420" s="54"/>
      <c r="N420" s="55"/>
    </row>
    <row r="421">
      <c r="A421" s="49" t="s">
        <v>475</v>
      </c>
      <c r="B421" s="49"/>
      <c r="C421" s="49" t="s">
        <v>494</v>
      </c>
      <c r="D421" s="50">
        <v>45944.0</v>
      </c>
      <c r="E421" s="50">
        <v>45946.0</v>
      </c>
      <c r="F421" s="52" t="b">
        <v>0</v>
      </c>
      <c r="G421" s="56"/>
      <c r="H421" s="52" t="b">
        <v>0</v>
      </c>
      <c r="I421" s="56"/>
      <c r="J421" s="52" t="b">
        <v>0</v>
      </c>
      <c r="K421" s="52" t="b">
        <v>0</v>
      </c>
      <c r="L421" s="53"/>
      <c r="M421" s="54"/>
      <c r="N421" s="55"/>
    </row>
    <row r="422">
      <c r="A422" s="49" t="s">
        <v>475</v>
      </c>
      <c r="B422" s="49"/>
      <c r="C422" s="49" t="s">
        <v>495</v>
      </c>
      <c r="D422" s="50">
        <v>45944.0</v>
      </c>
      <c r="E422" s="50">
        <v>45946.0</v>
      </c>
      <c r="F422" s="52" t="b">
        <v>0</v>
      </c>
      <c r="G422" s="56"/>
      <c r="H422" s="52" t="b">
        <v>0</v>
      </c>
      <c r="I422" s="56"/>
      <c r="J422" s="52" t="b">
        <v>0</v>
      </c>
      <c r="K422" s="52" t="b">
        <v>0</v>
      </c>
      <c r="L422" s="53"/>
      <c r="M422" s="54"/>
      <c r="N422" s="55"/>
    </row>
    <row r="423">
      <c r="A423" s="49" t="s">
        <v>475</v>
      </c>
      <c r="B423" s="49"/>
      <c r="C423" s="49" t="s">
        <v>496</v>
      </c>
      <c r="D423" s="50">
        <v>45944.0</v>
      </c>
      <c r="E423" s="50">
        <v>45946.0</v>
      </c>
      <c r="F423" s="52" t="b">
        <v>0</v>
      </c>
      <c r="G423" s="56"/>
      <c r="H423" s="52" t="b">
        <v>0</v>
      </c>
      <c r="I423" s="56"/>
      <c r="J423" s="52" t="b">
        <v>0</v>
      </c>
      <c r="K423" s="52" t="b">
        <v>0</v>
      </c>
      <c r="L423" s="53"/>
      <c r="M423" s="54"/>
      <c r="N423" s="55"/>
    </row>
    <row r="424">
      <c r="A424" s="49" t="s">
        <v>475</v>
      </c>
      <c r="B424" s="49"/>
      <c r="C424" s="49" t="s">
        <v>497</v>
      </c>
      <c r="D424" s="50">
        <v>45944.0</v>
      </c>
      <c r="E424" s="50">
        <v>45946.0</v>
      </c>
      <c r="F424" s="52" t="b">
        <v>0</v>
      </c>
      <c r="G424" s="56"/>
      <c r="H424" s="52" t="b">
        <v>0</v>
      </c>
      <c r="I424" s="56"/>
      <c r="J424" s="52" t="b">
        <v>0</v>
      </c>
      <c r="K424" s="52" t="b">
        <v>0</v>
      </c>
      <c r="L424" s="53"/>
      <c r="M424" s="54"/>
      <c r="N424" s="55"/>
    </row>
    <row r="425">
      <c r="A425" s="49" t="s">
        <v>475</v>
      </c>
      <c r="B425" s="49"/>
      <c r="C425" s="49" t="s">
        <v>498</v>
      </c>
      <c r="D425" s="50">
        <v>45944.0</v>
      </c>
      <c r="E425" s="50">
        <v>45946.0</v>
      </c>
      <c r="F425" s="52" t="b">
        <v>0</v>
      </c>
      <c r="G425" s="56"/>
      <c r="H425" s="52" t="b">
        <v>0</v>
      </c>
      <c r="I425" s="56"/>
      <c r="J425" s="52" t="b">
        <v>0</v>
      </c>
      <c r="K425" s="52" t="b">
        <v>0</v>
      </c>
      <c r="L425" s="53"/>
      <c r="M425" s="54"/>
      <c r="N425" s="55"/>
    </row>
    <row r="426">
      <c r="A426" s="49" t="s">
        <v>475</v>
      </c>
      <c r="B426" s="49"/>
      <c r="C426" s="49" t="s">
        <v>499</v>
      </c>
      <c r="D426" s="50">
        <v>45944.0</v>
      </c>
      <c r="E426" s="50">
        <v>45946.0</v>
      </c>
      <c r="F426" s="52" t="b">
        <v>0</v>
      </c>
      <c r="G426" s="56"/>
      <c r="H426" s="52" t="b">
        <v>0</v>
      </c>
      <c r="I426" s="56"/>
      <c r="J426" s="52" t="b">
        <v>0</v>
      </c>
      <c r="K426" s="52" t="b">
        <v>0</v>
      </c>
      <c r="L426" s="53"/>
      <c r="M426" s="54"/>
      <c r="N426" s="55"/>
    </row>
    <row r="427">
      <c r="A427" s="49" t="s">
        <v>475</v>
      </c>
      <c r="B427" s="49"/>
      <c r="C427" s="49" t="s">
        <v>500</v>
      </c>
      <c r="D427" s="50">
        <v>45944.0</v>
      </c>
      <c r="E427" s="50">
        <v>45946.0</v>
      </c>
      <c r="F427" s="52" t="b">
        <v>0</v>
      </c>
      <c r="G427" s="56"/>
      <c r="H427" s="52" t="b">
        <v>0</v>
      </c>
      <c r="I427" s="56"/>
      <c r="J427" s="52" t="b">
        <v>0</v>
      </c>
      <c r="K427" s="52" t="b">
        <v>0</v>
      </c>
      <c r="L427" s="53"/>
      <c r="M427" s="54"/>
      <c r="N427" s="55"/>
    </row>
    <row r="428">
      <c r="A428" s="49" t="s">
        <v>475</v>
      </c>
      <c r="B428" s="49"/>
      <c r="C428" s="49" t="s">
        <v>501</v>
      </c>
      <c r="D428" s="50">
        <v>45944.0</v>
      </c>
      <c r="E428" s="50">
        <v>45946.0</v>
      </c>
      <c r="F428" s="52" t="b">
        <v>0</v>
      </c>
      <c r="G428" s="56"/>
      <c r="H428" s="52" t="b">
        <v>0</v>
      </c>
      <c r="I428" s="56"/>
      <c r="J428" s="52" t="b">
        <v>0</v>
      </c>
      <c r="K428" s="52" t="b">
        <v>0</v>
      </c>
      <c r="L428" s="53"/>
      <c r="M428" s="54"/>
      <c r="N428" s="55"/>
    </row>
    <row r="429">
      <c r="A429" s="49" t="s">
        <v>475</v>
      </c>
      <c r="B429" s="49"/>
      <c r="C429" s="49" t="s">
        <v>502</v>
      </c>
      <c r="D429" s="50">
        <v>45944.0</v>
      </c>
      <c r="E429" s="50">
        <v>45946.0</v>
      </c>
      <c r="F429" s="52" t="b">
        <v>0</v>
      </c>
      <c r="G429" s="56"/>
      <c r="H429" s="52" t="b">
        <v>0</v>
      </c>
      <c r="I429" s="56"/>
      <c r="J429" s="52" t="b">
        <v>0</v>
      </c>
      <c r="K429" s="52" t="b">
        <v>0</v>
      </c>
      <c r="L429" s="53"/>
      <c r="M429" s="54"/>
      <c r="N429" s="55"/>
    </row>
    <row r="430">
      <c r="A430" s="49" t="s">
        <v>475</v>
      </c>
      <c r="B430" s="49"/>
      <c r="C430" s="49" t="s">
        <v>503</v>
      </c>
      <c r="D430" s="50">
        <v>45944.0</v>
      </c>
      <c r="E430" s="50">
        <v>45946.0</v>
      </c>
      <c r="F430" s="52" t="b">
        <v>0</v>
      </c>
      <c r="G430" s="56"/>
      <c r="H430" s="52" t="b">
        <v>0</v>
      </c>
      <c r="I430" s="56"/>
      <c r="J430" s="52" t="b">
        <v>0</v>
      </c>
      <c r="K430" s="52" t="b">
        <v>0</v>
      </c>
      <c r="L430" s="53"/>
      <c r="M430" s="54"/>
      <c r="N430" s="55"/>
    </row>
    <row r="431">
      <c r="A431" s="49" t="s">
        <v>475</v>
      </c>
      <c r="B431" s="49"/>
      <c r="C431" s="49" t="s">
        <v>504</v>
      </c>
      <c r="D431" s="50">
        <v>45944.0</v>
      </c>
      <c r="E431" s="50">
        <v>45946.0</v>
      </c>
      <c r="F431" s="52" t="b">
        <v>0</v>
      </c>
      <c r="G431" s="56"/>
      <c r="H431" s="52" t="b">
        <v>0</v>
      </c>
      <c r="I431" s="56"/>
      <c r="J431" s="52" t="b">
        <v>0</v>
      </c>
      <c r="K431" s="52" t="b">
        <v>0</v>
      </c>
      <c r="L431" s="53"/>
      <c r="M431" s="54"/>
      <c r="N431" s="55"/>
    </row>
    <row r="432">
      <c r="A432" s="49" t="s">
        <v>475</v>
      </c>
      <c r="B432" s="49"/>
      <c r="C432" s="49" t="s">
        <v>505</v>
      </c>
      <c r="D432" s="50">
        <v>45944.0</v>
      </c>
      <c r="E432" s="50">
        <v>45946.0</v>
      </c>
      <c r="F432" s="52" t="b">
        <v>0</v>
      </c>
      <c r="G432" s="56"/>
      <c r="H432" s="52" t="b">
        <v>0</v>
      </c>
      <c r="I432" s="56"/>
      <c r="J432" s="52" t="b">
        <v>0</v>
      </c>
      <c r="K432" s="52" t="b">
        <v>0</v>
      </c>
      <c r="L432" s="53"/>
      <c r="M432" s="54"/>
      <c r="N432" s="55"/>
    </row>
    <row r="433">
      <c r="A433" s="49" t="s">
        <v>475</v>
      </c>
      <c r="B433" s="49"/>
      <c r="C433" s="49" t="s">
        <v>506</v>
      </c>
      <c r="D433" s="50">
        <v>45944.0</v>
      </c>
      <c r="E433" s="50">
        <v>45946.0</v>
      </c>
      <c r="F433" s="52" t="b">
        <v>0</v>
      </c>
      <c r="G433" s="56"/>
      <c r="H433" s="52" t="b">
        <v>0</v>
      </c>
      <c r="I433" s="56"/>
      <c r="J433" s="52" t="b">
        <v>0</v>
      </c>
      <c r="K433" s="52" t="b">
        <v>0</v>
      </c>
      <c r="L433" s="53"/>
      <c r="M433" s="54"/>
      <c r="N433" s="55"/>
    </row>
    <row r="434">
      <c r="A434" s="49" t="s">
        <v>475</v>
      </c>
      <c r="B434" s="49"/>
      <c r="C434" s="49" t="s">
        <v>507</v>
      </c>
      <c r="D434" s="50">
        <v>45944.0</v>
      </c>
      <c r="E434" s="50">
        <v>45946.0</v>
      </c>
      <c r="F434" s="52" t="b">
        <v>0</v>
      </c>
      <c r="G434" s="56"/>
      <c r="H434" s="52" t="b">
        <v>0</v>
      </c>
      <c r="I434" s="56"/>
      <c r="J434" s="52" t="b">
        <v>0</v>
      </c>
      <c r="K434" s="52" t="b">
        <v>0</v>
      </c>
      <c r="L434" s="53"/>
      <c r="M434" s="54"/>
      <c r="N434" s="55"/>
    </row>
    <row r="435">
      <c r="A435" s="49" t="s">
        <v>475</v>
      </c>
      <c r="B435" s="49"/>
      <c r="C435" s="49" t="s">
        <v>508</v>
      </c>
      <c r="D435" s="50">
        <v>45944.0</v>
      </c>
      <c r="E435" s="50">
        <v>45946.0</v>
      </c>
      <c r="F435" s="52" t="b">
        <v>0</v>
      </c>
      <c r="G435" s="56"/>
      <c r="H435" s="52" t="b">
        <v>0</v>
      </c>
      <c r="I435" s="56"/>
      <c r="J435" s="52" t="b">
        <v>0</v>
      </c>
      <c r="K435" s="52" t="b">
        <v>0</v>
      </c>
      <c r="L435" s="53"/>
      <c r="M435" s="54"/>
      <c r="N435" s="55"/>
    </row>
    <row r="436">
      <c r="A436" s="49" t="s">
        <v>475</v>
      </c>
      <c r="B436" s="49"/>
      <c r="C436" s="49" t="s">
        <v>509</v>
      </c>
      <c r="D436" s="50">
        <v>45944.0</v>
      </c>
      <c r="E436" s="50">
        <v>45946.0</v>
      </c>
      <c r="F436" s="52" t="b">
        <v>0</v>
      </c>
      <c r="G436" s="56"/>
      <c r="H436" s="52" t="b">
        <v>0</v>
      </c>
      <c r="I436" s="56"/>
      <c r="J436" s="52" t="b">
        <v>0</v>
      </c>
      <c r="K436" s="52" t="b">
        <v>0</v>
      </c>
      <c r="L436" s="53"/>
      <c r="M436" s="54"/>
      <c r="N436" s="55"/>
    </row>
    <row r="437">
      <c r="A437" s="49" t="s">
        <v>475</v>
      </c>
      <c r="B437" s="49"/>
      <c r="C437" s="49" t="s">
        <v>510</v>
      </c>
      <c r="D437" s="50">
        <v>45944.0</v>
      </c>
      <c r="E437" s="50">
        <v>45946.0</v>
      </c>
      <c r="F437" s="52" t="b">
        <v>0</v>
      </c>
      <c r="G437" s="56"/>
      <c r="H437" s="52" t="b">
        <v>0</v>
      </c>
      <c r="I437" s="56"/>
      <c r="J437" s="52" t="b">
        <v>0</v>
      </c>
      <c r="K437" s="52" t="b">
        <v>0</v>
      </c>
      <c r="L437" s="53"/>
      <c r="M437" s="54"/>
      <c r="N437" s="55"/>
    </row>
    <row r="438">
      <c r="A438" s="49" t="s">
        <v>475</v>
      </c>
      <c r="B438" s="49"/>
      <c r="C438" s="49" t="s">
        <v>511</v>
      </c>
      <c r="D438" s="50">
        <v>45944.0</v>
      </c>
      <c r="E438" s="50">
        <v>45946.0</v>
      </c>
      <c r="F438" s="52" t="b">
        <v>0</v>
      </c>
      <c r="G438" s="56"/>
      <c r="H438" s="52" t="b">
        <v>0</v>
      </c>
      <c r="I438" s="56"/>
      <c r="J438" s="52" t="b">
        <v>0</v>
      </c>
      <c r="K438" s="52" t="b">
        <v>0</v>
      </c>
      <c r="L438" s="53"/>
      <c r="M438" s="54"/>
      <c r="N438" s="55"/>
    </row>
    <row r="439">
      <c r="A439" s="49" t="s">
        <v>475</v>
      </c>
      <c r="B439" s="49"/>
      <c r="C439" s="49" t="s">
        <v>512</v>
      </c>
      <c r="D439" s="50">
        <v>45944.0</v>
      </c>
      <c r="E439" s="50">
        <v>45946.0</v>
      </c>
      <c r="F439" s="52" t="b">
        <v>0</v>
      </c>
      <c r="G439" s="56"/>
      <c r="H439" s="52" t="b">
        <v>0</v>
      </c>
      <c r="I439" s="56"/>
      <c r="J439" s="52" t="b">
        <v>0</v>
      </c>
      <c r="K439" s="52" t="b">
        <v>0</v>
      </c>
      <c r="L439" s="53"/>
      <c r="M439" s="54"/>
      <c r="N439" s="55"/>
    </row>
    <row r="440">
      <c r="A440" s="49" t="s">
        <v>475</v>
      </c>
      <c r="B440" s="49"/>
      <c r="C440" s="49" t="s">
        <v>513</v>
      </c>
      <c r="D440" s="50">
        <v>45944.0</v>
      </c>
      <c r="E440" s="50">
        <v>45946.0</v>
      </c>
      <c r="F440" s="52" t="b">
        <v>0</v>
      </c>
      <c r="G440" s="56"/>
      <c r="H440" s="52" t="b">
        <v>0</v>
      </c>
      <c r="I440" s="56"/>
      <c r="J440" s="52" t="b">
        <v>0</v>
      </c>
      <c r="K440" s="52" t="b">
        <v>0</v>
      </c>
      <c r="L440" s="53"/>
      <c r="M440" s="54"/>
      <c r="N440" s="55"/>
    </row>
    <row r="441">
      <c r="A441" s="49" t="s">
        <v>475</v>
      </c>
      <c r="B441" s="49"/>
      <c r="C441" s="49" t="s">
        <v>514</v>
      </c>
      <c r="D441" s="50">
        <v>45944.0</v>
      </c>
      <c r="E441" s="50">
        <v>45946.0</v>
      </c>
      <c r="F441" s="52" t="b">
        <v>0</v>
      </c>
      <c r="G441" s="56"/>
      <c r="H441" s="52" t="b">
        <v>0</v>
      </c>
      <c r="I441" s="56"/>
      <c r="J441" s="52" t="b">
        <v>0</v>
      </c>
      <c r="K441" s="52" t="b">
        <v>0</v>
      </c>
      <c r="L441" s="53"/>
      <c r="M441" s="54"/>
      <c r="N441" s="55"/>
    </row>
    <row r="442">
      <c r="A442" s="49" t="s">
        <v>475</v>
      </c>
      <c r="B442" s="49"/>
      <c r="C442" s="49" t="s">
        <v>515</v>
      </c>
      <c r="D442" s="50">
        <v>45944.0</v>
      </c>
      <c r="E442" s="50">
        <v>45946.0</v>
      </c>
      <c r="F442" s="52" t="b">
        <v>0</v>
      </c>
      <c r="G442" s="56"/>
      <c r="H442" s="52" t="b">
        <v>0</v>
      </c>
      <c r="I442" s="56"/>
      <c r="J442" s="52" t="b">
        <v>0</v>
      </c>
      <c r="K442" s="52" t="b">
        <v>0</v>
      </c>
      <c r="L442" s="53"/>
      <c r="M442" s="54"/>
      <c r="N442" s="55"/>
    </row>
    <row r="443">
      <c r="A443" s="49" t="s">
        <v>475</v>
      </c>
      <c r="B443" s="49"/>
      <c r="C443" s="49" t="s">
        <v>516</v>
      </c>
      <c r="D443" s="50">
        <v>45944.0</v>
      </c>
      <c r="E443" s="50">
        <v>45946.0</v>
      </c>
      <c r="F443" s="52" t="b">
        <v>0</v>
      </c>
      <c r="G443" s="56"/>
      <c r="H443" s="52" t="b">
        <v>0</v>
      </c>
      <c r="I443" s="56"/>
      <c r="J443" s="52" t="b">
        <v>0</v>
      </c>
      <c r="K443" s="52" t="b">
        <v>0</v>
      </c>
      <c r="L443" s="53"/>
      <c r="M443" s="54"/>
      <c r="N443" s="55"/>
    </row>
    <row r="444">
      <c r="A444" s="49" t="s">
        <v>475</v>
      </c>
      <c r="B444" s="49"/>
      <c r="C444" s="49" t="s">
        <v>517</v>
      </c>
      <c r="D444" s="50">
        <v>45944.0</v>
      </c>
      <c r="E444" s="50">
        <v>45946.0</v>
      </c>
      <c r="F444" s="52" t="b">
        <v>0</v>
      </c>
      <c r="G444" s="56"/>
      <c r="H444" s="52" t="b">
        <v>0</v>
      </c>
      <c r="I444" s="56"/>
      <c r="J444" s="52" t="b">
        <v>0</v>
      </c>
      <c r="K444" s="52" t="b">
        <v>0</v>
      </c>
      <c r="L444" s="53"/>
      <c r="M444" s="54"/>
      <c r="N444" s="55"/>
    </row>
    <row r="445">
      <c r="A445" s="49" t="s">
        <v>475</v>
      </c>
      <c r="B445" s="49"/>
      <c r="C445" s="49" t="s">
        <v>518</v>
      </c>
      <c r="D445" s="50">
        <v>45944.0</v>
      </c>
      <c r="E445" s="50">
        <v>45946.0</v>
      </c>
      <c r="F445" s="52" t="b">
        <v>0</v>
      </c>
      <c r="G445" s="56"/>
      <c r="H445" s="52" t="b">
        <v>0</v>
      </c>
      <c r="I445" s="56"/>
      <c r="J445" s="52" t="b">
        <v>0</v>
      </c>
      <c r="K445" s="52" t="b">
        <v>0</v>
      </c>
      <c r="L445" s="53"/>
      <c r="M445" s="54"/>
      <c r="N445" s="55"/>
    </row>
    <row r="446">
      <c r="A446" s="49" t="s">
        <v>475</v>
      </c>
      <c r="B446" s="49"/>
      <c r="C446" s="49" t="s">
        <v>519</v>
      </c>
      <c r="D446" s="50">
        <v>45944.0</v>
      </c>
      <c r="E446" s="50">
        <v>45946.0</v>
      </c>
      <c r="F446" s="52" t="b">
        <v>0</v>
      </c>
      <c r="G446" s="56"/>
      <c r="H446" s="52" t="b">
        <v>0</v>
      </c>
      <c r="I446" s="56"/>
      <c r="J446" s="52" t="b">
        <v>0</v>
      </c>
      <c r="K446" s="52" t="b">
        <v>0</v>
      </c>
      <c r="L446" s="53"/>
      <c r="M446" s="54"/>
      <c r="N446" s="55"/>
    </row>
    <row r="447">
      <c r="A447" s="49" t="s">
        <v>475</v>
      </c>
      <c r="B447" s="49"/>
      <c r="C447" s="49" t="s">
        <v>520</v>
      </c>
      <c r="D447" s="50">
        <v>45944.0</v>
      </c>
      <c r="E447" s="50">
        <v>45946.0</v>
      </c>
      <c r="F447" s="52" t="b">
        <v>0</v>
      </c>
      <c r="G447" s="56"/>
      <c r="H447" s="52" t="b">
        <v>0</v>
      </c>
      <c r="I447" s="56"/>
      <c r="J447" s="52" t="b">
        <v>0</v>
      </c>
      <c r="K447" s="52" t="b">
        <v>0</v>
      </c>
      <c r="L447" s="53"/>
      <c r="M447" s="54"/>
      <c r="N447" s="55"/>
    </row>
    <row r="448">
      <c r="A448" s="49" t="s">
        <v>475</v>
      </c>
      <c r="B448" s="49"/>
      <c r="C448" s="49" t="s">
        <v>521</v>
      </c>
      <c r="D448" s="50">
        <v>45944.0</v>
      </c>
      <c r="E448" s="50">
        <v>45946.0</v>
      </c>
      <c r="F448" s="52" t="b">
        <v>0</v>
      </c>
      <c r="G448" s="56"/>
      <c r="H448" s="52" t="b">
        <v>0</v>
      </c>
      <c r="I448" s="56"/>
      <c r="J448" s="52" t="b">
        <v>0</v>
      </c>
      <c r="K448" s="52" t="b">
        <v>0</v>
      </c>
      <c r="L448" s="53"/>
      <c r="M448" s="54"/>
      <c r="N448" s="55"/>
    </row>
    <row r="449">
      <c r="A449" s="49" t="s">
        <v>475</v>
      </c>
      <c r="B449" s="49"/>
      <c r="C449" s="49" t="s">
        <v>522</v>
      </c>
      <c r="D449" s="50">
        <v>45944.0</v>
      </c>
      <c r="E449" s="50">
        <v>45946.0</v>
      </c>
      <c r="F449" s="52" t="b">
        <v>0</v>
      </c>
      <c r="G449" s="56"/>
      <c r="H449" s="52" t="b">
        <v>0</v>
      </c>
      <c r="I449" s="56"/>
      <c r="J449" s="52" t="b">
        <v>0</v>
      </c>
      <c r="K449" s="52" t="b">
        <v>0</v>
      </c>
      <c r="L449" s="53"/>
      <c r="M449" s="54"/>
      <c r="N449" s="55"/>
    </row>
    <row r="450">
      <c r="A450" s="49" t="s">
        <v>475</v>
      </c>
      <c r="B450" s="49"/>
      <c r="C450" s="49" t="s">
        <v>523</v>
      </c>
      <c r="D450" s="50">
        <v>45944.0</v>
      </c>
      <c r="E450" s="50">
        <v>45946.0</v>
      </c>
      <c r="F450" s="52" t="b">
        <v>0</v>
      </c>
      <c r="G450" s="56"/>
      <c r="H450" s="52" t="b">
        <v>0</v>
      </c>
      <c r="I450" s="56"/>
      <c r="J450" s="52" t="b">
        <v>0</v>
      </c>
      <c r="K450" s="52" t="b">
        <v>0</v>
      </c>
      <c r="L450" s="53"/>
      <c r="M450" s="54"/>
      <c r="N450" s="55"/>
    </row>
    <row r="451">
      <c r="A451" s="49" t="s">
        <v>475</v>
      </c>
      <c r="B451" s="49"/>
      <c r="C451" s="49" t="s">
        <v>524</v>
      </c>
      <c r="D451" s="50">
        <v>45944.0</v>
      </c>
      <c r="E451" s="50">
        <v>45946.0</v>
      </c>
      <c r="F451" s="52" t="b">
        <v>0</v>
      </c>
      <c r="G451" s="56"/>
      <c r="H451" s="52" t="b">
        <v>0</v>
      </c>
      <c r="I451" s="56"/>
      <c r="J451" s="52" t="b">
        <v>0</v>
      </c>
      <c r="K451" s="52" t="b">
        <v>0</v>
      </c>
      <c r="L451" s="53"/>
      <c r="M451" s="54"/>
      <c r="N451" s="55"/>
    </row>
    <row r="452">
      <c r="A452" s="49" t="s">
        <v>475</v>
      </c>
      <c r="B452" s="49"/>
      <c r="C452" s="49" t="s">
        <v>525</v>
      </c>
      <c r="D452" s="50">
        <v>45944.0</v>
      </c>
      <c r="E452" s="50">
        <v>45946.0</v>
      </c>
      <c r="F452" s="52" t="b">
        <v>0</v>
      </c>
      <c r="G452" s="56"/>
      <c r="H452" s="52" t="b">
        <v>0</v>
      </c>
      <c r="I452" s="56"/>
      <c r="J452" s="52" t="b">
        <v>0</v>
      </c>
      <c r="K452" s="52" t="b">
        <v>0</v>
      </c>
      <c r="L452" s="53"/>
      <c r="M452" s="54"/>
      <c r="N452" s="55"/>
    </row>
    <row r="453">
      <c r="A453" s="49" t="s">
        <v>475</v>
      </c>
      <c r="B453" s="49"/>
      <c r="C453" s="49" t="s">
        <v>526</v>
      </c>
      <c r="D453" s="50">
        <v>45944.0</v>
      </c>
      <c r="E453" s="50">
        <v>45946.0</v>
      </c>
      <c r="F453" s="52" t="b">
        <v>0</v>
      </c>
      <c r="G453" s="56"/>
      <c r="H453" s="52" t="b">
        <v>0</v>
      </c>
      <c r="I453" s="56"/>
      <c r="J453" s="52" t="b">
        <v>0</v>
      </c>
      <c r="K453" s="52" t="b">
        <v>0</v>
      </c>
      <c r="L453" s="53"/>
      <c r="M453" s="54"/>
      <c r="N453" s="55"/>
    </row>
    <row r="454">
      <c r="A454" s="49" t="s">
        <v>475</v>
      </c>
      <c r="B454" s="49"/>
      <c r="C454" s="49" t="s">
        <v>527</v>
      </c>
      <c r="D454" s="50">
        <v>45944.0</v>
      </c>
      <c r="E454" s="50">
        <v>45946.0</v>
      </c>
      <c r="F454" s="52" t="b">
        <v>0</v>
      </c>
      <c r="G454" s="56"/>
      <c r="H454" s="52" t="b">
        <v>0</v>
      </c>
      <c r="I454" s="56"/>
      <c r="J454" s="52" t="b">
        <v>0</v>
      </c>
      <c r="K454" s="52" t="b">
        <v>0</v>
      </c>
      <c r="L454" s="53"/>
      <c r="M454" s="54"/>
      <c r="N454" s="55"/>
    </row>
    <row r="455">
      <c r="A455" s="49" t="s">
        <v>475</v>
      </c>
      <c r="B455" s="49"/>
      <c r="C455" s="49" t="s">
        <v>528</v>
      </c>
      <c r="D455" s="50">
        <v>45944.0</v>
      </c>
      <c r="E455" s="50">
        <v>45946.0</v>
      </c>
      <c r="F455" s="52" t="b">
        <v>0</v>
      </c>
      <c r="G455" s="56"/>
      <c r="H455" s="52" t="b">
        <v>0</v>
      </c>
      <c r="I455" s="56"/>
      <c r="J455" s="52" t="b">
        <v>0</v>
      </c>
      <c r="K455" s="52" t="b">
        <v>0</v>
      </c>
      <c r="L455" s="53"/>
      <c r="M455" s="54"/>
      <c r="N455" s="55"/>
    </row>
    <row r="456">
      <c r="A456" s="49" t="s">
        <v>475</v>
      </c>
      <c r="B456" s="49"/>
      <c r="C456" s="49" t="s">
        <v>529</v>
      </c>
      <c r="D456" s="50">
        <v>45944.0</v>
      </c>
      <c r="E456" s="50">
        <v>45946.0</v>
      </c>
      <c r="F456" s="52" t="b">
        <v>0</v>
      </c>
      <c r="G456" s="56"/>
      <c r="H456" s="52" t="b">
        <v>0</v>
      </c>
      <c r="I456" s="56"/>
      <c r="J456" s="52" t="b">
        <v>0</v>
      </c>
      <c r="K456" s="52" t="b">
        <v>0</v>
      </c>
      <c r="L456" s="53"/>
      <c r="M456" s="54"/>
      <c r="N456" s="55"/>
    </row>
    <row r="457">
      <c r="A457" s="49" t="s">
        <v>475</v>
      </c>
      <c r="B457" s="49"/>
      <c r="C457" s="49" t="s">
        <v>530</v>
      </c>
      <c r="D457" s="50">
        <v>45944.0</v>
      </c>
      <c r="E457" s="50">
        <v>45946.0</v>
      </c>
      <c r="F457" s="52" t="b">
        <v>0</v>
      </c>
      <c r="G457" s="56"/>
      <c r="H457" s="52" t="b">
        <v>0</v>
      </c>
      <c r="I457" s="56"/>
      <c r="J457" s="52" t="b">
        <v>0</v>
      </c>
      <c r="K457" s="52" t="b">
        <v>0</v>
      </c>
      <c r="L457" s="53"/>
      <c r="M457" s="54"/>
      <c r="N457" s="55"/>
    </row>
    <row r="458">
      <c r="A458" s="49" t="s">
        <v>475</v>
      </c>
      <c r="B458" s="49"/>
      <c r="C458" s="49" t="s">
        <v>531</v>
      </c>
      <c r="D458" s="50">
        <v>45944.0</v>
      </c>
      <c r="E458" s="50">
        <v>45946.0</v>
      </c>
      <c r="F458" s="52" t="b">
        <v>0</v>
      </c>
      <c r="G458" s="56"/>
      <c r="H458" s="52" t="b">
        <v>0</v>
      </c>
      <c r="I458" s="56"/>
      <c r="J458" s="52" t="b">
        <v>0</v>
      </c>
      <c r="K458" s="52" t="b">
        <v>0</v>
      </c>
      <c r="L458" s="53"/>
      <c r="M458" s="54"/>
      <c r="N458" s="55"/>
    </row>
    <row r="459">
      <c r="A459" s="49" t="s">
        <v>295</v>
      </c>
      <c r="B459" s="49"/>
      <c r="C459" s="49" t="s">
        <v>532</v>
      </c>
      <c r="D459" s="50">
        <v>45947.0</v>
      </c>
      <c r="E459" s="50">
        <v>45951.0</v>
      </c>
      <c r="F459" s="52" t="b">
        <v>0</v>
      </c>
      <c r="G459" s="56"/>
      <c r="H459" s="52" t="b">
        <v>0</v>
      </c>
      <c r="I459" s="56"/>
      <c r="J459" s="52" t="b">
        <v>0</v>
      </c>
      <c r="K459" s="52" t="b">
        <v>0</v>
      </c>
      <c r="L459" s="53"/>
      <c r="M459" s="54"/>
      <c r="N459" s="55"/>
    </row>
    <row r="460">
      <c r="A460" s="49" t="s">
        <v>295</v>
      </c>
      <c r="B460" s="49"/>
      <c r="C460" s="49" t="s">
        <v>533</v>
      </c>
      <c r="D460" s="50">
        <v>45947.0</v>
      </c>
      <c r="E460" s="50">
        <v>45951.0</v>
      </c>
      <c r="F460" s="52" t="b">
        <v>0</v>
      </c>
      <c r="G460" s="56"/>
      <c r="H460" s="52" t="b">
        <v>0</v>
      </c>
      <c r="I460" s="56"/>
      <c r="J460" s="52" t="b">
        <v>0</v>
      </c>
      <c r="K460" s="52" t="b">
        <v>0</v>
      </c>
      <c r="L460" s="53"/>
      <c r="M460" s="54"/>
      <c r="N460" s="55"/>
    </row>
    <row r="461">
      <c r="A461" s="49" t="s">
        <v>295</v>
      </c>
      <c r="B461" s="49"/>
      <c r="C461" s="49" t="s">
        <v>534</v>
      </c>
      <c r="D461" s="50">
        <v>45947.0</v>
      </c>
      <c r="E461" s="50">
        <v>45951.0</v>
      </c>
      <c r="F461" s="52" t="b">
        <v>0</v>
      </c>
      <c r="G461" s="56"/>
      <c r="H461" s="52" t="b">
        <v>0</v>
      </c>
      <c r="I461" s="56"/>
      <c r="J461" s="52" t="b">
        <v>0</v>
      </c>
      <c r="K461" s="52" t="b">
        <v>0</v>
      </c>
      <c r="L461" s="53"/>
      <c r="M461" s="54"/>
      <c r="N461" s="55"/>
    </row>
    <row r="462">
      <c r="A462" s="49" t="s">
        <v>295</v>
      </c>
      <c r="B462" s="49"/>
      <c r="C462" s="49" t="s">
        <v>535</v>
      </c>
      <c r="D462" s="50">
        <v>45947.0</v>
      </c>
      <c r="E462" s="50">
        <v>45951.0</v>
      </c>
      <c r="F462" s="52" t="b">
        <v>0</v>
      </c>
      <c r="G462" s="56"/>
      <c r="H462" s="52" t="b">
        <v>0</v>
      </c>
      <c r="I462" s="56"/>
      <c r="J462" s="52" t="b">
        <v>0</v>
      </c>
      <c r="K462" s="52" t="b">
        <v>0</v>
      </c>
      <c r="L462" s="53"/>
      <c r="M462" s="54"/>
      <c r="N462" s="55"/>
    </row>
    <row r="463">
      <c r="A463" s="49" t="s">
        <v>295</v>
      </c>
      <c r="B463" s="49"/>
      <c r="C463" s="49" t="s">
        <v>536</v>
      </c>
      <c r="D463" s="50">
        <v>45947.0</v>
      </c>
      <c r="E463" s="50">
        <v>45951.0</v>
      </c>
      <c r="F463" s="52" t="b">
        <v>0</v>
      </c>
      <c r="G463" s="56"/>
      <c r="H463" s="52" t="b">
        <v>0</v>
      </c>
      <c r="I463" s="56"/>
      <c r="J463" s="52" t="b">
        <v>0</v>
      </c>
      <c r="K463" s="52" t="b">
        <v>0</v>
      </c>
      <c r="L463" s="53"/>
      <c r="M463" s="54"/>
      <c r="N463" s="55"/>
    </row>
    <row r="464">
      <c r="A464" s="49" t="s">
        <v>295</v>
      </c>
      <c r="B464" s="49"/>
      <c r="C464" s="49" t="s">
        <v>537</v>
      </c>
      <c r="D464" s="50">
        <v>45947.0</v>
      </c>
      <c r="E464" s="50">
        <v>45951.0</v>
      </c>
      <c r="F464" s="52" t="b">
        <v>0</v>
      </c>
      <c r="G464" s="56"/>
      <c r="H464" s="52" t="b">
        <v>0</v>
      </c>
      <c r="I464" s="56"/>
      <c r="J464" s="52" t="b">
        <v>0</v>
      </c>
      <c r="K464" s="52" t="b">
        <v>0</v>
      </c>
      <c r="L464" s="53"/>
      <c r="M464" s="54"/>
      <c r="N464" s="55"/>
    </row>
    <row r="465">
      <c r="A465" s="49" t="s">
        <v>295</v>
      </c>
      <c r="B465" s="49"/>
      <c r="C465" s="49" t="s">
        <v>538</v>
      </c>
      <c r="D465" s="50">
        <v>45947.0</v>
      </c>
      <c r="E465" s="50">
        <v>45951.0</v>
      </c>
      <c r="F465" s="52" t="b">
        <v>0</v>
      </c>
      <c r="G465" s="56"/>
      <c r="H465" s="52" t="b">
        <v>0</v>
      </c>
      <c r="I465" s="56"/>
      <c r="J465" s="52" t="b">
        <v>0</v>
      </c>
      <c r="K465" s="52" t="b">
        <v>0</v>
      </c>
      <c r="L465" s="53"/>
      <c r="M465" s="54"/>
      <c r="N465" s="55"/>
    </row>
    <row r="466">
      <c r="A466" s="49" t="s">
        <v>295</v>
      </c>
      <c r="B466" s="49"/>
      <c r="C466" s="49" t="s">
        <v>539</v>
      </c>
      <c r="D466" s="50">
        <v>45947.0</v>
      </c>
      <c r="E466" s="50">
        <v>45951.0</v>
      </c>
      <c r="F466" s="52" t="b">
        <v>0</v>
      </c>
      <c r="G466" s="56"/>
      <c r="H466" s="52" t="b">
        <v>0</v>
      </c>
      <c r="I466" s="56"/>
      <c r="J466" s="52" t="b">
        <v>0</v>
      </c>
      <c r="K466" s="52" t="b">
        <v>0</v>
      </c>
      <c r="L466" s="53"/>
      <c r="M466" s="54"/>
      <c r="N466" s="55"/>
    </row>
    <row r="467">
      <c r="A467" s="49" t="s">
        <v>295</v>
      </c>
      <c r="B467" s="49"/>
      <c r="C467" s="49" t="s">
        <v>540</v>
      </c>
      <c r="D467" s="50">
        <v>45947.0</v>
      </c>
      <c r="E467" s="50">
        <v>45951.0</v>
      </c>
      <c r="F467" s="52" t="b">
        <v>0</v>
      </c>
      <c r="G467" s="56"/>
      <c r="H467" s="52" t="b">
        <v>0</v>
      </c>
      <c r="I467" s="56"/>
      <c r="J467" s="52" t="b">
        <v>0</v>
      </c>
      <c r="K467" s="52" t="b">
        <v>0</v>
      </c>
      <c r="L467" s="53"/>
      <c r="M467" s="54"/>
      <c r="N467" s="55"/>
    </row>
    <row r="468">
      <c r="A468" s="49" t="s">
        <v>295</v>
      </c>
      <c r="B468" s="49"/>
      <c r="C468" s="49" t="s">
        <v>541</v>
      </c>
      <c r="D468" s="50">
        <v>45947.0</v>
      </c>
      <c r="E468" s="50">
        <v>45951.0</v>
      </c>
      <c r="F468" s="52" t="b">
        <v>0</v>
      </c>
      <c r="G468" s="56"/>
      <c r="H468" s="52" t="b">
        <v>0</v>
      </c>
      <c r="I468" s="56"/>
      <c r="J468" s="52" t="b">
        <v>0</v>
      </c>
      <c r="K468" s="52" t="b">
        <v>0</v>
      </c>
      <c r="L468" s="53"/>
      <c r="M468" s="54"/>
      <c r="N468" s="55"/>
    </row>
    <row r="469">
      <c r="A469" s="49" t="s">
        <v>295</v>
      </c>
      <c r="B469" s="49"/>
      <c r="C469" s="49" t="s">
        <v>542</v>
      </c>
      <c r="D469" s="50">
        <v>45947.0</v>
      </c>
      <c r="E469" s="50">
        <v>45951.0</v>
      </c>
      <c r="F469" s="52" t="b">
        <v>0</v>
      </c>
      <c r="G469" s="56"/>
      <c r="H469" s="52" t="b">
        <v>0</v>
      </c>
      <c r="I469" s="56"/>
      <c r="J469" s="52" t="b">
        <v>0</v>
      </c>
      <c r="K469" s="52" t="b">
        <v>0</v>
      </c>
      <c r="L469" s="53"/>
      <c r="M469" s="54"/>
      <c r="N469" s="55"/>
    </row>
    <row r="470">
      <c r="A470" s="49" t="s">
        <v>295</v>
      </c>
      <c r="B470" s="49"/>
      <c r="C470" s="49" t="s">
        <v>543</v>
      </c>
      <c r="D470" s="50">
        <v>45947.0</v>
      </c>
      <c r="E470" s="50">
        <v>45951.0</v>
      </c>
      <c r="F470" s="52" t="b">
        <v>0</v>
      </c>
      <c r="G470" s="56"/>
      <c r="H470" s="52" t="b">
        <v>0</v>
      </c>
      <c r="I470" s="56"/>
      <c r="J470" s="52" t="b">
        <v>0</v>
      </c>
      <c r="K470" s="52" t="b">
        <v>0</v>
      </c>
      <c r="L470" s="53"/>
      <c r="M470" s="54"/>
      <c r="N470" s="55"/>
    </row>
    <row r="471">
      <c r="A471" s="49" t="s">
        <v>295</v>
      </c>
      <c r="B471" s="49"/>
      <c r="C471" s="49" t="s">
        <v>544</v>
      </c>
      <c r="D471" s="50">
        <v>45947.0</v>
      </c>
      <c r="E471" s="50">
        <v>45951.0</v>
      </c>
      <c r="F471" s="52" t="b">
        <v>0</v>
      </c>
      <c r="G471" s="56"/>
      <c r="H471" s="52" t="b">
        <v>0</v>
      </c>
      <c r="I471" s="56"/>
      <c r="J471" s="52" t="b">
        <v>0</v>
      </c>
      <c r="K471" s="52" t="b">
        <v>0</v>
      </c>
      <c r="L471" s="53"/>
      <c r="M471" s="54"/>
      <c r="N471" s="55"/>
    </row>
    <row r="472">
      <c r="A472" s="49" t="s">
        <v>295</v>
      </c>
      <c r="B472" s="49"/>
      <c r="C472" s="49" t="s">
        <v>545</v>
      </c>
      <c r="D472" s="50">
        <v>45947.0</v>
      </c>
      <c r="E472" s="50">
        <v>45951.0</v>
      </c>
      <c r="F472" s="52" t="b">
        <v>0</v>
      </c>
      <c r="G472" s="56"/>
      <c r="H472" s="52" t="b">
        <v>0</v>
      </c>
      <c r="I472" s="56"/>
      <c r="J472" s="52" t="b">
        <v>0</v>
      </c>
      <c r="K472" s="52" t="b">
        <v>0</v>
      </c>
      <c r="L472" s="53"/>
      <c r="M472" s="54"/>
      <c r="N472" s="55"/>
    </row>
    <row r="473">
      <c r="A473" s="49" t="s">
        <v>295</v>
      </c>
      <c r="B473" s="49"/>
      <c r="C473" s="49" t="s">
        <v>546</v>
      </c>
      <c r="D473" s="50">
        <v>45947.0</v>
      </c>
      <c r="E473" s="50">
        <v>45951.0</v>
      </c>
      <c r="F473" s="52" t="b">
        <v>0</v>
      </c>
      <c r="G473" s="56"/>
      <c r="H473" s="52" t="b">
        <v>0</v>
      </c>
      <c r="I473" s="56"/>
      <c r="J473" s="52" t="b">
        <v>0</v>
      </c>
      <c r="K473" s="52" t="b">
        <v>0</v>
      </c>
      <c r="L473" s="53"/>
      <c r="M473" s="54"/>
      <c r="N473" s="55"/>
    </row>
    <row r="474">
      <c r="A474" s="49" t="s">
        <v>295</v>
      </c>
      <c r="B474" s="49"/>
      <c r="C474" s="49" t="s">
        <v>547</v>
      </c>
      <c r="D474" s="50">
        <v>45947.0</v>
      </c>
      <c r="E474" s="50">
        <v>45951.0</v>
      </c>
      <c r="F474" s="52" t="b">
        <v>0</v>
      </c>
      <c r="G474" s="56"/>
      <c r="H474" s="52" t="b">
        <v>0</v>
      </c>
      <c r="I474" s="56"/>
      <c r="J474" s="52" t="b">
        <v>0</v>
      </c>
      <c r="K474" s="52" t="b">
        <v>0</v>
      </c>
      <c r="L474" s="53"/>
      <c r="M474" s="54"/>
      <c r="N474" s="55"/>
    </row>
    <row r="475">
      <c r="A475" s="49" t="s">
        <v>295</v>
      </c>
      <c r="B475" s="49"/>
      <c r="C475" s="49" t="s">
        <v>548</v>
      </c>
      <c r="D475" s="50">
        <v>45947.0</v>
      </c>
      <c r="E475" s="50">
        <v>45951.0</v>
      </c>
      <c r="F475" s="52" t="b">
        <v>0</v>
      </c>
      <c r="G475" s="56"/>
      <c r="H475" s="52" t="b">
        <v>0</v>
      </c>
      <c r="I475" s="56"/>
      <c r="J475" s="52" t="b">
        <v>0</v>
      </c>
      <c r="K475" s="52" t="b">
        <v>0</v>
      </c>
      <c r="L475" s="53"/>
      <c r="M475" s="54"/>
      <c r="N475" s="55"/>
    </row>
    <row r="476">
      <c r="A476" s="49" t="s">
        <v>295</v>
      </c>
      <c r="B476" s="49"/>
      <c r="C476" s="49" t="s">
        <v>549</v>
      </c>
      <c r="D476" s="50">
        <v>45947.0</v>
      </c>
      <c r="E476" s="50">
        <v>45951.0</v>
      </c>
      <c r="F476" s="52" t="b">
        <v>0</v>
      </c>
      <c r="G476" s="56"/>
      <c r="H476" s="52" t="b">
        <v>0</v>
      </c>
      <c r="I476" s="56"/>
      <c r="J476" s="52" t="b">
        <v>0</v>
      </c>
      <c r="K476" s="52" t="b">
        <v>0</v>
      </c>
      <c r="L476" s="53"/>
      <c r="M476" s="54"/>
      <c r="N476" s="55"/>
    </row>
    <row r="477">
      <c r="A477" s="49" t="s">
        <v>295</v>
      </c>
      <c r="B477" s="49"/>
      <c r="C477" s="49" t="s">
        <v>550</v>
      </c>
      <c r="D477" s="50">
        <v>45947.0</v>
      </c>
      <c r="E477" s="50">
        <v>45951.0</v>
      </c>
      <c r="F477" s="52" t="b">
        <v>0</v>
      </c>
      <c r="G477" s="56"/>
      <c r="H477" s="52" t="b">
        <v>0</v>
      </c>
      <c r="I477" s="56"/>
      <c r="J477" s="52" t="b">
        <v>0</v>
      </c>
      <c r="K477" s="52" t="b">
        <v>0</v>
      </c>
      <c r="L477" s="53"/>
      <c r="M477" s="54"/>
      <c r="N477" s="55"/>
    </row>
    <row r="478">
      <c r="A478" s="49" t="s">
        <v>295</v>
      </c>
      <c r="B478" s="49"/>
      <c r="C478" s="49" t="s">
        <v>551</v>
      </c>
      <c r="D478" s="50">
        <v>45947.0</v>
      </c>
      <c r="E478" s="50">
        <v>45951.0</v>
      </c>
      <c r="F478" s="52" t="b">
        <v>0</v>
      </c>
      <c r="G478" s="56"/>
      <c r="H478" s="52" t="b">
        <v>0</v>
      </c>
      <c r="I478" s="56"/>
      <c r="J478" s="52" t="b">
        <v>0</v>
      </c>
      <c r="K478" s="52" t="b">
        <v>0</v>
      </c>
      <c r="L478" s="53"/>
      <c r="M478" s="54"/>
      <c r="N478" s="55"/>
    </row>
    <row r="479">
      <c r="A479" s="49" t="s">
        <v>295</v>
      </c>
      <c r="B479" s="49"/>
      <c r="C479" s="49" t="s">
        <v>552</v>
      </c>
      <c r="D479" s="50">
        <v>45947.0</v>
      </c>
      <c r="E479" s="50">
        <v>45951.0</v>
      </c>
      <c r="F479" s="52" t="b">
        <v>0</v>
      </c>
      <c r="G479" s="56"/>
      <c r="H479" s="52" t="b">
        <v>0</v>
      </c>
      <c r="I479" s="56"/>
      <c r="J479" s="52" t="b">
        <v>0</v>
      </c>
      <c r="K479" s="52" t="b">
        <v>0</v>
      </c>
      <c r="L479" s="53"/>
      <c r="M479" s="54"/>
      <c r="N479" s="55"/>
    </row>
    <row r="480">
      <c r="A480" s="49" t="s">
        <v>295</v>
      </c>
      <c r="B480" s="49"/>
      <c r="C480" s="49" t="s">
        <v>553</v>
      </c>
      <c r="D480" s="50">
        <v>45947.0</v>
      </c>
      <c r="E480" s="50">
        <v>45951.0</v>
      </c>
      <c r="F480" s="52" t="b">
        <v>0</v>
      </c>
      <c r="G480" s="56"/>
      <c r="H480" s="52" t="b">
        <v>0</v>
      </c>
      <c r="I480" s="56"/>
      <c r="J480" s="52" t="b">
        <v>0</v>
      </c>
      <c r="K480" s="52" t="b">
        <v>0</v>
      </c>
      <c r="L480" s="53"/>
      <c r="M480" s="54"/>
      <c r="N480" s="55"/>
    </row>
    <row r="481">
      <c r="A481" s="49" t="s">
        <v>295</v>
      </c>
      <c r="B481" s="49"/>
      <c r="C481" s="49" t="s">
        <v>554</v>
      </c>
      <c r="D481" s="50">
        <v>45947.0</v>
      </c>
      <c r="E481" s="50">
        <v>45951.0</v>
      </c>
      <c r="F481" s="52" t="b">
        <v>0</v>
      </c>
      <c r="G481" s="56"/>
      <c r="H481" s="52" t="b">
        <v>0</v>
      </c>
      <c r="I481" s="56"/>
      <c r="J481" s="52" t="b">
        <v>0</v>
      </c>
      <c r="K481" s="52" t="b">
        <v>0</v>
      </c>
      <c r="L481" s="53"/>
      <c r="M481" s="54"/>
      <c r="N481" s="55"/>
    </row>
    <row r="482">
      <c r="A482" s="49" t="s">
        <v>295</v>
      </c>
      <c r="B482" s="49"/>
      <c r="C482" s="49" t="s">
        <v>555</v>
      </c>
      <c r="D482" s="50">
        <v>45947.0</v>
      </c>
      <c r="E482" s="50">
        <v>45951.0</v>
      </c>
      <c r="F482" s="52" t="b">
        <v>0</v>
      </c>
      <c r="G482" s="56"/>
      <c r="H482" s="52" t="b">
        <v>0</v>
      </c>
      <c r="I482" s="56"/>
      <c r="J482" s="52" t="b">
        <v>0</v>
      </c>
      <c r="K482" s="52" t="b">
        <v>0</v>
      </c>
      <c r="L482" s="53"/>
      <c r="M482" s="54"/>
      <c r="N482" s="55"/>
    </row>
    <row r="483">
      <c r="A483" s="49" t="s">
        <v>295</v>
      </c>
      <c r="B483" s="49"/>
      <c r="C483" s="49" t="s">
        <v>556</v>
      </c>
      <c r="D483" s="50">
        <v>45947.0</v>
      </c>
      <c r="E483" s="50">
        <v>45951.0</v>
      </c>
      <c r="F483" s="52" t="b">
        <v>0</v>
      </c>
      <c r="G483" s="56"/>
      <c r="H483" s="52" t="b">
        <v>0</v>
      </c>
      <c r="I483" s="56"/>
      <c r="J483" s="52" t="b">
        <v>0</v>
      </c>
      <c r="K483" s="52" t="b">
        <v>0</v>
      </c>
      <c r="L483" s="53"/>
      <c r="M483" s="54"/>
      <c r="N483" s="55"/>
    </row>
    <row r="484">
      <c r="A484" s="49" t="s">
        <v>295</v>
      </c>
      <c r="B484" s="49"/>
      <c r="C484" s="49" t="s">
        <v>557</v>
      </c>
      <c r="D484" s="50">
        <v>45947.0</v>
      </c>
      <c r="E484" s="50">
        <v>45951.0</v>
      </c>
      <c r="F484" s="52" t="b">
        <v>0</v>
      </c>
      <c r="G484" s="56"/>
      <c r="H484" s="52" t="b">
        <v>0</v>
      </c>
      <c r="I484" s="56"/>
      <c r="J484" s="52" t="b">
        <v>0</v>
      </c>
      <c r="K484" s="52" t="b">
        <v>0</v>
      </c>
      <c r="L484" s="53"/>
      <c r="M484" s="54"/>
      <c r="N484" s="55"/>
    </row>
    <row r="485">
      <c r="A485" s="49" t="s">
        <v>295</v>
      </c>
      <c r="B485" s="49"/>
      <c r="C485" s="49" t="s">
        <v>558</v>
      </c>
      <c r="D485" s="50">
        <v>45947.0</v>
      </c>
      <c r="E485" s="50">
        <v>45951.0</v>
      </c>
      <c r="F485" s="52" t="b">
        <v>0</v>
      </c>
      <c r="G485" s="56"/>
      <c r="H485" s="52" t="b">
        <v>0</v>
      </c>
      <c r="I485" s="56"/>
      <c r="J485" s="52" t="b">
        <v>0</v>
      </c>
      <c r="K485" s="52" t="b">
        <v>0</v>
      </c>
      <c r="L485" s="53"/>
      <c r="M485" s="54"/>
      <c r="N485" s="55"/>
    </row>
    <row r="486">
      <c r="A486" s="49" t="s">
        <v>295</v>
      </c>
      <c r="B486" s="49"/>
      <c r="C486" s="49" t="s">
        <v>559</v>
      </c>
      <c r="D486" s="50">
        <v>45947.0</v>
      </c>
      <c r="E486" s="50">
        <v>45951.0</v>
      </c>
      <c r="F486" s="52" t="b">
        <v>0</v>
      </c>
      <c r="G486" s="56"/>
      <c r="H486" s="52" t="b">
        <v>0</v>
      </c>
      <c r="I486" s="56"/>
      <c r="J486" s="52" t="b">
        <v>0</v>
      </c>
      <c r="K486" s="52" t="b">
        <v>0</v>
      </c>
      <c r="L486" s="53"/>
      <c r="M486" s="54"/>
      <c r="N486" s="55"/>
    </row>
    <row r="487">
      <c r="A487" s="49" t="s">
        <v>295</v>
      </c>
      <c r="B487" s="49"/>
      <c r="C487" s="49" t="s">
        <v>560</v>
      </c>
      <c r="D487" s="50">
        <v>45947.0</v>
      </c>
      <c r="E487" s="50">
        <v>45951.0</v>
      </c>
      <c r="F487" s="52" t="b">
        <v>0</v>
      </c>
      <c r="G487" s="56"/>
      <c r="H487" s="52" t="b">
        <v>0</v>
      </c>
      <c r="I487" s="56"/>
      <c r="J487" s="52" t="b">
        <v>0</v>
      </c>
      <c r="K487" s="52" t="b">
        <v>0</v>
      </c>
      <c r="L487" s="53"/>
      <c r="M487" s="54"/>
      <c r="N487" s="55"/>
    </row>
    <row r="488">
      <c r="A488" s="49" t="s">
        <v>295</v>
      </c>
      <c r="B488" s="49"/>
      <c r="C488" s="49" t="s">
        <v>561</v>
      </c>
      <c r="D488" s="50">
        <v>45947.0</v>
      </c>
      <c r="E488" s="50">
        <v>45951.0</v>
      </c>
      <c r="F488" s="52" t="b">
        <v>0</v>
      </c>
      <c r="G488" s="56"/>
      <c r="H488" s="52" t="b">
        <v>0</v>
      </c>
      <c r="I488" s="56"/>
      <c r="J488" s="52" t="b">
        <v>0</v>
      </c>
      <c r="K488" s="52" t="b">
        <v>0</v>
      </c>
      <c r="L488" s="53"/>
      <c r="M488" s="54"/>
      <c r="N488" s="55"/>
    </row>
    <row r="489">
      <c r="A489" s="49" t="s">
        <v>295</v>
      </c>
      <c r="B489" s="49"/>
      <c r="C489" s="49" t="s">
        <v>562</v>
      </c>
      <c r="D489" s="50">
        <v>45947.0</v>
      </c>
      <c r="E489" s="50">
        <v>45951.0</v>
      </c>
      <c r="F489" s="52" t="b">
        <v>0</v>
      </c>
      <c r="G489" s="56"/>
      <c r="H489" s="52" t="b">
        <v>0</v>
      </c>
      <c r="I489" s="56"/>
      <c r="J489" s="52" t="b">
        <v>0</v>
      </c>
      <c r="K489" s="52" t="b">
        <v>0</v>
      </c>
      <c r="L489" s="53"/>
      <c r="M489" s="54"/>
      <c r="N489" s="55"/>
    </row>
    <row r="490">
      <c r="A490" s="49" t="s">
        <v>295</v>
      </c>
      <c r="B490" s="49"/>
      <c r="C490" s="49" t="s">
        <v>563</v>
      </c>
      <c r="D490" s="50">
        <v>45947.0</v>
      </c>
      <c r="E490" s="50">
        <v>45951.0</v>
      </c>
      <c r="F490" s="52" t="b">
        <v>0</v>
      </c>
      <c r="G490" s="56"/>
      <c r="H490" s="52" t="b">
        <v>0</v>
      </c>
      <c r="I490" s="56"/>
      <c r="J490" s="52" t="b">
        <v>0</v>
      </c>
      <c r="K490" s="52" t="b">
        <v>0</v>
      </c>
      <c r="L490" s="53"/>
      <c r="M490" s="54"/>
      <c r="N490" s="55"/>
    </row>
    <row r="491">
      <c r="A491" s="49" t="s">
        <v>295</v>
      </c>
      <c r="B491" s="49"/>
      <c r="C491" s="49" t="s">
        <v>564</v>
      </c>
      <c r="D491" s="50">
        <v>45947.0</v>
      </c>
      <c r="E491" s="50">
        <v>45951.0</v>
      </c>
      <c r="F491" s="52" t="b">
        <v>0</v>
      </c>
      <c r="G491" s="56"/>
      <c r="H491" s="52" t="b">
        <v>0</v>
      </c>
      <c r="I491" s="56"/>
      <c r="J491" s="52" t="b">
        <v>0</v>
      </c>
      <c r="K491" s="52" t="b">
        <v>0</v>
      </c>
      <c r="L491" s="53"/>
      <c r="M491" s="54"/>
      <c r="N491" s="55"/>
    </row>
    <row r="492">
      <c r="A492" s="49" t="s">
        <v>295</v>
      </c>
      <c r="B492" s="49"/>
      <c r="C492" s="49" t="s">
        <v>565</v>
      </c>
      <c r="D492" s="50">
        <v>45947.0</v>
      </c>
      <c r="E492" s="50">
        <v>45951.0</v>
      </c>
      <c r="F492" s="52" t="b">
        <v>0</v>
      </c>
      <c r="G492" s="56"/>
      <c r="H492" s="52" t="b">
        <v>0</v>
      </c>
      <c r="I492" s="56"/>
      <c r="J492" s="52" t="b">
        <v>0</v>
      </c>
      <c r="K492" s="52" t="b">
        <v>0</v>
      </c>
      <c r="L492" s="53"/>
      <c r="M492" s="54"/>
      <c r="N492" s="55"/>
    </row>
    <row r="493">
      <c r="A493" s="49" t="s">
        <v>295</v>
      </c>
      <c r="B493" s="49"/>
      <c r="C493" s="49" t="s">
        <v>566</v>
      </c>
      <c r="D493" s="50">
        <v>45947.0</v>
      </c>
      <c r="E493" s="50">
        <v>45951.0</v>
      </c>
      <c r="F493" s="52" t="b">
        <v>0</v>
      </c>
      <c r="G493" s="56"/>
      <c r="H493" s="52" t="b">
        <v>0</v>
      </c>
      <c r="I493" s="56"/>
      <c r="J493" s="52" t="b">
        <v>0</v>
      </c>
      <c r="K493" s="52" t="b">
        <v>0</v>
      </c>
      <c r="L493" s="53"/>
      <c r="M493" s="54"/>
      <c r="N493" s="55"/>
    </row>
    <row r="494">
      <c r="A494" s="49" t="s">
        <v>295</v>
      </c>
      <c r="B494" s="49"/>
      <c r="C494" s="49" t="s">
        <v>567</v>
      </c>
      <c r="D494" s="50">
        <v>45947.0</v>
      </c>
      <c r="E494" s="50">
        <v>45951.0</v>
      </c>
      <c r="F494" s="52" t="b">
        <v>0</v>
      </c>
      <c r="G494" s="56"/>
      <c r="H494" s="52" t="b">
        <v>0</v>
      </c>
      <c r="I494" s="56"/>
      <c r="J494" s="52" t="b">
        <v>0</v>
      </c>
      <c r="K494" s="52" t="b">
        <v>0</v>
      </c>
      <c r="L494" s="53"/>
      <c r="M494" s="54"/>
      <c r="N494" s="55"/>
    </row>
    <row r="495">
      <c r="A495" s="49" t="s">
        <v>295</v>
      </c>
      <c r="B495" s="49"/>
      <c r="C495" s="49" t="s">
        <v>568</v>
      </c>
      <c r="D495" s="50">
        <v>45947.0</v>
      </c>
      <c r="E495" s="50">
        <v>45951.0</v>
      </c>
      <c r="F495" s="52" t="b">
        <v>0</v>
      </c>
      <c r="G495" s="56"/>
      <c r="H495" s="52" t="b">
        <v>0</v>
      </c>
      <c r="I495" s="56"/>
      <c r="J495" s="52" t="b">
        <v>0</v>
      </c>
      <c r="K495" s="52" t="b">
        <v>0</v>
      </c>
      <c r="L495" s="53"/>
      <c r="M495" s="54"/>
      <c r="N495" s="55"/>
    </row>
    <row r="496">
      <c r="A496" s="49" t="s">
        <v>295</v>
      </c>
      <c r="B496" s="49"/>
      <c r="C496" s="49" t="s">
        <v>569</v>
      </c>
      <c r="D496" s="50">
        <v>45947.0</v>
      </c>
      <c r="E496" s="50">
        <v>45951.0</v>
      </c>
      <c r="F496" s="52" t="b">
        <v>0</v>
      </c>
      <c r="G496" s="56"/>
      <c r="H496" s="52" t="b">
        <v>0</v>
      </c>
      <c r="I496" s="56"/>
      <c r="J496" s="52" t="b">
        <v>0</v>
      </c>
      <c r="K496" s="52" t="b">
        <v>0</v>
      </c>
      <c r="L496" s="53"/>
      <c r="M496" s="54"/>
      <c r="N496" s="55"/>
    </row>
    <row r="497">
      <c r="A497" s="49" t="s">
        <v>295</v>
      </c>
      <c r="B497" s="49"/>
      <c r="C497" s="49" t="s">
        <v>570</v>
      </c>
      <c r="D497" s="50">
        <v>45947.0</v>
      </c>
      <c r="E497" s="50">
        <v>45951.0</v>
      </c>
      <c r="F497" s="52" t="b">
        <v>0</v>
      </c>
      <c r="G497" s="56"/>
      <c r="H497" s="52" t="b">
        <v>0</v>
      </c>
      <c r="I497" s="56"/>
      <c r="J497" s="52" t="b">
        <v>0</v>
      </c>
      <c r="K497" s="52" t="b">
        <v>0</v>
      </c>
      <c r="L497" s="53"/>
      <c r="M497" s="54"/>
      <c r="N497" s="55"/>
    </row>
    <row r="498">
      <c r="A498" s="49" t="s">
        <v>295</v>
      </c>
      <c r="B498" s="49"/>
      <c r="C498" s="49" t="s">
        <v>571</v>
      </c>
      <c r="D498" s="50">
        <v>45947.0</v>
      </c>
      <c r="E498" s="50">
        <v>45951.0</v>
      </c>
      <c r="F498" s="52" t="b">
        <v>0</v>
      </c>
      <c r="G498" s="56"/>
      <c r="H498" s="52" t="b">
        <v>0</v>
      </c>
      <c r="I498" s="56"/>
      <c r="J498" s="52" t="b">
        <v>0</v>
      </c>
      <c r="K498" s="52" t="b">
        <v>0</v>
      </c>
      <c r="L498" s="53"/>
      <c r="M498" s="54"/>
      <c r="N498" s="55"/>
    </row>
    <row r="499">
      <c r="A499" s="49" t="s">
        <v>295</v>
      </c>
      <c r="B499" s="49"/>
      <c r="C499" s="49" t="s">
        <v>572</v>
      </c>
      <c r="D499" s="50">
        <v>45947.0</v>
      </c>
      <c r="E499" s="50">
        <v>45951.0</v>
      </c>
      <c r="F499" s="52" t="b">
        <v>0</v>
      </c>
      <c r="G499" s="56"/>
      <c r="H499" s="52" t="b">
        <v>0</v>
      </c>
      <c r="I499" s="56"/>
      <c r="J499" s="52" t="b">
        <v>0</v>
      </c>
      <c r="K499" s="52" t="b">
        <v>0</v>
      </c>
      <c r="L499" s="53"/>
      <c r="M499" s="54"/>
      <c r="N499" s="55"/>
    </row>
    <row r="500">
      <c r="A500" s="49" t="s">
        <v>295</v>
      </c>
      <c r="B500" s="49"/>
      <c r="C500" s="49" t="s">
        <v>573</v>
      </c>
      <c r="D500" s="50">
        <v>45947.0</v>
      </c>
      <c r="E500" s="50">
        <v>45951.0</v>
      </c>
      <c r="F500" s="52" t="b">
        <v>0</v>
      </c>
      <c r="G500" s="56"/>
      <c r="H500" s="52" t="b">
        <v>0</v>
      </c>
      <c r="I500" s="56"/>
      <c r="J500" s="52" t="b">
        <v>0</v>
      </c>
      <c r="K500" s="52" t="b">
        <v>0</v>
      </c>
      <c r="L500" s="53"/>
      <c r="M500" s="54"/>
      <c r="N500" s="55"/>
    </row>
    <row r="501">
      <c r="A501" s="49" t="s">
        <v>295</v>
      </c>
      <c r="B501" s="49"/>
      <c r="C501" s="49" t="s">
        <v>574</v>
      </c>
      <c r="D501" s="50">
        <v>45947.0</v>
      </c>
      <c r="E501" s="50">
        <v>45951.0</v>
      </c>
      <c r="F501" s="52" t="b">
        <v>0</v>
      </c>
      <c r="G501" s="56"/>
      <c r="H501" s="52" t="b">
        <v>0</v>
      </c>
      <c r="I501" s="56"/>
      <c r="J501" s="52" t="b">
        <v>0</v>
      </c>
      <c r="K501" s="52" t="b">
        <v>0</v>
      </c>
      <c r="L501" s="53"/>
      <c r="M501" s="54"/>
      <c r="N501" s="55"/>
    </row>
    <row r="502">
      <c r="A502" s="49" t="s">
        <v>295</v>
      </c>
      <c r="B502" s="49"/>
      <c r="C502" s="49" t="s">
        <v>575</v>
      </c>
      <c r="D502" s="50">
        <v>45947.0</v>
      </c>
      <c r="E502" s="50">
        <v>45951.0</v>
      </c>
      <c r="F502" s="52" t="b">
        <v>0</v>
      </c>
      <c r="G502" s="56"/>
      <c r="H502" s="52" t="b">
        <v>0</v>
      </c>
      <c r="I502" s="56"/>
      <c r="J502" s="52" t="b">
        <v>0</v>
      </c>
      <c r="K502" s="52" t="b">
        <v>0</v>
      </c>
      <c r="L502" s="53"/>
      <c r="M502" s="54"/>
      <c r="N502" s="55"/>
    </row>
    <row r="503">
      <c r="A503" s="49" t="s">
        <v>295</v>
      </c>
      <c r="B503" s="49"/>
      <c r="C503" s="49" t="s">
        <v>576</v>
      </c>
      <c r="D503" s="50">
        <v>45947.0</v>
      </c>
      <c r="E503" s="50">
        <v>45951.0</v>
      </c>
      <c r="F503" s="52" t="b">
        <v>0</v>
      </c>
      <c r="G503" s="56"/>
      <c r="H503" s="52" t="b">
        <v>0</v>
      </c>
      <c r="I503" s="56"/>
      <c r="J503" s="52" t="b">
        <v>0</v>
      </c>
      <c r="K503" s="52" t="b">
        <v>0</v>
      </c>
      <c r="L503" s="53"/>
      <c r="M503" s="54"/>
      <c r="N503" s="55"/>
    </row>
    <row r="504">
      <c r="A504" s="49" t="s">
        <v>295</v>
      </c>
      <c r="B504" s="49"/>
      <c r="C504" s="49" t="s">
        <v>577</v>
      </c>
      <c r="D504" s="50">
        <v>45947.0</v>
      </c>
      <c r="E504" s="50">
        <v>45951.0</v>
      </c>
      <c r="F504" s="52" t="b">
        <v>0</v>
      </c>
      <c r="G504" s="56"/>
      <c r="H504" s="52" t="b">
        <v>0</v>
      </c>
      <c r="I504" s="56"/>
      <c r="J504" s="52" t="b">
        <v>0</v>
      </c>
      <c r="K504" s="52" t="b">
        <v>0</v>
      </c>
      <c r="L504" s="53"/>
      <c r="M504" s="54"/>
      <c r="N504" s="55"/>
    </row>
    <row r="505">
      <c r="A505" s="49" t="s">
        <v>295</v>
      </c>
      <c r="B505" s="49"/>
      <c r="C505" s="49" t="s">
        <v>578</v>
      </c>
      <c r="D505" s="50">
        <v>45947.0</v>
      </c>
      <c r="E505" s="50">
        <v>45951.0</v>
      </c>
      <c r="F505" s="52" t="b">
        <v>0</v>
      </c>
      <c r="G505" s="56"/>
      <c r="H505" s="52" t="b">
        <v>0</v>
      </c>
      <c r="I505" s="56"/>
      <c r="J505" s="52" t="b">
        <v>0</v>
      </c>
      <c r="K505" s="52" t="b">
        <v>0</v>
      </c>
      <c r="L505" s="53"/>
      <c r="M505" s="54"/>
      <c r="N505" s="55"/>
    </row>
    <row r="506">
      <c r="A506" s="49" t="s">
        <v>295</v>
      </c>
      <c r="B506" s="49"/>
      <c r="C506" s="49" t="s">
        <v>579</v>
      </c>
      <c r="D506" s="50">
        <v>45947.0</v>
      </c>
      <c r="E506" s="50">
        <v>45951.0</v>
      </c>
      <c r="F506" s="52" t="b">
        <v>0</v>
      </c>
      <c r="G506" s="56"/>
      <c r="H506" s="52" t="b">
        <v>0</v>
      </c>
      <c r="I506" s="56"/>
      <c r="J506" s="52" t="b">
        <v>0</v>
      </c>
      <c r="K506" s="52" t="b">
        <v>0</v>
      </c>
      <c r="L506" s="53"/>
      <c r="M506" s="54"/>
      <c r="N506" s="55"/>
    </row>
    <row r="507">
      <c r="A507" s="49" t="s">
        <v>295</v>
      </c>
      <c r="B507" s="49"/>
      <c r="C507" s="49" t="s">
        <v>580</v>
      </c>
      <c r="D507" s="50">
        <v>45947.0</v>
      </c>
      <c r="E507" s="50">
        <v>45951.0</v>
      </c>
      <c r="F507" s="52" t="b">
        <v>0</v>
      </c>
      <c r="G507" s="56"/>
      <c r="H507" s="52" t="b">
        <v>0</v>
      </c>
      <c r="I507" s="56"/>
      <c r="J507" s="52" t="b">
        <v>0</v>
      </c>
      <c r="K507" s="52" t="b">
        <v>0</v>
      </c>
      <c r="L507" s="53"/>
      <c r="M507" s="54"/>
      <c r="N507" s="55"/>
    </row>
    <row r="508">
      <c r="A508" s="49" t="s">
        <v>295</v>
      </c>
      <c r="B508" s="49"/>
      <c r="C508" s="49" t="s">
        <v>581</v>
      </c>
      <c r="D508" s="50">
        <v>45947.0</v>
      </c>
      <c r="E508" s="50">
        <v>45951.0</v>
      </c>
      <c r="F508" s="52" t="b">
        <v>0</v>
      </c>
      <c r="G508" s="56"/>
      <c r="H508" s="52" t="b">
        <v>0</v>
      </c>
      <c r="I508" s="56"/>
      <c r="J508" s="52" t="b">
        <v>0</v>
      </c>
      <c r="K508" s="52" t="b">
        <v>0</v>
      </c>
      <c r="L508" s="53"/>
      <c r="M508" s="54"/>
      <c r="N508" s="55"/>
    </row>
    <row r="509">
      <c r="A509" s="49" t="s">
        <v>295</v>
      </c>
      <c r="B509" s="49"/>
      <c r="C509" s="49" t="s">
        <v>582</v>
      </c>
      <c r="D509" s="50">
        <v>45947.0</v>
      </c>
      <c r="E509" s="50">
        <v>45951.0</v>
      </c>
      <c r="F509" s="52" t="b">
        <v>0</v>
      </c>
      <c r="G509" s="56"/>
      <c r="H509" s="52" t="b">
        <v>0</v>
      </c>
      <c r="I509" s="56"/>
      <c r="J509" s="52" t="b">
        <v>0</v>
      </c>
      <c r="K509" s="52" t="b">
        <v>0</v>
      </c>
      <c r="L509" s="53"/>
      <c r="M509" s="54"/>
      <c r="N509" s="55"/>
    </row>
    <row r="510">
      <c r="A510" s="49" t="s">
        <v>295</v>
      </c>
      <c r="B510" s="49"/>
      <c r="C510" s="49" t="s">
        <v>583</v>
      </c>
      <c r="D510" s="50">
        <v>45947.0</v>
      </c>
      <c r="E510" s="50">
        <v>45951.0</v>
      </c>
      <c r="F510" s="52" t="b">
        <v>0</v>
      </c>
      <c r="G510" s="56"/>
      <c r="H510" s="52" t="b">
        <v>0</v>
      </c>
      <c r="I510" s="56"/>
      <c r="J510" s="52" t="b">
        <v>0</v>
      </c>
      <c r="K510" s="52" t="b">
        <v>0</v>
      </c>
      <c r="L510" s="53"/>
      <c r="M510" s="54"/>
      <c r="N510" s="55"/>
    </row>
    <row r="511">
      <c r="A511" s="49" t="s">
        <v>295</v>
      </c>
      <c r="B511" s="49"/>
      <c r="C511" s="49" t="s">
        <v>584</v>
      </c>
      <c r="D511" s="50">
        <v>45947.0</v>
      </c>
      <c r="E511" s="50">
        <v>45951.0</v>
      </c>
      <c r="F511" s="52" t="b">
        <v>0</v>
      </c>
      <c r="G511" s="56"/>
      <c r="H511" s="52" t="b">
        <v>0</v>
      </c>
      <c r="I511" s="56"/>
      <c r="J511" s="52" t="b">
        <v>0</v>
      </c>
      <c r="K511" s="52" t="b">
        <v>0</v>
      </c>
      <c r="L511" s="53"/>
      <c r="M511" s="54"/>
      <c r="N511" s="55"/>
    </row>
    <row r="512">
      <c r="A512" s="49" t="s">
        <v>295</v>
      </c>
      <c r="B512" s="49"/>
      <c r="C512" s="49" t="s">
        <v>585</v>
      </c>
      <c r="D512" s="50">
        <v>45947.0</v>
      </c>
      <c r="E512" s="50">
        <v>45951.0</v>
      </c>
      <c r="F512" s="52" t="b">
        <v>0</v>
      </c>
      <c r="G512" s="56"/>
      <c r="H512" s="52" t="b">
        <v>0</v>
      </c>
      <c r="I512" s="56"/>
      <c r="J512" s="52" t="b">
        <v>0</v>
      </c>
      <c r="K512" s="52" t="b">
        <v>0</v>
      </c>
      <c r="L512" s="53"/>
      <c r="M512" s="54"/>
      <c r="N512" s="55"/>
    </row>
    <row r="513">
      <c r="A513" s="49" t="s">
        <v>295</v>
      </c>
      <c r="B513" s="49"/>
      <c r="C513" s="49" t="s">
        <v>586</v>
      </c>
      <c r="D513" s="50">
        <v>45947.0</v>
      </c>
      <c r="E513" s="50">
        <v>45951.0</v>
      </c>
      <c r="F513" s="52" t="b">
        <v>0</v>
      </c>
      <c r="G513" s="56"/>
      <c r="H513" s="52" t="b">
        <v>0</v>
      </c>
      <c r="I513" s="56"/>
      <c r="J513" s="52" t="b">
        <v>0</v>
      </c>
      <c r="K513" s="52" t="b">
        <v>0</v>
      </c>
      <c r="L513" s="53"/>
      <c r="M513" s="54"/>
      <c r="N513" s="55"/>
    </row>
    <row r="514">
      <c r="A514" s="49" t="s">
        <v>295</v>
      </c>
      <c r="B514" s="49"/>
      <c r="C514" s="49" t="s">
        <v>587</v>
      </c>
      <c r="D514" s="50">
        <v>45947.0</v>
      </c>
      <c r="E514" s="50">
        <v>45951.0</v>
      </c>
      <c r="F514" s="52" t="b">
        <v>0</v>
      </c>
      <c r="G514" s="56"/>
      <c r="H514" s="52" t="b">
        <v>0</v>
      </c>
      <c r="I514" s="56"/>
      <c r="J514" s="52" t="b">
        <v>0</v>
      </c>
      <c r="K514" s="52" t="b">
        <v>0</v>
      </c>
      <c r="L514" s="53"/>
      <c r="M514" s="54"/>
      <c r="N514" s="55"/>
    </row>
    <row r="515">
      <c r="A515" s="49" t="s">
        <v>295</v>
      </c>
      <c r="B515" s="49"/>
      <c r="C515" s="49" t="s">
        <v>588</v>
      </c>
      <c r="D515" s="50">
        <v>45947.0</v>
      </c>
      <c r="E515" s="50">
        <v>45951.0</v>
      </c>
      <c r="F515" s="52" t="b">
        <v>0</v>
      </c>
      <c r="G515" s="56"/>
      <c r="H515" s="52" t="b">
        <v>0</v>
      </c>
      <c r="I515" s="56"/>
      <c r="J515" s="52" t="b">
        <v>0</v>
      </c>
      <c r="K515" s="52" t="b">
        <v>0</v>
      </c>
      <c r="L515" s="53"/>
      <c r="M515" s="54"/>
      <c r="N515" s="55"/>
    </row>
    <row r="516">
      <c r="A516" s="49" t="s">
        <v>295</v>
      </c>
      <c r="B516" s="49"/>
      <c r="C516" s="49" t="s">
        <v>589</v>
      </c>
      <c r="D516" s="50">
        <v>45947.0</v>
      </c>
      <c r="E516" s="50">
        <v>45951.0</v>
      </c>
      <c r="F516" s="52" t="b">
        <v>0</v>
      </c>
      <c r="G516" s="56"/>
      <c r="H516" s="52" t="b">
        <v>0</v>
      </c>
      <c r="I516" s="56"/>
      <c r="J516" s="52" t="b">
        <v>0</v>
      </c>
      <c r="K516" s="52" t="b">
        <v>0</v>
      </c>
      <c r="L516" s="53"/>
      <c r="M516" s="54"/>
      <c r="N516" s="55"/>
    </row>
    <row r="517">
      <c r="A517" s="49" t="s">
        <v>295</v>
      </c>
      <c r="B517" s="49"/>
      <c r="C517" s="49" t="s">
        <v>590</v>
      </c>
      <c r="D517" s="50">
        <v>45947.0</v>
      </c>
      <c r="E517" s="50">
        <v>45951.0</v>
      </c>
      <c r="F517" s="52" t="b">
        <v>0</v>
      </c>
      <c r="G517" s="56"/>
      <c r="H517" s="52" t="b">
        <v>0</v>
      </c>
      <c r="I517" s="56"/>
      <c r="J517" s="52" t="b">
        <v>0</v>
      </c>
      <c r="K517" s="52" t="b">
        <v>0</v>
      </c>
      <c r="L517" s="53"/>
      <c r="M517" s="54"/>
      <c r="N517" s="55"/>
    </row>
    <row r="518">
      <c r="A518" s="49" t="s">
        <v>295</v>
      </c>
      <c r="B518" s="49"/>
      <c r="C518" s="49" t="s">
        <v>591</v>
      </c>
      <c r="D518" s="50">
        <v>45947.0</v>
      </c>
      <c r="E518" s="50">
        <v>45951.0</v>
      </c>
      <c r="F518" s="52" t="b">
        <v>0</v>
      </c>
      <c r="G518" s="56"/>
      <c r="H518" s="52" t="b">
        <v>0</v>
      </c>
      <c r="I518" s="56"/>
      <c r="J518" s="52" t="b">
        <v>0</v>
      </c>
      <c r="K518" s="52" t="b">
        <v>0</v>
      </c>
      <c r="L518" s="53"/>
      <c r="M518" s="54"/>
      <c r="N518" s="55"/>
    </row>
    <row r="519">
      <c r="A519" s="49" t="s">
        <v>295</v>
      </c>
      <c r="B519" s="49"/>
      <c r="C519" s="49" t="s">
        <v>592</v>
      </c>
      <c r="D519" s="50">
        <v>45947.0</v>
      </c>
      <c r="E519" s="50">
        <v>45951.0</v>
      </c>
      <c r="F519" s="52" t="b">
        <v>0</v>
      </c>
      <c r="G519" s="56"/>
      <c r="H519" s="52" t="b">
        <v>0</v>
      </c>
      <c r="I519" s="56"/>
      <c r="J519" s="52" t="b">
        <v>0</v>
      </c>
      <c r="K519" s="52" t="b">
        <v>0</v>
      </c>
      <c r="L519" s="53"/>
      <c r="M519" s="54"/>
      <c r="N519" s="55"/>
    </row>
    <row r="520">
      <c r="A520" s="49" t="s">
        <v>295</v>
      </c>
      <c r="B520" s="49"/>
      <c r="C520" s="49" t="s">
        <v>593</v>
      </c>
      <c r="D520" s="50">
        <v>45947.0</v>
      </c>
      <c r="E520" s="50">
        <v>45951.0</v>
      </c>
      <c r="F520" s="52" t="b">
        <v>0</v>
      </c>
      <c r="G520" s="56"/>
      <c r="H520" s="52" t="b">
        <v>0</v>
      </c>
      <c r="I520" s="56"/>
      <c r="J520" s="52" t="b">
        <v>0</v>
      </c>
      <c r="K520" s="52" t="b">
        <v>0</v>
      </c>
      <c r="L520" s="53"/>
      <c r="M520" s="54"/>
      <c r="N520" s="55"/>
    </row>
    <row r="521">
      <c r="A521" s="49" t="s">
        <v>295</v>
      </c>
      <c r="B521" s="49"/>
      <c r="C521" s="49" t="s">
        <v>594</v>
      </c>
      <c r="D521" s="50">
        <v>45947.0</v>
      </c>
      <c r="E521" s="50">
        <v>45951.0</v>
      </c>
      <c r="F521" s="52" t="b">
        <v>0</v>
      </c>
      <c r="G521" s="56"/>
      <c r="H521" s="52" t="b">
        <v>0</v>
      </c>
      <c r="I521" s="56"/>
      <c r="J521" s="52" t="b">
        <v>0</v>
      </c>
      <c r="K521" s="52" t="b">
        <v>0</v>
      </c>
      <c r="L521" s="53"/>
      <c r="M521" s="54"/>
      <c r="N521" s="55"/>
    </row>
    <row r="522">
      <c r="A522" s="49" t="s">
        <v>295</v>
      </c>
      <c r="B522" s="49"/>
      <c r="C522" s="49" t="s">
        <v>595</v>
      </c>
      <c r="D522" s="50">
        <v>45947.0</v>
      </c>
      <c r="E522" s="50">
        <v>45951.0</v>
      </c>
      <c r="F522" s="52" t="b">
        <v>0</v>
      </c>
      <c r="G522" s="56"/>
      <c r="H522" s="52" t="b">
        <v>0</v>
      </c>
      <c r="I522" s="56"/>
      <c r="J522" s="52" t="b">
        <v>0</v>
      </c>
      <c r="K522" s="52" t="b">
        <v>0</v>
      </c>
      <c r="L522" s="53"/>
      <c r="M522" s="54"/>
      <c r="N522" s="55"/>
    </row>
    <row r="523">
      <c r="A523" s="49" t="s">
        <v>295</v>
      </c>
      <c r="B523" s="49"/>
      <c r="C523" s="49" t="s">
        <v>596</v>
      </c>
      <c r="D523" s="50">
        <v>45947.0</v>
      </c>
      <c r="E523" s="50">
        <v>45951.0</v>
      </c>
      <c r="F523" s="52" t="b">
        <v>0</v>
      </c>
      <c r="G523" s="56"/>
      <c r="H523" s="52" t="b">
        <v>0</v>
      </c>
      <c r="I523" s="56"/>
      <c r="J523" s="52" t="b">
        <v>0</v>
      </c>
      <c r="K523" s="52" t="b">
        <v>0</v>
      </c>
      <c r="L523" s="53"/>
      <c r="M523" s="54"/>
      <c r="N523" s="55"/>
    </row>
    <row r="524">
      <c r="A524" s="49" t="s">
        <v>295</v>
      </c>
      <c r="B524" s="49"/>
      <c r="C524" s="49" t="s">
        <v>597</v>
      </c>
      <c r="D524" s="50">
        <v>45947.0</v>
      </c>
      <c r="E524" s="50">
        <v>45951.0</v>
      </c>
      <c r="F524" s="52" t="b">
        <v>0</v>
      </c>
      <c r="G524" s="56"/>
      <c r="H524" s="52" t="b">
        <v>0</v>
      </c>
      <c r="I524" s="56"/>
      <c r="J524" s="52" t="b">
        <v>0</v>
      </c>
      <c r="K524" s="52" t="b">
        <v>0</v>
      </c>
      <c r="L524" s="53"/>
      <c r="M524" s="54"/>
      <c r="N524" s="55"/>
    </row>
    <row r="525">
      <c r="A525" s="49" t="s">
        <v>295</v>
      </c>
      <c r="B525" s="49"/>
      <c r="C525" s="49" t="s">
        <v>598</v>
      </c>
      <c r="D525" s="50">
        <v>45947.0</v>
      </c>
      <c r="E525" s="50">
        <v>45951.0</v>
      </c>
      <c r="F525" s="52" t="b">
        <v>0</v>
      </c>
      <c r="G525" s="56"/>
      <c r="H525" s="52" t="b">
        <v>0</v>
      </c>
      <c r="I525" s="56"/>
      <c r="J525" s="52" t="b">
        <v>0</v>
      </c>
      <c r="K525" s="52" t="b">
        <v>0</v>
      </c>
      <c r="L525" s="53"/>
      <c r="M525" s="54"/>
      <c r="N525" s="55"/>
    </row>
    <row r="526">
      <c r="A526" s="49" t="s">
        <v>295</v>
      </c>
      <c r="B526" s="49"/>
      <c r="C526" s="49" t="s">
        <v>599</v>
      </c>
      <c r="D526" s="50">
        <v>45947.0</v>
      </c>
      <c r="E526" s="50">
        <v>45951.0</v>
      </c>
      <c r="F526" s="52" t="b">
        <v>0</v>
      </c>
      <c r="G526" s="56"/>
      <c r="H526" s="52" t="b">
        <v>0</v>
      </c>
      <c r="I526" s="56"/>
      <c r="J526" s="52" t="b">
        <v>0</v>
      </c>
      <c r="K526" s="52" t="b">
        <v>0</v>
      </c>
      <c r="L526" s="53"/>
      <c r="M526" s="54"/>
      <c r="N526" s="55"/>
    </row>
    <row r="527">
      <c r="A527" s="49" t="s">
        <v>295</v>
      </c>
      <c r="B527" s="49"/>
      <c r="C527" s="49" t="s">
        <v>600</v>
      </c>
      <c r="D527" s="50">
        <v>45947.0</v>
      </c>
      <c r="E527" s="50">
        <v>45951.0</v>
      </c>
      <c r="F527" s="52" t="b">
        <v>0</v>
      </c>
      <c r="G527" s="56"/>
      <c r="H527" s="52" t="b">
        <v>0</v>
      </c>
      <c r="I527" s="56"/>
      <c r="J527" s="52" t="b">
        <v>0</v>
      </c>
      <c r="K527" s="52" t="b">
        <v>0</v>
      </c>
      <c r="L527" s="53"/>
      <c r="M527" s="54"/>
      <c r="N527" s="55"/>
    </row>
    <row r="528">
      <c r="A528" s="49" t="s">
        <v>295</v>
      </c>
      <c r="B528" s="49"/>
      <c r="C528" s="49" t="s">
        <v>601</v>
      </c>
      <c r="D528" s="50">
        <v>45947.0</v>
      </c>
      <c r="E528" s="50">
        <v>45951.0</v>
      </c>
      <c r="F528" s="49" t="b">
        <v>1</v>
      </c>
      <c r="G528" s="51">
        <v>45966.83115732639</v>
      </c>
      <c r="H528" s="52" t="b">
        <v>0</v>
      </c>
      <c r="I528" s="56"/>
      <c r="J528" s="52" t="b">
        <v>0</v>
      </c>
      <c r="K528" s="52" t="b">
        <v>0</v>
      </c>
      <c r="L528" s="53"/>
      <c r="M528" s="54"/>
      <c r="N528" s="55"/>
    </row>
    <row r="529">
      <c r="A529" s="49" t="s">
        <v>295</v>
      </c>
      <c r="B529" s="49"/>
      <c r="C529" s="49" t="s">
        <v>602</v>
      </c>
      <c r="D529" s="50">
        <v>45947.0</v>
      </c>
      <c r="E529" s="50">
        <v>45951.0</v>
      </c>
      <c r="F529" s="49" t="b">
        <v>1</v>
      </c>
      <c r="G529" s="51">
        <v>45966.83115732639</v>
      </c>
      <c r="H529" s="52" t="b">
        <v>0</v>
      </c>
      <c r="I529" s="56"/>
      <c r="J529" s="52" t="b">
        <v>0</v>
      </c>
      <c r="K529" s="52" t="b">
        <v>0</v>
      </c>
      <c r="L529" s="53"/>
      <c r="M529" s="54"/>
      <c r="N529" s="55"/>
    </row>
    <row r="530">
      <c r="A530" s="49" t="s">
        <v>295</v>
      </c>
      <c r="B530" s="49"/>
      <c r="C530" s="49" t="s">
        <v>603</v>
      </c>
      <c r="D530" s="50">
        <v>45947.0</v>
      </c>
      <c r="E530" s="50">
        <v>45951.0</v>
      </c>
      <c r="F530" s="49" t="b">
        <v>1</v>
      </c>
      <c r="G530" s="51">
        <v>45966.83115732639</v>
      </c>
      <c r="H530" s="52" t="b">
        <v>0</v>
      </c>
      <c r="I530" s="56"/>
      <c r="J530" s="52" t="b">
        <v>0</v>
      </c>
      <c r="K530" s="52" t="b">
        <v>0</v>
      </c>
      <c r="L530" s="53"/>
      <c r="M530" s="54"/>
      <c r="N530" s="55"/>
    </row>
    <row r="531">
      <c r="A531" s="49" t="s">
        <v>295</v>
      </c>
      <c r="B531" s="49"/>
      <c r="C531" s="49" t="s">
        <v>604</v>
      </c>
      <c r="D531" s="50">
        <v>45947.0</v>
      </c>
      <c r="E531" s="50">
        <v>45951.0</v>
      </c>
      <c r="F531" s="49" t="b">
        <v>1</v>
      </c>
      <c r="G531" s="51">
        <v>45966.83115732639</v>
      </c>
      <c r="H531" s="52" t="b">
        <v>0</v>
      </c>
      <c r="I531" s="56"/>
      <c r="J531" s="52" t="b">
        <v>0</v>
      </c>
      <c r="K531" s="52" t="b">
        <v>0</v>
      </c>
      <c r="L531" s="53"/>
      <c r="M531" s="54"/>
      <c r="N531" s="55"/>
    </row>
    <row r="532">
      <c r="A532" s="49" t="s">
        <v>295</v>
      </c>
      <c r="B532" s="49"/>
      <c r="C532" s="49" t="s">
        <v>605</v>
      </c>
      <c r="D532" s="50">
        <v>45947.0</v>
      </c>
      <c r="E532" s="50">
        <v>45951.0</v>
      </c>
      <c r="F532" s="49" t="b">
        <v>1</v>
      </c>
      <c r="G532" s="51">
        <v>45966.83115732639</v>
      </c>
      <c r="H532" s="52" t="b">
        <v>0</v>
      </c>
      <c r="I532" s="56"/>
      <c r="J532" s="52" t="b">
        <v>0</v>
      </c>
      <c r="K532" s="52" t="b">
        <v>0</v>
      </c>
      <c r="L532" s="53"/>
      <c r="M532" s="54"/>
      <c r="N532" s="55"/>
    </row>
    <row r="533">
      <c r="A533" s="49" t="s">
        <v>295</v>
      </c>
      <c r="B533" s="49"/>
      <c r="C533" s="49" t="s">
        <v>606</v>
      </c>
      <c r="D533" s="50">
        <v>45947.0</v>
      </c>
      <c r="E533" s="50">
        <v>45951.0</v>
      </c>
      <c r="F533" s="49" t="b">
        <v>1</v>
      </c>
      <c r="G533" s="51">
        <v>45966.83115732639</v>
      </c>
      <c r="H533" s="52" t="b">
        <v>0</v>
      </c>
      <c r="I533" s="56"/>
      <c r="J533" s="52" t="b">
        <v>0</v>
      </c>
      <c r="K533" s="52" t="b">
        <v>0</v>
      </c>
      <c r="L533" s="53"/>
      <c r="M533" s="54"/>
      <c r="N533" s="55"/>
    </row>
    <row r="534">
      <c r="A534" s="49" t="s">
        <v>295</v>
      </c>
      <c r="B534" s="49"/>
      <c r="C534" s="49" t="s">
        <v>607</v>
      </c>
      <c r="D534" s="50">
        <v>45947.0</v>
      </c>
      <c r="E534" s="50">
        <v>45951.0</v>
      </c>
      <c r="F534" s="49" t="b">
        <v>1</v>
      </c>
      <c r="G534" s="51">
        <v>45966.83115732639</v>
      </c>
      <c r="H534" s="52" t="b">
        <v>0</v>
      </c>
      <c r="I534" s="56"/>
      <c r="J534" s="52" t="b">
        <v>0</v>
      </c>
      <c r="K534" s="52" t="b">
        <v>0</v>
      </c>
      <c r="L534" s="53"/>
      <c r="M534" s="54"/>
      <c r="N534" s="55"/>
    </row>
    <row r="535">
      <c r="A535" s="49" t="s">
        <v>295</v>
      </c>
      <c r="B535" s="49"/>
      <c r="C535" s="49" t="s">
        <v>608</v>
      </c>
      <c r="D535" s="50">
        <v>45947.0</v>
      </c>
      <c r="E535" s="50">
        <v>45951.0</v>
      </c>
      <c r="F535" s="49" t="b">
        <v>1</v>
      </c>
      <c r="G535" s="51">
        <v>45966.83115732639</v>
      </c>
      <c r="H535" s="52" t="b">
        <v>0</v>
      </c>
      <c r="I535" s="56"/>
      <c r="J535" s="52" t="b">
        <v>0</v>
      </c>
      <c r="K535" s="52" t="b">
        <v>0</v>
      </c>
      <c r="L535" s="53"/>
      <c r="M535" s="54"/>
      <c r="N535" s="55"/>
    </row>
    <row r="536">
      <c r="A536" s="49" t="s">
        <v>295</v>
      </c>
      <c r="B536" s="49"/>
      <c r="C536" s="49" t="s">
        <v>609</v>
      </c>
      <c r="D536" s="50">
        <v>45947.0</v>
      </c>
      <c r="E536" s="50">
        <v>45951.0</v>
      </c>
      <c r="F536" s="49" t="b">
        <v>1</v>
      </c>
      <c r="G536" s="51">
        <v>45966.83115732639</v>
      </c>
      <c r="H536" s="52" t="b">
        <v>0</v>
      </c>
      <c r="I536" s="56"/>
      <c r="J536" s="52" t="b">
        <v>0</v>
      </c>
      <c r="K536" s="52" t="b">
        <v>0</v>
      </c>
      <c r="L536" s="53"/>
      <c r="M536" s="54"/>
      <c r="N536" s="55"/>
    </row>
    <row r="537">
      <c r="A537" s="49" t="s">
        <v>295</v>
      </c>
      <c r="B537" s="49"/>
      <c r="C537" s="49" t="s">
        <v>610</v>
      </c>
      <c r="D537" s="50">
        <v>45947.0</v>
      </c>
      <c r="E537" s="50">
        <v>45951.0</v>
      </c>
      <c r="F537" s="49" t="b">
        <v>1</v>
      </c>
      <c r="G537" s="51">
        <v>45966.83115732639</v>
      </c>
      <c r="H537" s="52" t="b">
        <v>0</v>
      </c>
      <c r="I537" s="56"/>
      <c r="J537" s="52" t="b">
        <v>0</v>
      </c>
      <c r="K537" s="52" t="b">
        <v>0</v>
      </c>
      <c r="L537" s="53"/>
      <c r="M537" s="54"/>
      <c r="N537" s="55"/>
    </row>
    <row r="538">
      <c r="A538" s="49" t="s">
        <v>295</v>
      </c>
      <c r="B538" s="49"/>
      <c r="C538" s="49" t="s">
        <v>611</v>
      </c>
      <c r="D538" s="50">
        <v>45947.0</v>
      </c>
      <c r="E538" s="50">
        <v>45951.0</v>
      </c>
      <c r="F538" s="49" t="b">
        <v>1</v>
      </c>
      <c r="G538" s="51">
        <v>45966.83115732639</v>
      </c>
      <c r="H538" s="52" t="b">
        <v>0</v>
      </c>
      <c r="I538" s="56"/>
      <c r="J538" s="52" t="b">
        <v>0</v>
      </c>
      <c r="K538" s="52" t="b">
        <v>0</v>
      </c>
      <c r="L538" s="53"/>
      <c r="M538" s="54"/>
      <c r="N538" s="55"/>
    </row>
    <row r="539">
      <c r="A539" s="49" t="s">
        <v>295</v>
      </c>
      <c r="B539" s="49"/>
      <c r="C539" s="49" t="s">
        <v>612</v>
      </c>
      <c r="D539" s="50">
        <v>45947.0</v>
      </c>
      <c r="E539" s="50">
        <v>45951.0</v>
      </c>
      <c r="F539" s="49" t="b">
        <v>1</v>
      </c>
      <c r="G539" s="51">
        <v>45966.83115732639</v>
      </c>
      <c r="H539" s="52" t="b">
        <v>0</v>
      </c>
      <c r="I539" s="56"/>
      <c r="J539" s="52" t="b">
        <v>0</v>
      </c>
      <c r="K539" s="52" t="b">
        <v>0</v>
      </c>
      <c r="L539" s="53"/>
      <c r="M539" s="54"/>
      <c r="N539" s="55"/>
    </row>
    <row r="540">
      <c r="A540" s="49" t="s">
        <v>295</v>
      </c>
      <c r="B540" s="49"/>
      <c r="C540" s="49" t="s">
        <v>613</v>
      </c>
      <c r="D540" s="50">
        <v>45947.0</v>
      </c>
      <c r="E540" s="50">
        <v>45951.0</v>
      </c>
      <c r="F540" s="49" t="b">
        <v>1</v>
      </c>
      <c r="G540" s="51">
        <v>45966.83115732639</v>
      </c>
      <c r="H540" s="52" t="b">
        <v>0</v>
      </c>
      <c r="I540" s="56"/>
      <c r="J540" s="52" t="b">
        <v>0</v>
      </c>
      <c r="K540" s="52" t="b">
        <v>0</v>
      </c>
      <c r="L540" s="53"/>
      <c r="M540" s="54"/>
      <c r="N540" s="55"/>
    </row>
    <row r="541">
      <c r="A541" s="49" t="s">
        <v>295</v>
      </c>
      <c r="B541" s="49"/>
      <c r="C541" s="49" t="s">
        <v>614</v>
      </c>
      <c r="D541" s="50">
        <v>45947.0</v>
      </c>
      <c r="E541" s="50">
        <v>45951.0</v>
      </c>
      <c r="F541" s="49" t="b">
        <v>1</v>
      </c>
      <c r="G541" s="51">
        <v>45966.83115732639</v>
      </c>
      <c r="H541" s="52" t="b">
        <v>0</v>
      </c>
      <c r="I541" s="56"/>
      <c r="J541" s="52" t="b">
        <v>0</v>
      </c>
      <c r="K541" s="52" t="b">
        <v>0</v>
      </c>
      <c r="L541" s="53"/>
      <c r="M541" s="54"/>
      <c r="N541" s="55"/>
    </row>
    <row r="542">
      <c r="A542" s="49" t="s">
        <v>295</v>
      </c>
      <c r="B542" s="49"/>
      <c r="C542" s="49" t="s">
        <v>615</v>
      </c>
      <c r="D542" s="50">
        <v>45947.0</v>
      </c>
      <c r="E542" s="50">
        <v>45951.0</v>
      </c>
      <c r="F542" s="52" t="b">
        <v>0</v>
      </c>
      <c r="G542" s="56"/>
      <c r="H542" s="52" t="b">
        <v>0</v>
      </c>
      <c r="I542" s="56"/>
      <c r="J542" s="52" t="b">
        <v>0</v>
      </c>
      <c r="K542" s="52" t="b">
        <v>0</v>
      </c>
      <c r="L542" s="53"/>
      <c r="M542" s="54"/>
      <c r="N542" s="55"/>
    </row>
    <row r="543">
      <c r="A543" s="49" t="s">
        <v>295</v>
      </c>
      <c r="B543" s="49"/>
      <c r="C543" s="49" t="s">
        <v>616</v>
      </c>
      <c r="D543" s="50">
        <v>45947.0</v>
      </c>
      <c r="E543" s="50">
        <v>45951.0</v>
      </c>
      <c r="F543" s="52" t="b">
        <v>0</v>
      </c>
      <c r="G543" s="56"/>
      <c r="H543" s="52" t="b">
        <v>0</v>
      </c>
      <c r="I543" s="56"/>
      <c r="J543" s="52" t="b">
        <v>0</v>
      </c>
      <c r="K543" s="52" t="b">
        <v>0</v>
      </c>
      <c r="L543" s="53"/>
      <c r="M543" s="54"/>
      <c r="N543" s="55"/>
    </row>
    <row r="544">
      <c r="A544" s="49" t="s">
        <v>295</v>
      </c>
      <c r="B544" s="49"/>
      <c r="C544" s="49" t="s">
        <v>617</v>
      </c>
      <c r="D544" s="50">
        <v>45947.0</v>
      </c>
      <c r="E544" s="50">
        <v>45951.0</v>
      </c>
      <c r="F544" s="52" t="b">
        <v>0</v>
      </c>
      <c r="G544" s="56"/>
      <c r="H544" s="52" t="b">
        <v>0</v>
      </c>
      <c r="I544" s="56"/>
      <c r="J544" s="52" t="b">
        <v>0</v>
      </c>
      <c r="K544" s="52" t="b">
        <v>0</v>
      </c>
      <c r="L544" s="53"/>
      <c r="M544" s="54"/>
      <c r="N544" s="55"/>
    </row>
    <row r="545">
      <c r="A545" s="49" t="s">
        <v>295</v>
      </c>
      <c r="B545" s="49"/>
      <c r="C545" s="49" t="s">
        <v>618</v>
      </c>
      <c r="D545" s="50">
        <v>45947.0</v>
      </c>
      <c r="E545" s="50">
        <v>45951.0</v>
      </c>
      <c r="F545" s="52" t="b">
        <v>0</v>
      </c>
      <c r="G545" s="56"/>
      <c r="H545" s="52" t="b">
        <v>0</v>
      </c>
      <c r="I545" s="56"/>
      <c r="J545" s="52" t="b">
        <v>0</v>
      </c>
      <c r="K545" s="52" t="b">
        <v>0</v>
      </c>
      <c r="L545" s="53"/>
      <c r="M545" s="54"/>
      <c r="N545" s="55"/>
    </row>
    <row r="546">
      <c r="A546" s="49" t="s">
        <v>295</v>
      </c>
      <c r="B546" s="49"/>
      <c r="C546" s="49" t="s">
        <v>619</v>
      </c>
      <c r="D546" s="50">
        <v>45947.0</v>
      </c>
      <c r="E546" s="50">
        <v>45951.0</v>
      </c>
      <c r="F546" s="52" t="b">
        <v>0</v>
      </c>
      <c r="G546" s="56"/>
      <c r="H546" s="52" t="b">
        <v>0</v>
      </c>
      <c r="I546" s="56"/>
      <c r="J546" s="52" t="b">
        <v>0</v>
      </c>
      <c r="K546" s="52" t="b">
        <v>0</v>
      </c>
      <c r="L546" s="53"/>
      <c r="M546" s="54"/>
      <c r="N546" s="55"/>
    </row>
    <row r="547">
      <c r="A547" s="49" t="s">
        <v>295</v>
      </c>
      <c r="B547" s="49"/>
      <c r="C547" s="49" t="s">
        <v>620</v>
      </c>
      <c r="D547" s="50">
        <v>45947.0</v>
      </c>
      <c r="E547" s="50">
        <v>45951.0</v>
      </c>
      <c r="F547" s="52" t="b">
        <v>0</v>
      </c>
      <c r="G547" s="56"/>
      <c r="H547" s="52" t="b">
        <v>0</v>
      </c>
      <c r="I547" s="56"/>
      <c r="J547" s="52" t="b">
        <v>0</v>
      </c>
      <c r="K547" s="52" t="b">
        <v>0</v>
      </c>
      <c r="L547" s="53"/>
      <c r="M547" s="54"/>
      <c r="N547" s="55"/>
    </row>
    <row r="548">
      <c r="A548" s="49" t="s">
        <v>295</v>
      </c>
      <c r="B548" s="49"/>
      <c r="C548" s="49" t="s">
        <v>621</v>
      </c>
      <c r="D548" s="50">
        <v>45947.0</v>
      </c>
      <c r="E548" s="50">
        <v>45951.0</v>
      </c>
      <c r="F548" s="52" t="b">
        <v>0</v>
      </c>
      <c r="G548" s="56"/>
      <c r="H548" s="52" t="b">
        <v>0</v>
      </c>
      <c r="I548" s="56"/>
      <c r="J548" s="52" t="b">
        <v>0</v>
      </c>
      <c r="K548" s="52" t="b">
        <v>0</v>
      </c>
      <c r="L548" s="53"/>
      <c r="M548" s="54"/>
      <c r="N548" s="55"/>
    </row>
    <row r="549">
      <c r="A549" s="49" t="s">
        <v>295</v>
      </c>
      <c r="B549" s="49"/>
      <c r="C549" s="49" t="s">
        <v>622</v>
      </c>
      <c r="D549" s="50">
        <v>45947.0</v>
      </c>
      <c r="E549" s="50">
        <v>45951.0</v>
      </c>
      <c r="F549" s="52" t="b">
        <v>0</v>
      </c>
      <c r="G549" s="56"/>
      <c r="H549" s="52" t="b">
        <v>0</v>
      </c>
      <c r="I549" s="56"/>
      <c r="J549" s="52" t="b">
        <v>0</v>
      </c>
      <c r="K549" s="52" t="b">
        <v>0</v>
      </c>
      <c r="L549" s="53"/>
      <c r="M549" s="54"/>
      <c r="N549" s="55"/>
    </row>
    <row r="550">
      <c r="A550" s="49" t="s">
        <v>295</v>
      </c>
      <c r="B550" s="49"/>
      <c r="C550" s="49" t="s">
        <v>623</v>
      </c>
      <c r="D550" s="50">
        <v>45947.0</v>
      </c>
      <c r="E550" s="50">
        <v>45951.0</v>
      </c>
      <c r="F550" s="52" t="b">
        <v>0</v>
      </c>
      <c r="G550" s="56"/>
      <c r="H550" s="52" t="b">
        <v>0</v>
      </c>
      <c r="I550" s="56"/>
      <c r="J550" s="52" t="b">
        <v>0</v>
      </c>
      <c r="K550" s="52" t="b">
        <v>0</v>
      </c>
      <c r="L550" s="53"/>
      <c r="M550" s="54"/>
      <c r="N550" s="55"/>
    </row>
    <row r="551">
      <c r="A551" s="49" t="s">
        <v>295</v>
      </c>
      <c r="B551" s="49"/>
      <c r="C551" s="49" t="s">
        <v>624</v>
      </c>
      <c r="D551" s="50">
        <v>45947.0</v>
      </c>
      <c r="E551" s="50">
        <v>45951.0</v>
      </c>
      <c r="F551" s="52" t="b">
        <v>0</v>
      </c>
      <c r="G551" s="56"/>
      <c r="H551" s="52" t="b">
        <v>0</v>
      </c>
      <c r="I551" s="56"/>
      <c r="J551" s="52" t="b">
        <v>0</v>
      </c>
      <c r="K551" s="52" t="b">
        <v>0</v>
      </c>
      <c r="L551" s="53"/>
      <c r="M551" s="54"/>
      <c r="N551" s="55"/>
    </row>
    <row r="552">
      <c r="A552" s="49" t="s">
        <v>295</v>
      </c>
      <c r="B552" s="49"/>
      <c r="C552" s="49" t="s">
        <v>625</v>
      </c>
      <c r="D552" s="50">
        <v>45947.0</v>
      </c>
      <c r="E552" s="50">
        <v>45951.0</v>
      </c>
      <c r="F552" s="52" t="b">
        <v>0</v>
      </c>
      <c r="G552" s="56"/>
      <c r="H552" s="52" t="b">
        <v>0</v>
      </c>
      <c r="I552" s="56"/>
      <c r="J552" s="52" t="b">
        <v>0</v>
      </c>
      <c r="K552" s="52" t="b">
        <v>0</v>
      </c>
      <c r="L552" s="53"/>
      <c r="M552" s="54"/>
      <c r="N552" s="55"/>
    </row>
    <row r="553">
      <c r="A553" s="49" t="s">
        <v>295</v>
      </c>
      <c r="B553" s="49"/>
      <c r="C553" s="49" t="s">
        <v>626</v>
      </c>
      <c r="D553" s="50">
        <v>45947.0</v>
      </c>
      <c r="E553" s="50">
        <v>45951.0</v>
      </c>
      <c r="F553" s="52" t="b">
        <v>0</v>
      </c>
      <c r="G553" s="56"/>
      <c r="H553" s="52" t="b">
        <v>0</v>
      </c>
      <c r="I553" s="56"/>
      <c r="J553" s="52" t="b">
        <v>0</v>
      </c>
      <c r="K553" s="52" t="b">
        <v>0</v>
      </c>
      <c r="L553" s="53"/>
      <c r="M553" s="54"/>
      <c r="N553" s="55"/>
    </row>
    <row r="554">
      <c r="A554" s="49" t="s">
        <v>295</v>
      </c>
      <c r="B554" s="49"/>
      <c r="C554" s="49" t="s">
        <v>627</v>
      </c>
      <c r="D554" s="50">
        <v>45947.0</v>
      </c>
      <c r="E554" s="50">
        <v>45951.0</v>
      </c>
      <c r="F554" s="52" t="b">
        <v>0</v>
      </c>
      <c r="G554" s="56"/>
      <c r="H554" s="52" t="b">
        <v>0</v>
      </c>
      <c r="I554" s="56"/>
      <c r="J554" s="52" t="b">
        <v>0</v>
      </c>
      <c r="K554" s="52" t="b">
        <v>0</v>
      </c>
      <c r="L554" s="53"/>
      <c r="M554" s="54"/>
      <c r="N554" s="55"/>
    </row>
    <row r="555">
      <c r="A555" s="49" t="s">
        <v>295</v>
      </c>
      <c r="B555" s="49"/>
      <c r="C555" s="49" t="s">
        <v>628</v>
      </c>
      <c r="D555" s="50">
        <v>45947.0</v>
      </c>
      <c r="E555" s="50">
        <v>45951.0</v>
      </c>
      <c r="F555" s="52" t="b">
        <v>0</v>
      </c>
      <c r="G555" s="56"/>
      <c r="H555" s="52" t="b">
        <v>0</v>
      </c>
      <c r="I555" s="56"/>
      <c r="J555" s="52" t="b">
        <v>0</v>
      </c>
      <c r="K555" s="52" t="b">
        <v>0</v>
      </c>
      <c r="L555" s="53"/>
      <c r="M555" s="54"/>
      <c r="N555" s="55"/>
    </row>
    <row r="556">
      <c r="A556" s="49" t="s">
        <v>295</v>
      </c>
      <c r="B556" s="49"/>
      <c r="C556" s="49" t="s">
        <v>629</v>
      </c>
      <c r="D556" s="50">
        <v>45947.0</v>
      </c>
      <c r="E556" s="50">
        <v>45951.0</v>
      </c>
      <c r="F556" s="52" t="b">
        <v>0</v>
      </c>
      <c r="G556" s="56"/>
      <c r="H556" s="52" t="b">
        <v>0</v>
      </c>
      <c r="I556" s="56"/>
      <c r="J556" s="52" t="b">
        <v>0</v>
      </c>
      <c r="K556" s="52" t="b">
        <v>0</v>
      </c>
      <c r="L556" s="53"/>
      <c r="M556" s="54"/>
      <c r="N556" s="55"/>
    </row>
    <row r="557">
      <c r="A557" s="49" t="s">
        <v>295</v>
      </c>
      <c r="B557" s="49"/>
      <c r="C557" s="49" t="s">
        <v>630</v>
      </c>
      <c r="D557" s="50">
        <v>45947.0</v>
      </c>
      <c r="E557" s="50">
        <v>45951.0</v>
      </c>
      <c r="F557" s="52" t="b">
        <v>0</v>
      </c>
      <c r="G557" s="56"/>
      <c r="H557" s="52" t="b">
        <v>0</v>
      </c>
      <c r="I557" s="56"/>
      <c r="J557" s="52" t="b">
        <v>0</v>
      </c>
      <c r="K557" s="52" t="b">
        <v>0</v>
      </c>
      <c r="L557" s="53"/>
      <c r="M557" s="54"/>
      <c r="N557" s="55"/>
    </row>
    <row r="558">
      <c r="A558" s="49" t="s">
        <v>295</v>
      </c>
      <c r="B558" s="49"/>
      <c r="C558" s="49" t="s">
        <v>631</v>
      </c>
      <c r="D558" s="50">
        <v>45947.0</v>
      </c>
      <c r="E558" s="50">
        <v>45951.0</v>
      </c>
      <c r="F558" s="52" t="b">
        <v>0</v>
      </c>
      <c r="G558" s="56"/>
      <c r="H558" s="52" t="b">
        <v>0</v>
      </c>
      <c r="I558" s="56"/>
      <c r="J558" s="52" t="b">
        <v>0</v>
      </c>
      <c r="K558" s="52" t="b">
        <v>0</v>
      </c>
      <c r="L558" s="53"/>
      <c r="M558" s="54"/>
      <c r="N558" s="55"/>
    </row>
    <row r="559">
      <c r="A559" s="49" t="s">
        <v>360</v>
      </c>
      <c r="B559" s="49"/>
      <c r="C559" s="49" t="s">
        <v>632</v>
      </c>
      <c r="D559" s="50">
        <v>45952.0</v>
      </c>
      <c r="E559" s="50">
        <v>45942.0</v>
      </c>
      <c r="F559" s="52" t="b">
        <v>0</v>
      </c>
      <c r="G559" s="56"/>
      <c r="H559" s="52" t="b">
        <v>0</v>
      </c>
      <c r="I559" s="56"/>
      <c r="J559" s="52" t="b">
        <v>0</v>
      </c>
      <c r="K559" s="52" t="b">
        <v>0</v>
      </c>
      <c r="L559" s="53"/>
      <c r="M559" s="54"/>
      <c r="N559" s="55"/>
    </row>
    <row r="560">
      <c r="A560" s="49" t="s">
        <v>360</v>
      </c>
      <c r="B560" s="49"/>
      <c r="C560" s="49" t="s">
        <v>633</v>
      </c>
      <c r="D560" s="50">
        <v>45952.0</v>
      </c>
      <c r="E560" s="50">
        <v>45942.0</v>
      </c>
      <c r="F560" s="52" t="b">
        <v>0</v>
      </c>
      <c r="G560" s="56"/>
      <c r="H560" s="52" t="b">
        <v>0</v>
      </c>
      <c r="I560" s="56"/>
      <c r="J560" s="52" t="b">
        <v>0</v>
      </c>
      <c r="K560" s="52" t="b">
        <v>0</v>
      </c>
      <c r="L560" s="53"/>
      <c r="M560" s="54"/>
      <c r="N560" s="55"/>
    </row>
    <row r="561">
      <c r="A561" s="49" t="s">
        <v>360</v>
      </c>
      <c r="B561" s="49"/>
      <c r="C561" s="49" t="s">
        <v>634</v>
      </c>
      <c r="D561" s="50">
        <v>45952.0</v>
      </c>
      <c r="E561" s="50">
        <v>45942.0</v>
      </c>
      <c r="F561" s="52" t="b">
        <v>0</v>
      </c>
      <c r="G561" s="56"/>
      <c r="H561" s="52" t="b">
        <v>0</v>
      </c>
      <c r="I561" s="56"/>
      <c r="J561" s="52" t="b">
        <v>0</v>
      </c>
      <c r="K561" s="52" t="b">
        <v>0</v>
      </c>
      <c r="L561" s="53"/>
      <c r="M561" s="54"/>
      <c r="N561" s="55"/>
    </row>
    <row r="562">
      <c r="A562" s="49" t="s">
        <v>360</v>
      </c>
      <c r="B562" s="49"/>
      <c r="C562" s="49" t="s">
        <v>635</v>
      </c>
      <c r="D562" s="50">
        <v>45952.0</v>
      </c>
      <c r="E562" s="50">
        <v>45942.0</v>
      </c>
      <c r="F562" s="52" t="b">
        <v>0</v>
      </c>
      <c r="G562" s="56"/>
      <c r="H562" s="52" t="b">
        <v>0</v>
      </c>
      <c r="I562" s="56"/>
      <c r="J562" s="52" t="b">
        <v>0</v>
      </c>
      <c r="K562" s="52" t="b">
        <v>0</v>
      </c>
      <c r="L562" s="53"/>
      <c r="M562" s="54"/>
      <c r="N562" s="55"/>
    </row>
    <row r="563">
      <c r="A563" s="49" t="s">
        <v>360</v>
      </c>
      <c r="B563" s="49"/>
      <c r="C563" s="49" t="s">
        <v>636</v>
      </c>
      <c r="D563" s="50">
        <v>45952.0</v>
      </c>
      <c r="E563" s="50">
        <v>45942.0</v>
      </c>
      <c r="F563" s="52" t="b">
        <v>0</v>
      </c>
      <c r="G563" s="56"/>
      <c r="H563" s="52" t="b">
        <v>0</v>
      </c>
      <c r="I563" s="56"/>
      <c r="J563" s="52" t="b">
        <v>0</v>
      </c>
      <c r="K563" s="52" t="b">
        <v>0</v>
      </c>
      <c r="L563" s="53"/>
      <c r="M563" s="54"/>
      <c r="N563" s="55"/>
    </row>
    <row r="564">
      <c r="A564" s="49" t="s">
        <v>360</v>
      </c>
      <c r="B564" s="49"/>
      <c r="C564" s="49" t="s">
        <v>637</v>
      </c>
      <c r="D564" s="50">
        <v>45952.0</v>
      </c>
      <c r="E564" s="50">
        <v>45942.0</v>
      </c>
      <c r="F564" s="52" t="b">
        <v>0</v>
      </c>
      <c r="G564" s="56"/>
      <c r="H564" s="52" t="b">
        <v>0</v>
      </c>
      <c r="I564" s="56"/>
      <c r="J564" s="52" t="b">
        <v>0</v>
      </c>
      <c r="K564" s="52" t="b">
        <v>0</v>
      </c>
      <c r="L564" s="53"/>
      <c r="M564" s="54"/>
      <c r="N564" s="55"/>
    </row>
    <row r="565">
      <c r="A565" s="49" t="s">
        <v>360</v>
      </c>
      <c r="B565" s="49"/>
      <c r="C565" s="49" t="s">
        <v>638</v>
      </c>
      <c r="D565" s="50">
        <v>45952.0</v>
      </c>
      <c r="E565" s="50">
        <v>45942.0</v>
      </c>
      <c r="F565" s="52" t="b">
        <v>0</v>
      </c>
      <c r="G565" s="56"/>
      <c r="H565" s="52" t="b">
        <v>0</v>
      </c>
      <c r="I565" s="56"/>
      <c r="J565" s="52" t="b">
        <v>0</v>
      </c>
      <c r="K565" s="52" t="b">
        <v>0</v>
      </c>
      <c r="L565" s="53"/>
      <c r="M565" s="54"/>
      <c r="N565" s="55"/>
    </row>
    <row r="566">
      <c r="A566" s="49" t="s">
        <v>360</v>
      </c>
      <c r="B566" s="49"/>
      <c r="C566" s="49" t="s">
        <v>639</v>
      </c>
      <c r="D566" s="50">
        <v>45952.0</v>
      </c>
      <c r="E566" s="50">
        <v>45942.0</v>
      </c>
      <c r="F566" s="52" t="b">
        <v>0</v>
      </c>
      <c r="G566" s="56"/>
      <c r="H566" s="52" t="b">
        <v>0</v>
      </c>
      <c r="I566" s="56"/>
      <c r="J566" s="52" t="b">
        <v>0</v>
      </c>
      <c r="K566" s="52" t="b">
        <v>0</v>
      </c>
      <c r="L566" s="53"/>
      <c r="M566" s="54"/>
      <c r="N566" s="55"/>
    </row>
    <row r="567">
      <c r="A567" s="49" t="s">
        <v>360</v>
      </c>
      <c r="B567" s="49"/>
      <c r="C567" s="49" t="s">
        <v>640</v>
      </c>
      <c r="D567" s="50">
        <v>45952.0</v>
      </c>
      <c r="E567" s="50">
        <v>45942.0</v>
      </c>
      <c r="F567" s="52" t="b">
        <v>0</v>
      </c>
      <c r="G567" s="56"/>
      <c r="H567" s="52" t="b">
        <v>0</v>
      </c>
      <c r="I567" s="56"/>
      <c r="J567" s="52" t="b">
        <v>0</v>
      </c>
      <c r="K567" s="52" t="b">
        <v>0</v>
      </c>
      <c r="L567" s="53"/>
      <c r="M567" s="54"/>
      <c r="N567" s="55"/>
    </row>
    <row r="568">
      <c r="A568" s="49" t="s">
        <v>360</v>
      </c>
      <c r="B568" s="49"/>
      <c r="C568" s="49" t="s">
        <v>641</v>
      </c>
      <c r="D568" s="50">
        <v>45952.0</v>
      </c>
      <c r="E568" s="50">
        <v>45942.0</v>
      </c>
      <c r="F568" s="52" t="b">
        <v>0</v>
      </c>
      <c r="G568" s="56"/>
      <c r="H568" s="52" t="b">
        <v>0</v>
      </c>
      <c r="I568" s="56"/>
      <c r="J568" s="52" t="b">
        <v>0</v>
      </c>
      <c r="K568" s="52" t="b">
        <v>0</v>
      </c>
      <c r="L568" s="53"/>
      <c r="M568" s="54"/>
      <c r="N568" s="55"/>
    </row>
    <row r="569">
      <c r="A569" s="49" t="s">
        <v>360</v>
      </c>
      <c r="B569" s="49"/>
      <c r="C569" s="49" t="s">
        <v>642</v>
      </c>
      <c r="D569" s="50">
        <v>45952.0</v>
      </c>
      <c r="E569" s="50">
        <v>45942.0</v>
      </c>
      <c r="F569" s="52" t="b">
        <v>0</v>
      </c>
      <c r="G569" s="56"/>
      <c r="H569" s="52" t="b">
        <v>0</v>
      </c>
      <c r="I569" s="56"/>
      <c r="J569" s="52" t="b">
        <v>0</v>
      </c>
      <c r="K569" s="52" t="b">
        <v>0</v>
      </c>
      <c r="L569" s="53"/>
      <c r="M569" s="54"/>
      <c r="N569" s="55"/>
    </row>
    <row r="570">
      <c r="A570" s="49" t="s">
        <v>360</v>
      </c>
      <c r="B570" s="49"/>
      <c r="C570" s="49" t="s">
        <v>643</v>
      </c>
      <c r="D570" s="50">
        <v>45952.0</v>
      </c>
      <c r="E570" s="50">
        <v>45942.0</v>
      </c>
      <c r="F570" s="52" t="b">
        <v>0</v>
      </c>
      <c r="G570" s="56"/>
      <c r="H570" s="52" t="b">
        <v>0</v>
      </c>
      <c r="I570" s="56"/>
      <c r="J570" s="52" t="b">
        <v>0</v>
      </c>
      <c r="K570" s="52" t="b">
        <v>0</v>
      </c>
      <c r="L570" s="53"/>
      <c r="M570" s="54"/>
      <c r="N570" s="55"/>
    </row>
    <row r="571">
      <c r="A571" s="49" t="s">
        <v>360</v>
      </c>
      <c r="B571" s="49"/>
      <c r="C571" s="49" t="s">
        <v>644</v>
      </c>
      <c r="D571" s="50">
        <v>45952.0</v>
      </c>
      <c r="E571" s="50">
        <v>45942.0</v>
      </c>
      <c r="F571" s="52" t="b">
        <v>0</v>
      </c>
      <c r="G571" s="56"/>
      <c r="H571" s="52" t="b">
        <v>0</v>
      </c>
      <c r="I571" s="56"/>
      <c r="J571" s="52" t="b">
        <v>0</v>
      </c>
      <c r="K571" s="52" t="b">
        <v>0</v>
      </c>
      <c r="L571" s="53"/>
      <c r="M571" s="54"/>
      <c r="N571" s="55"/>
    </row>
    <row r="572">
      <c r="A572" s="49" t="s">
        <v>360</v>
      </c>
      <c r="B572" s="49"/>
      <c r="C572" s="49" t="s">
        <v>645</v>
      </c>
      <c r="D572" s="50">
        <v>45952.0</v>
      </c>
      <c r="E572" s="50">
        <v>45942.0</v>
      </c>
      <c r="F572" s="52" t="b">
        <v>0</v>
      </c>
      <c r="G572" s="56"/>
      <c r="H572" s="52" t="b">
        <v>0</v>
      </c>
      <c r="I572" s="56"/>
      <c r="J572" s="52" t="b">
        <v>0</v>
      </c>
      <c r="K572" s="52" t="b">
        <v>0</v>
      </c>
      <c r="L572" s="53"/>
      <c r="M572" s="54"/>
      <c r="N572" s="55"/>
    </row>
    <row r="573">
      <c r="A573" s="49" t="s">
        <v>360</v>
      </c>
      <c r="B573" s="49"/>
      <c r="C573" s="49" t="s">
        <v>646</v>
      </c>
      <c r="D573" s="50">
        <v>45952.0</v>
      </c>
      <c r="E573" s="50">
        <v>45942.0</v>
      </c>
      <c r="F573" s="52" t="b">
        <v>0</v>
      </c>
      <c r="G573" s="56"/>
      <c r="H573" s="52" t="b">
        <v>0</v>
      </c>
      <c r="I573" s="56"/>
      <c r="J573" s="52" t="b">
        <v>0</v>
      </c>
      <c r="K573" s="52" t="b">
        <v>0</v>
      </c>
      <c r="L573" s="53"/>
      <c r="M573" s="54"/>
      <c r="N573" s="55"/>
    </row>
    <row r="574">
      <c r="A574" s="49" t="s">
        <v>360</v>
      </c>
      <c r="B574" s="49"/>
      <c r="C574" s="49" t="s">
        <v>647</v>
      </c>
      <c r="D574" s="50">
        <v>45952.0</v>
      </c>
      <c r="E574" s="50">
        <v>45942.0</v>
      </c>
      <c r="F574" s="52" t="b">
        <v>0</v>
      </c>
      <c r="G574" s="56"/>
      <c r="H574" s="52" t="b">
        <v>0</v>
      </c>
      <c r="I574" s="56"/>
      <c r="J574" s="52" t="b">
        <v>0</v>
      </c>
      <c r="K574" s="52" t="b">
        <v>0</v>
      </c>
      <c r="L574" s="53"/>
      <c r="M574" s="54"/>
      <c r="N574" s="55"/>
    </row>
    <row r="575">
      <c r="A575" s="49" t="s">
        <v>360</v>
      </c>
      <c r="B575" s="49"/>
      <c r="C575" s="49" t="s">
        <v>648</v>
      </c>
      <c r="D575" s="50">
        <v>45952.0</v>
      </c>
      <c r="E575" s="50">
        <v>45942.0</v>
      </c>
      <c r="F575" s="52" t="b">
        <v>0</v>
      </c>
      <c r="G575" s="56"/>
      <c r="H575" s="52" t="b">
        <v>0</v>
      </c>
      <c r="I575" s="56"/>
      <c r="J575" s="52" t="b">
        <v>0</v>
      </c>
      <c r="K575" s="52" t="b">
        <v>0</v>
      </c>
      <c r="L575" s="53"/>
      <c r="M575" s="54"/>
      <c r="N575" s="55"/>
    </row>
    <row r="576">
      <c r="A576" s="49" t="s">
        <v>360</v>
      </c>
      <c r="B576" s="49"/>
      <c r="C576" s="49" t="s">
        <v>649</v>
      </c>
      <c r="D576" s="50">
        <v>45952.0</v>
      </c>
      <c r="E576" s="50">
        <v>45942.0</v>
      </c>
      <c r="F576" s="52" t="b">
        <v>0</v>
      </c>
      <c r="G576" s="56"/>
      <c r="H576" s="52" t="b">
        <v>0</v>
      </c>
      <c r="I576" s="56"/>
      <c r="J576" s="52" t="b">
        <v>0</v>
      </c>
      <c r="K576" s="52" t="b">
        <v>0</v>
      </c>
      <c r="L576" s="53"/>
      <c r="M576" s="54"/>
      <c r="N576" s="55"/>
    </row>
    <row r="577">
      <c r="A577" s="49" t="s">
        <v>360</v>
      </c>
      <c r="B577" s="49"/>
      <c r="C577" s="49" t="s">
        <v>650</v>
      </c>
      <c r="D577" s="50">
        <v>45952.0</v>
      </c>
      <c r="E577" s="50">
        <v>45942.0</v>
      </c>
      <c r="F577" s="52" t="b">
        <v>0</v>
      </c>
      <c r="G577" s="56"/>
      <c r="H577" s="52" t="b">
        <v>0</v>
      </c>
      <c r="I577" s="56"/>
      <c r="J577" s="52" t="b">
        <v>0</v>
      </c>
      <c r="K577" s="52" t="b">
        <v>0</v>
      </c>
      <c r="L577" s="53"/>
      <c r="M577" s="54"/>
      <c r="N577" s="55"/>
    </row>
    <row r="578">
      <c r="A578" s="49" t="s">
        <v>360</v>
      </c>
      <c r="B578" s="49"/>
      <c r="C578" s="49" t="s">
        <v>651</v>
      </c>
      <c r="D578" s="50">
        <v>45952.0</v>
      </c>
      <c r="E578" s="50">
        <v>45942.0</v>
      </c>
      <c r="F578" s="52" t="b">
        <v>0</v>
      </c>
      <c r="G578" s="56"/>
      <c r="H578" s="52" t="b">
        <v>0</v>
      </c>
      <c r="I578" s="56"/>
      <c r="J578" s="52" t="b">
        <v>0</v>
      </c>
      <c r="K578" s="52" t="b">
        <v>0</v>
      </c>
      <c r="L578" s="53"/>
      <c r="M578" s="54"/>
      <c r="N578" s="55"/>
    </row>
    <row r="579">
      <c r="A579" s="49" t="s">
        <v>652</v>
      </c>
      <c r="B579" s="49"/>
      <c r="C579" s="49" t="s">
        <v>653</v>
      </c>
      <c r="D579" s="50">
        <v>45952.0</v>
      </c>
      <c r="E579" s="50">
        <v>45953.0</v>
      </c>
      <c r="F579" s="52" t="b">
        <v>0</v>
      </c>
      <c r="G579" s="56"/>
      <c r="H579" s="52" t="b">
        <v>0</v>
      </c>
      <c r="I579" s="56"/>
      <c r="J579" s="52" t="b">
        <v>0</v>
      </c>
      <c r="K579" s="52" t="b">
        <v>0</v>
      </c>
      <c r="L579" s="53"/>
      <c r="M579" s="54"/>
      <c r="N579" s="55"/>
    </row>
    <row r="580">
      <c r="A580" s="49" t="s">
        <v>652</v>
      </c>
      <c r="B580" s="49"/>
      <c r="C580" s="49" t="s">
        <v>654</v>
      </c>
      <c r="D580" s="50">
        <v>45952.0</v>
      </c>
      <c r="E580" s="50">
        <v>45953.0</v>
      </c>
      <c r="F580" s="52" t="b">
        <v>0</v>
      </c>
      <c r="G580" s="56"/>
      <c r="H580" s="52" t="b">
        <v>0</v>
      </c>
      <c r="I580" s="56"/>
      <c r="J580" s="52" t="b">
        <v>0</v>
      </c>
      <c r="K580" s="52" t="b">
        <v>0</v>
      </c>
      <c r="L580" s="53"/>
      <c r="M580" s="54"/>
      <c r="N580" s="55"/>
    </row>
    <row r="581">
      <c r="A581" s="49" t="s">
        <v>652</v>
      </c>
      <c r="B581" s="49"/>
      <c r="C581" s="49" t="s">
        <v>655</v>
      </c>
      <c r="D581" s="50">
        <v>45952.0</v>
      </c>
      <c r="E581" s="50">
        <v>45953.0</v>
      </c>
      <c r="F581" s="52" t="b">
        <v>0</v>
      </c>
      <c r="G581" s="56"/>
      <c r="H581" s="52" t="b">
        <v>0</v>
      </c>
      <c r="I581" s="56"/>
      <c r="J581" s="52" t="b">
        <v>0</v>
      </c>
      <c r="K581" s="52" t="b">
        <v>0</v>
      </c>
      <c r="L581" s="53"/>
      <c r="M581" s="54"/>
      <c r="N581" s="55"/>
    </row>
    <row r="582">
      <c r="A582" s="49" t="s">
        <v>652</v>
      </c>
      <c r="B582" s="49"/>
      <c r="C582" s="49" t="s">
        <v>656</v>
      </c>
      <c r="D582" s="50">
        <v>45952.0</v>
      </c>
      <c r="E582" s="50">
        <v>45953.0</v>
      </c>
      <c r="F582" s="52" t="b">
        <v>0</v>
      </c>
      <c r="G582" s="56"/>
      <c r="H582" s="52" t="b">
        <v>0</v>
      </c>
      <c r="I582" s="56"/>
      <c r="J582" s="52" t="b">
        <v>0</v>
      </c>
      <c r="K582" s="52" t="b">
        <v>0</v>
      </c>
      <c r="L582" s="53"/>
      <c r="M582" s="54"/>
      <c r="N582" s="55"/>
    </row>
    <row r="583">
      <c r="A583" s="49" t="s">
        <v>652</v>
      </c>
      <c r="B583" s="49"/>
      <c r="C583" s="49" t="s">
        <v>657</v>
      </c>
      <c r="D583" s="50">
        <v>45952.0</v>
      </c>
      <c r="E583" s="50">
        <v>45953.0</v>
      </c>
      <c r="F583" s="52" t="b">
        <v>0</v>
      </c>
      <c r="G583" s="56"/>
      <c r="H583" s="52" t="b">
        <v>0</v>
      </c>
      <c r="I583" s="56"/>
      <c r="J583" s="52" t="b">
        <v>0</v>
      </c>
      <c r="K583" s="52" t="b">
        <v>0</v>
      </c>
      <c r="L583" s="53"/>
      <c r="M583" s="54"/>
      <c r="N583" s="55"/>
    </row>
    <row r="584">
      <c r="A584" s="49" t="s">
        <v>652</v>
      </c>
      <c r="B584" s="49"/>
      <c r="C584" s="49" t="s">
        <v>658</v>
      </c>
      <c r="D584" s="50">
        <v>45952.0</v>
      </c>
      <c r="E584" s="50">
        <v>45953.0</v>
      </c>
      <c r="F584" s="52" t="b">
        <v>0</v>
      </c>
      <c r="G584" s="56"/>
      <c r="H584" s="52" t="b">
        <v>0</v>
      </c>
      <c r="I584" s="56"/>
      <c r="J584" s="52" t="b">
        <v>0</v>
      </c>
      <c r="K584" s="52" t="b">
        <v>0</v>
      </c>
      <c r="L584" s="53"/>
      <c r="M584" s="54"/>
      <c r="N584" s="55"/>
    </row>
    <row r="585">
      <c r="A585" s="49" t="s">
        <v>652</v>
      </c>
      <c r="B585" s="49"/>
      <c r="C585" s="49" t="s">
        <v>659</v>
      </c>
      <c r="D585" s="50">
        <v>45952.0</v>
      </c>
      <c r="E585" s="50">
        <v>45953.0</v>
      </c>
      <c r="F585" s="52" t="b">
        <v>0</v>
      </c>
      <c r="G585" s="56"/>
      <c r="H585" s="52" t="b">
        <v>0</v>
      </c>
      <c r="I585" s="56"/>
      <c r="J585" s="52" t="b">
        <v>0</v>
      </c>
      <c r="K585" s="52" t="b">
        <v>0</v>
      </c>
      <c r="L585" s="53"/>
      <c r="M585" s="54"/>
      <c r="N585" s="55"/>
    </row>
    <row r="586">
      <c r="A586" s="49" t="s">
        <v>652</v>
      </c>
      <c r="B586" s="49"/>
      <c r="C586" s="49" t="s">
        <v>660</v>
      </c>
      <c r="D586" s="50">
        <v>45952.0</v>
      </c>
      <c r="E586" s="50">
        <v>45953.0</v>
      </c>
      <c r="F586" s="52" t="b">
        <v>0</v>
      </c>
      <c r="G586" s="56"/>
      <c r="H586" s="52" t="b">
        <v>0</v>
      </c>
      <c r="I586" s="56"/>
      <c r="J586" s="52" t="b">
        <v>0</v>
      </c>
      <c r="K586" s="52" t="b">
        <v>0</v>
      </c>
      <c r="L586" s="53"/>
      <c r="M586" s="54"/>
      <c r="N586" s="55"/>
    </row>
    <row r="587">
      <c r="A587" s="49" t="s">
        <v>652</v>
      </c>
      <c r="B587" s="49"/>
      <c r="C587" s="49" t="s">
        <v>661</v>
      </c>
      <c r="D587" s="50">
        <v>45952.0</v>
      </c>
      <c r="E587" s="50">
        <v>45953.0</v>
      </c>
      <c r="F587" s="52" t="b">
        <v>0</v>
      </c>
      <c r="G587" s="56"/>
      <c r="H587" s="52" t="b">
        <v>0</v>
      </c>
      <c r="I587" s="56"/>
      <c r="J587" s="52" t="b">
        <v>0</v>
      </c>
      <c r="K587" s="52" t="b">
        <v>0</v>
      </c>
      <c r="L587" s="53"/>
      <c r="M587" s="54"/>
      <c r="N587" s="55"/>
    </row>
    <row r="588">
      <c r="A588" s="49" t="s">
        <v>652</v>
      </c>
      <c r="B588" s="49"/>
      <c r="C588" s="49" t="s">
        <v>662</v>
      </c>
      <c r="D588" s="50">
        <v>45952.0</v>
      </c>
      <c r="E588" s="50">
        <v>45953.0</v>
      </c>
      <c r="F588" s="52" t="b">
        <v>0</v>
      </c>
      <c r="G588" s="56"/>
      <c r="H588" s="52" t="b">
        <v>0</v>
      </c>
      <c r="I588" s="56"/>
      <c r="J588" s="52" t="b">
        <v>0</v>
      </c>
      <c r="K588" s="52" t="b">
        <v>0</v>
      </c>
      <c r="L588" s="53"/>
      <c r="M588" s="54"/>
      <c r="N588" s="55"/>
    </row>
    <row r="589">
      <c r="A589" s="49"/>
      <c r="B589" s="49"/>
      <c r="C589" s="49"/>
      <c r="D589" s="50"/>
      <c r="E589" s="50"/>
      <c r="F589" s="52" t="b">
        <v>0</v>
      </c>
      <c r="G589" s="56"/>
      <c r="H589" s="52" t="b">
        <v>0</v>
      </c>
      <c r="I589" s="56"/>
      <c r="J589" s="52" t="b">
        <v>0</v>
      </c>
      <c r="K589" s="52" t="b">
        <v>0</v>
      </c>
      <c r="L589" s="53"/>
      <c r="M589" s="54"/>
      <c r="N589" s="55"/>
    </row>
  </sheetData>
  <conditionalFormatting sqref="A1:C589">
    <cfRule type="containsText" dxfId="4" priority="1" operator="containsText" text="JEANS LEVIS">
      <formula>NOT(ISERROR(SEARCH(("JEANS LEVIS"),(A1))))</formula>
    </cfRule>
  </conditionalFormatting>
  <conditionalFormatting sqref="A1:C589">
    <cfRule type="containsText" dxfId="5" priority="2" operator="containsText" text="JACKET">
      <formula>NOT(ISERROR(SEARCH(("JACKET"),(A1))))</formula>
    </cfRule>
  </conditionalFormatting>
  <conditionalFormatting sqref="A1:C589">
    <cfRule type="containsText" dxfId="6" priority="3" operator="containsText" text="VÊTEMENTS DIVERSES">
      <formula>NOT(ISERROR(SEARCH(("VÊTEMENTS DIVERSES"),(A1))))</formula>
    </cfRule>
  </conditionalFormatting>
  <conditionalFormatting sqref="A1:C589">
    <cfRule type="containsText" dxfId="7" priority="4" operator="containsText" text="POLAIRE COLUMBIA">
      <formula>NOT(ISERROR(SEARCH(("POLAIRE COLUMBIA"),(A1))))</formula>
    </cfRule>
  </conditionalFormatting>
  <conditionalFormatting sqref="A1:C589">
    <cfRule type="containsText" dxfId="8" priority="5" operator="containsText" text="POLAIRE THE NORTH FACE">
      <formula>NOT(ISERROR(SEARCH(("POLAIRE THE NORTH FACE"),(A1))))</formula>
    </cfRule>
  </conditionalFormatting>
  <conditionalFormatting sqref="A1:C589">
    <cfRule type="containsText" dxfId="9" priority="6" operator="containsText" text="PULL TOMMY">
      <formula>NOT(ISERROR(SEARCH(("PULL TOMMY"),(A1))))</formula>
    </cfRule>
  </conditionalFormatting>
  <conditionalFormatting sqref="A1:C589">
    <cfRule type="containsText" dxfId="10" priority="7" operator="containsText" text="VÊTEMENTS PERSO">
      <formula>NOT(ISERROR(SEARCH(("VÊTEMENTS PERSO"),(A1))))</formula>
    </cfRule>
  </conditionalFormatting>
  <conditionalFormatting sqref="A1:C589">
    <cfRule type="containsText" dxfId="4" priority="8" operator="containsText" text="JLF">
      <formula>NOT(ISERROR(SEARCH(("JLF"),(A1))))</formula>
    </cfRule>
  </conditionalFormatting>
  <conditionalFormatting sqref="A1:C589">
    <cfRule type="containsText" dxfId="5" priority="9" operator="containsText" text="JMHF">
      <formula>NOT(ISERROR(SEARCH(("JMHF"),(A1))))</formula>
    </cfRule>
  </conditionalFormatting>
  <conditionalFormatting sqref="A1:C589">
    <cfRule type="containsText" dxfId="6" priority="10" operator="containsText" text="VDHF">
      <formula>NOT(ISERROR(SEARCH(("VDHF"),(A1))))</formula>
    </cfRule>
  </conditionalFormatting>
  <conditionalFormatting sqref="A1:C589">
    <cfRule type="containsText" dxfId="7" priority="11" operator="containsText" text="POLAIRE COLUMBIA">
      <formula>NOT(ISERROR(SEARCH(("POLAIRE COLUMBIA"),(A1))))</formula>
    </cfRule>
  </conditionalFormatting>
  <conditionalFormatting sqref="A1:C589">
    <cfRule type="containsText" dxfId="7" priority="12" operator="containsText" text="PCF">
      <formula>NOT(ISERROR(SEARCH(("PCF"),(A1))))</formula>
    </cfRule>
  </conditionalFormatting>
  <conditionalFormatting sqref="A1:C589">
    <cfRule type="containsText" dxfId="8" priority="13" operator="containsText" text="PTNFF">
      <formula>NOT(ISERROR(SEARCH(("PTNFF"),(A1))))</formula>
    </cfRule>
  </conditionalFormatting>
  <conditionalFormatting sqref="A1:C589">
    <cfRule type="containsText" dxfId="9" priority="14" operator="containsText" text="PTHF">
      <formula>NOT(ISERROR(SEARCH(("PTHF"),(A1))))</formula>
    </cfRule>
  </conditionalFormatting>
  <conditionalFormatting sqref="A1:C589">
    <cfRule type="containsText" dxfId="10" priority="15" operator="containsText" text="VPHB">
      <formula>NOT(ISERROR(SEARCH(("VPHB"),(A1))))</formula>
    </cfRule>
  </conditionalFormatting>
  <dataValidations>
    <dataValidation type="custom" allowBlank="1" showDropDown="1" sqref="G2:G589 I2:I589">
      <formula1>OR(NOT(ISERROR(DATEVALUE(G2))), AND(ISNUMBER(G2), LEFT(CELL("format", G2))="D"))</formula1>
    </dataValidation>
    <dataValidation type="custom" allowBlank="1" showDropDown="1" sqref="M2:M589">
      <formula1>AND(ISNUMBER(M2),(NOT(OR(NOT(ISERROR(DATEVALUE(M2))), AND(ISNUMBER(M2), LEFT(CELL("format", M2))="D")))))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3.38"/>
    <col customWidth="1" min="3" max="3" width="8.63"/>
    <col customWidth="1" min="4" max="4" width="13.88"/>
    <col customWidth="1" min="5" max="5" width="21.0"/>
    <col customWidth="1" min="6" max="6" width="17.0"/>
    <col customWidth="1" min="7" max="7" width="16.38"/>
    <col customWidth="1" min="8" max="8" width="13.0"/>
  </cols>
  <sheetData>
    <row r="1">
      <c r="A1" s="57" t="s">
        <v>64</v>
      </c>
      <c r="B1" s="57" t="s">
        <v>663</v>
      </c>
      <c r="C1" s="57" t="s">
        <v>55</v>
      </c>
      <c r="D1" s="58" t="s">
        <v>664</v>
      </c>
      <c r="E1" s="57" t="s">
        <v>665</v>
      </c>
      <c r="F1" s="57" t="s">
        <v>666</v>
      </c>
      <c r="G1" s="57" t="s">
        <v>667</v>
      </c>
      <c r="H1" s="57" t="s">
        <v>668</v>
      </c>
      <c r="I1" s="57" t="s">
        <v>669</v>
      </c>
      <c r="J1" s="57" t="s">
        <v>670</v>
      </c>
      <c r="K1" s="59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/>
      <c r="D2" s="62"/>
      <c r="E2" s="63"/>
      <c r="F2" s="63"/>
      <c r="G2" s="63"/>
      <c r="H2" s="63"/>
    </row>
    <row r="3">
      <c r="A3" s="61"/>
      <c r="D3" s="62"/>
      <c r="E3" s="63"/>
      <c r="F3" s="63"/>
      <c r="G3" s="63"/>
      <c r="H3" s="63"/>
    </row>
    <row r="4">
      <c r="A4" s="61"/>
      <c r="D4" s="62"/>
      <c r="E4" s="63"/>
      <c r="F4" s="63"/>
      <c r="G4" s="63"/>
      <c r="H4" s="63"/>
    </row>
    <row r="5">
      <c r="A5" s="61"/>
      <c r="D5" s="62"/>
      <c r="E5" s="63"/>
      <c r="F5" s="63"/>
      <c r="G5" s="63"/>
      <c r="H5" s="63"/>
    </row>
    <row r="6">
      <c r="A6" s="61"/>
      <c r="D6" s="62"/>
      <c r="E6" s="63"/>
      <c r="F6" s="63"/>
      <c r="G6" s="63"/>
      <c r="H6" s="63"/>
    </row>
    <row r="7">
      <c r="A7" s="61"/>
      <c r="D7" s="62"/>
      <c r="E7" s="63"/>
      <c r="F7" s="63"/>
      <c r="G7" s="63"/>
      <c r="H7" s="63"/>
    </row>
    <row r="8">
      <c r="A8" s="61"/>
      <c r="D8" s="62"/>
      <c r="E8" s="63"/>
      <c r="F8" s="63"/>
      <c r="G8" s="63"/>
      <c r="H8" s="63"/>
    </row>
    <row r="9">
      <c r="A9" s="61"/>
      <c r="D9" s="62"/>
      <c r="E9" s="63"/>
      <c r="F9" s="63"/>
      <c r="G9" s="63"/>
      <c r="H9" s="63"/>
    </row>
    <row r="10">
      <c r="A10" s="61"/>
      <c r="D10" s="62"/>
      <c r="E10" s="63"/>
      <c r="F10" s="63"/>
      <c r="G10" s="63"/>
      <c r="H10" s="63"/>
    </row>
    <row r="11">
      <c r="A11" s="61"/>
      <c r="D11" s="62"/>
      <c r="E11" s="63"/>
      <c r="F11" s="63"/>
      <c r="G11" s="63"/>
      <c r="H11" s="63"/>
    </row>
    <row r="12">
      <c r="A12" s="61"/>
      <c r="D12" s="62"/>
      <c r="E12" s="63"/>
      <c r="F12" s="63"/>
      <c r="G12" s="63"/>
      <c r="H12" s="63"/>
    </row>
    <row r="13">
      <c r="A13" s="61"/>
      <c r="D13" s="62"/>
      <c r="E13" s="63"/>
      <c r="F13" s="63"/>
      <c r="G13" s="63"/>
      <c r="H13" s="63"/>
    </row>
    <row r="14">
      <c r="A14" s="61"/>
      <c r="D14" s="62"/>
      <c r="E14" s="63"/>
      <c r="F14" s="63"/>
      <c r="G14" s="63"/>
      <c r="H14" s="63"/>
    </row>
    <row r="15">
      <c r="A15" s="61"/>
      <c r="D15" s="62"/>
      <c r="E15" s="63"/>
      <c r="F15" s="63"/>
      <c r="G15" s="63"/>
      <c r="H15" s="63"/>
    </row>
    <row r="16">
      <c r="A16" s="61"/>
      <c r="D16" s="62"/>
      <c r="E16" s="63"/>
      <c r="F16" s="63"/>
      <c r="G16" s="63"/>
      <c r="H16" s="63"/>
    </row>
    <row r="17">
      <c r="A17" s="61"/>
      <c r="D17" s="62"/>
      <c r="E17" s="63"/>
      <c r="F17" s="63"/>
      <c r="G17" s="63"/>
      <c r="H17" s="63"/>
    </row>
    <row r="18">
      <c r="A18" s="61"/>
      <c r="D18" s="62"/>
      <c r="E18" s="63"/>
      <c r="F18" s="63"/>
      <c r="G18" s="63"/>
      <c r="H18" s="63"/>
    </row>
    <row r="19">
      <c r="A19" s="61"/>
      <c r="D19" s="62"/>
      <c r="E19" s="63"/>
      <c r="F19" s="63"/>
      <c r="G19" s="63"/>
      <c r="H19" s="63"/>
    </row>
    <row r="20">
      <c r="A20" s="64"/>
      <c r="D20" s="65"/>
    </row>
    <row r="21">
      <c r="A21" s="64"/>
      <c r="D21" s="65"/>
    </row>
    <row r="22">
      <c r="A22" s="64"/>
      <c r="D22" s="65"/>
    </row>
    <row r="23">
      <c r="A23" s="64"/>
      <c r="D23" s="65"/>
    </row>
    <row r="24">
      <c r="A24" s="64"/>
      <c r="D24" s="65"/>
    </row>
    <row r="25">
      <c r="A25" s="64"/>
      <c r="D25" s="65"/>
    </row>
    <row r="26">
      <c r="A26" s="64"/>
      <c r="D26" s="65"/>
    </row>
    <row r="27">
      <c r="A27" s="64"/>
      <c r="D27" s="65"/>
    </row>
    <row r="28">
      <c r="A28" s="64"/>
      <c r="D28" s="65"/>
    </row>
    <row r="29">
      <c r="A29" s="64"/>
      <c r="D29" s="65"/>
    </row>
    <row r="30">
      <c r="A30" s="64"/>
      <c r="D30" s="65"/>
    </row>
    <row r="31">
      <c r="A31" s="64"/>
      <c r="D31" s="65"/>
    </row>
    <row r="32">
      <c r="A32" s="64"/>
      <c r="D32" s="65"/>
    </row>
    <row r="33">
      <c r="A33" s="64"/>
      <c r="D33" s="65"/>
    </row>
    <row r="34">
      <c r="A34" s="64"/>
      <c r="D34" s="65"/>
    </row>
    <row r="35">
      <c r="A35" s="64"/>
      <c r="D35" s="65"/>
    </row>
    <row r="36">
      <c r="A36" s="64"/>
      <c r="D36" s="65"/>
    </row>
    <row r="37">
      <c r="A37" s="64"/>
      <c r="D37" s="65"/>
    </row>
    <row r="38">
      <c r="A38" s="64"/>
      <c r="D38" s="65"/>
    </row>
    <row r="39">
      <c r="A39" s="64"/>
      <c r="D39" s="65"/>
    </row>
    <row r="40">
      <c r="A40" s="64"/>
      <c r="D40" s="65"/>
    </row>
    <row r="41">
      <c r="A41" s="64"/>
      <c r="D41" s="65"/>
    </row>
    <row r="42">
      <c r="A42" s="64"/>
      <c r="D42" s="65"/>
    </row>
    <row r="43">
      <c r="A43" s="64"/>
      <c r="D43" s="65"/>
    </row>
    <row r="44">
      <c r="A44" s="64"/>
      <c r="D44" s="65"/>
    </row>
    <row r="45">
      <c r="A45" s="64"/>
      <c r="D45" s="65"/>
    </row>
    <row r="46">
      <c r="A46" s="64"/>
      <c r="D46" s="65"/>
    </row>
    <row r="47">
      <c r="A47" s="64"/>
      <c r="D47" s="65"/>
    </row>
    <row r="48">
      <c r="A48" s="64"/>
      <c r="D48" s="65"/>
    </row>
    <row r="49">
      <c r="A49" s="64"/>
      <c r="D49" s="65"/>
    </row>
    <row r="50">
      <c r="A50" s="64"/>
      <c r="D50" s="65"/>
    </row>
    <row r="51">
      <c r="A51" s="64"/>
      <c r="D51" s="65"/>
    </row>
    <row r="52">
      <c r="A52" s="64"/>
      <c r="D52" s="65"/>
    </row>
    <row r="53">
      <c r="A53" s="64"/>
      <c r="D53" s="65"/>
    </row>
    <row r="54">
      <c r="A54" s="64"/>
      <c r="D54" s="65"/>
    </row>
    <row r="55">
      <c r="A55" s="64"/>
      <c r="D55" s="65"/>
    </row>
    <row r="56">
      <c r="A56" s="64"/>
      <c r="D56" s="65"/>
    </row>
    <row r="57">
      <c r="A57" s="64"/>
      <c r="D57" s="65"/>
    </row>
    <row r="58">
      <c r="A58" s="64"/>
      <c r="D58" s="65"/>
    </row>
    <row r="59">
      <c r="A59" s="64"/>
      <c r="D59" s="65"/>
    </row>
    <row r="60">
      <c r="A60" s="64"/>
      <c r="D60" s="65"/>
    </row>
    <row r="61">
      <c r="A61" s="64"/>
      <c r="D61" s="65"/>
    </row>
    <row r="62">
      <c r="A62" s="64"/>
      <c r="D62" s="65"/>
    </row>
    <row r="63">
      <c r="A63" s="64"/>
      <c r="D63" s="65"/>
    </row>
    <row r="64">
      <c r="A64" s="64"/>
      <c r="D64" s="65"/>
    </row>
    <row r="65">
      <c r="A65" s="64"/>
      <c r="D65" s="65"/>
    </row>
    <row r="66">
      <c r="A66" s="64"/>
      <c r="D66" s="65"/>
    </row>
    <row r="67">
      <c r="A67" s="64"/>
      <c r="D67" s="65"/>
    </row>
    <row r="68">
      <c r="A68" s="64"/>
      <c r="D68" s="65"/>
    </row>
    <row r="69">
      <c r="A69" s="64"/>
      <c r="D69" s="65"/>
    </row>
    <row r="70">
      <c r="A70" s="64"/>
      <c r="D70" s="65"/>
    </row>
    <row r="71">
      <c r="A71" s="64"/>
      <c r="D71" s="65"/>
    </row>
    <row r="72">
      <c r="A72" s="64"/>
      <c r="D72" s="65"/>
    </row>
    <row r="73">
      <c r="A73" s="64"/>
      <c r="D73" s="65"/>
    </row>
    <row r="74">
      <c r="A74" s="64"/>
      <c r="D74" s="65"/>
    </row>
    <row r="75">
      <c r="A75" s="64"/>
      <c r="D75" s="65"/>
    </row>
    <row r="76">
      <c r="A76" s="64"/>
      <c r="D76" s="65"/>
    </row>
    <row r="77">
      <c r="A77" s="64"/>
      <c r="D77" s="65"/>
    </row>
    <row r="78">
      <c r="A78" s="64"/>
      <c r="D78" s="65"/>
    </row>
    <row r="79">
      <c r="A79" s="64"/>
      <c r="D79" s="65"/>
    </row>
    <row r="80">
      <c r="A80" s="64"/>
      <c r="D80" s="65"/>
    </row>
    <row r="81">
      <c r="A81" s="64"/>
      <c r="D81" s="65"/>
    </row>
    <row r="82">
      <c r="A82" s="64"/>
      <c r="D82" s="65"/>
    </row>
    <row r="83">
      <c r="A83" s="64"/>
      <c r="D83" s="65"/>
    </row>
    <row r="84">
      <c r="A84" s="64"/>
      <c r="D84" s="65"/>
    </row>
    <row r="85">
      <c r="A85" s="64"/>
      <c r="D85" s="65"/>
    </row>
    <row r="86">
      <c r="A86" s="64"/>
      <c r="D86" s="65"/>
    </row>
    <row r="87">
      <c r="A87" s="64"/>
      <c r="D87" s="65"/>
    </row>
    <row r="88">
      <c r="A88" s="64"/>
      <c r="D88" s="65"/>
    </row>
    <row r="89">
      <c r="A89" s="64"/>
      <c r="D89" s="65"/>
    </row>
    <row r="90">
      <c r="A90" s="64"/>
      <c r="D90" s="65"/>
    </row>
    <row r="91">
      <c r="A91" s="64"/>
      <c r="D91" s="65"/>
    </row>
    <row r="92">
      <c r="A92" s="64"/>
      <c r="D92" s="65"/>
    </row>
    <row r="93">
      <c r="A93" s="64"/>
      <c r="D93" s="65"/>
    </row>
    <row r="94">
      <c r="A94" s="64"/>
      <c r="D94" s="65"/>
    </row>
    <row r="95">
      <c r="A95" s="64"/>
      <c r="D95" s="65"/>
    </row>
    <row r="96">
      <c r="A96" s="64"/>
      <c r="D96" s="65"/>
    </row>
    <row r="97">
      <c r="A97" s="64"/>
      <c r="D97" s="65"/>
    </row>
    <row r="98">
      <c r="A98" s="64"/>
      <c r="D98" s="65"/>
    </row>
    <row r="99">
      <c r="A99" s="64"/>
      <c r="D99" s="65"/>
    </row>
    <row r="100">
      <c r="A100" s="64"/>
      <c r="D100" s="65"/>
    </row>
    <row r="101">
      <c r="A101" s="64"/>
      <c r="D101" s="65"/>
    </row>
    <row r="102">
      <c r="A102" s="64"/>
      <c r="D102" s="65"/>
    </row>
    <row r="103">
      <c r="A103" s="64"/>
      <c r="D103" s="65"/>
    </row>
    <row r="104">
      <c r="A104" s="64"/>
      <c r="D104" s="65"/>
    </row>
    <row r="105">
      <c r="A105" s="64"/>
      <c r="D105" s="65"/>
    </row>
    <row r="106">
      <c r="A106" s="64"/>
      <c r="D106" s="65"/>
    </row>
    <row r="107">
      <c r="A107" s="64"/>
      <c r="D107" s="65"/>
    </row>
    <row r="108">
      <c r="A108" s="64"/>
      <c r="D108" s="65"/>
    </row>
    <row r="109">
      <c r="A109" s="64"/>
      <c r="D109" s="65"/>
    </row>
    <row r="110">
      <c r="A110" s="64"/>
      <c r="D110" s="65"/>
    </row>
    <row r="111">
      <c r="A111" s="64"/>
      <c r="D111" s="65"/>
    </row>
    <row r="112">
      <c r="A112" s="64"/>
      <c r="D112" s="65"/>
    </row>
    <row r="113">
      <c r="A113" s="64"/>
      <c r="D113" s="65"/>
    </row>
    <row r="114">
      <c r="A114" s="64"/>
      <c r="D114" s="65"/>
    </row>
    <row r="115">
      <c r="A115" s="64"/>
      <c r="D115" s="65"/>
    </row>
    <row r="116">
      <c r="A116" s="64"/>
      <c r="D116" s="65"/>
    </row>
    <row r="117">
      <c r="A117" s="64"/>
      <c r="D117" s="65"/>
    </row>
    <row r="118">
      <c r="A118" s="64"/>
      <c r="D118" s="65"/>
    </row>
    <row r="119">
      <c r="A119" s="64"/>
      <c r="D119" s="65"/>
    </row>
    <row r="120">
      <c r="A120" s="64"/>
      <c r="D120" s="65"/>
    </row>
    <row r="121">
      <c r="A121" s="64"/>
      <c r="D121" s="65"/>
    </row>
    <row r="122">
      <c r="A122" s="64"/>
      <c r="D122" s="65"/>
    </row>
    <row r="123">
      <c r="A123" s="64"/>
      <c r="D123" s="65"/>
    </row>
    <row r="124">
      <c r="A124" s="64"/>
      <c r="D124" s="65"/>
    </row>
    <row r="125">
      <c r="A125" s="64"/>
      <c r="D125" s="65"/>
    </row>
    <row r="126">
      <c r="A126" s="64"/>
      <c r="D126" s="65"/>
    </row>
    <row r="127">
      <c r="A127" s="64"/>
      <c r="D127" s="65"/>
    </row>
    <row r="128">
      <c r="A128" s="64"/>
      <c r="D128" s="65"/>
    </row>
    <row r="129">
      <c r="A129" s="64"/>
      <c r="D129" s="65"/>
    </row>
    <row r="130">
      <c r="A130" s="64"/>
      <c r="D130" s="65"/>
    </row>
    <row r="131">
      <c r="A131" s="64"/>
      <c r="D131" s="65"/>
    </row>
    <row r="132">
      <c r="A132" s="64"/>
      <c r="D132" s="65"/>
    </row>
    <row r="133">
      <c r="A133" s="64"/>
      <c r="D133" s="65"/>
    </row>
    <row r="134">
      <c r="A134" s="64"/>
      <c r="D134" s="65"/>
    </row>
    <row r="135">
      <c r="A135" s="64"/>
      <c r="D135" s="65"/>
    </row>
    <row r="136">
      <c r="A136" s="64"/>
      <c r="D136" s="65"/>
    </row>
    <row r="137">
      <c r="A137" s="64"/>
      <c r="D137" s="65"/>
    </row>
    <row r="138">
      <c r="A138" s="64"/>
      <c r="D138" s="65"/>
    </row>
    <row r="139">
      <c r="A139" s="64"/>
      <c r="D139" s="65"/>
    </row>
    <row r="140">
      <c r="A140" s="64"/>
      <c r="D140" s="65"/>
    </row>
    <row r="141">
      <c r="A141" s="64"/>
      <c r="D141" s="65"/>
    </row>
    <row r="142">
      <c r="A142" s="64"/>
      <c r="D142" s="65"/>
    </row>
    <row r="143">
      <c r="A143" s="64"/>
      <c r="D143" s="65"/>
    </row>
    <row r="144">
      <c r="A144" s="64"/>
      <c r="D144" s="65"/>
    </row>
    <row r="145">
      <c r="A145" s="64"/>
      <c r="D145" s="65"/>
    </row>
    <row r="146">
      <c r="A146" s="64"/>
      <c r="D146" s="65"/>
    </row>
    <row r="147">
      <c r="A147" s="64"/>
      <c r="D147" s="65"/>
    </row>
    <row r="148">
      <c r="A148" s="64"/>
      <c r="D148" s="65"/>
    </row>
    <row r="149">
      <c r="A149" s="64"/>
      <c r="D149" s="65"/>
    </row>
    <row r="150">
      <c r="A150" s="64"/>
      <c r="D150" s="65"/>
    </row>
    <row r="151">
      <c r="A151" s="64"/>
      <c r="D151" s="65"/>
    </row>
    <row r="152">
      <c r="A152" s="64"/>
      <c r="D152" s="65"/>
    </row>
    <row r="153">
      <c r="A153" s="64"/>
      <c r="D153" s="65"/>
    </row>
    <row r="154">
      <c r="A154" s="64"/>
      <c r="D154" s="65"/>
    </row>
    <row r="155">
      <c r="A155" s="64"/>
      <c r="D155" s="65"/>
    </row>
    <row r="156">
      <c r="A156" s="64"/>
      <c r="D156" s="65"/>
    </row>
    <row r="157">
      <c r="A157" s="64"/>
      <c r="D157" s="65"/>
    </row>
    <row r="158">
      <c r="A158" s="64"/>
      <c r="D158" s="65"/>
    </row>
    <row r="159">
      <c r="A159" s="64"/>
      <c r="D159" s="65"/>
    </row>
    <row r="160">
      <c r="A160" s="64"/>
      <c r="D160" s="65"/>
    </row>
    <row r="161">
      <c r="A161" s="64"/>
      <c r="D161" s="65"/>
    </row>
    <row r="162">
      <c r="A162" s="64"/>
      <c r="D162" s="65"/>
    </row>
    <row r="163">
      <c r="A163" s="64"/>
      <c r="D163" s="65"/>
    </row>
    <row r="164">
      <c r="A164" s="64"/>
      <c r="D164" s="65"/>
    </row>
    <row r="165">
      <c r="A165" s="64"/>
      <c r="D165" s="65"/>
    </row>
    <row r="166">
      <c r="A166" s="64"/>
      <c r="D166" s="65"/>
    </row>
    <row r="167">
      <c r="A167" s="64"/>
      <c r="D167" s="65"/>
    </row>
    <row r="168">
      <c r="A168" s="64"/>
      <c r="D168" s="65"/>
    </row>
    <row r="169">
      <c r="A169" s="64"/>
      <c r="D169" s="65"/>
    </row>
    <row r="170">
      <c r="A170" s="64"/>
      <c r="D170" s="65"/>
    </row>
    <row r="171">
      <c r="A171" s="64"/>
      <c r="D171" s="65"/>
    </row>
    <row r="172">
      <c r="A172" s="64"/>
      <c r="D172" s="65"/>
    </row>
    <row r="173">
      <c r="A173" s="64"/>
      <c r="D173" s="65"/>
    </row>
    <row r="174">
      <c r="A174" s="64"/>
      <c r="D174" s="65"/>
    </row>
    <row r="175">
      <c r="A175" s="64"/>
      <c r="D175" s="65"/>
    </row>
    <row r="176">
      <c r="A176" s="64"/>
      <c r="D176" s="65"/>
    </row>
    <row r="177">
      <c r="A177" s="64"/>
      <c r="D177" s="65"/>
    </row>
    <row r="178">
      <c r="A178" s="64"/>
      <c r="D178" s="65"/>
    </row>
    <row r="179">
      <c r="A179" s="64"/>
      <c r="D179" s="65"/>
    </row>
    <row r="180">
      <c r="A180" s="64"/>
      <c r="D180" s="65"/>
    </row>
    <row r="181">
      <c r="A181" s="64"/>
      <c r="D181" s="65"/>
    </row>
    <row r="182">
      <c r="A182" s="64"/>
      <c r="D182" s="65"/>
    </row>
    <row r="183">
      <c r="A183" s="64"/>
      <c r="D183" s="65"/>
    </row>
    <row r="184">
      <c r="A184" s="64"/>
      <c r="D184" s="65"/>
    </row>
    <row r="185">
      <c r="A185" s="64"/>
      <c r="D185" s="65"/>
    </row>
    <row r="186">
      <c r="A186" s="64"/>
      <c r="D186" s="65"/>
    </row>
    <row r="187">
      <c r="A187" s="64"/>
      <c r="D187" s="65"/>
    </row>
    <row r="188">
      <c r="A188" s="64"/>
      <c r="D188" s="65"/>
    </row>
    <row r="189">
      <c r="A189" s="64"/>
      <c r="D189" s="65"/>
    </row>
    <row r="190">
      <c r="A190" s="64"/>
      <c r="D190" s="65"/>
    </row>
    <row r="191">
      <c r="A191" s="64"/>
      <c r="D191" s="65"/>
    </row>
    <row r="192">
      <c r="A192" s="64"/>
      <c r="D192" s="65"/>
    </row>
    <row r="193">
      <c r="A193" s="64"/>
      <c r="D193" s="65"/>
    </row>
    <row r="194">
      <c r="A194" s="64"/>
      <c r="D194" s="65"/>
    </row>
    <row r="195">
      <c r="A195" s="64"/>
      <c r="D195" s="65"/>
    </row>
    <row r="196">
      <c r="A196" s="64"/>
      <c r="D196" s="65"/>
    </row>
    <row r="197">
      <c r="A197" s="64"/>
      <c r="D197" s="65"/>
    </row>
    <row r="198">
      <c r="A198" s="64"/>
      <c r="D198" s="65"/>
    </row>
    <row r="199">
      <c r="A199" s="64"/>
      <c r="D199" s="65"/>
    </row>
    <row r="200">
      <c r="A200" s="64"/>
      <c r="D200" s="65"/>
    </row>
    <row r="201">
      <c r="A201" s="64"/>
      <c r="D201" s="65"/>
    </row>
    <row r="202">
      <c r="A202" s="64"/>
      <c r="D202" s="65"/>
    </row>
    <row r="203">
      <c r="A203" s="64"/>
      <c r="D203" s="65"/>
    </row>
    <row r="204">
      <c r="A204" s="64"/>
      <c r="D204" s="65"/>
    </row>
    <row r="205">
      <c r="A205" s="64"/>
      <c r="D205" s="65"/>
    </row>
    <row r="206">
      <c r="A206" s="64"/>
      <c r="D206" s="65"/>
    </row>
    <row r="207">
      <c r="A207" s="64"/>
      <c r="D207" s="65"/>
    </row>
    <row r="208">
      <c r="A208" s="64"/>
      <c r="D208" s="65"/>
    </row>
    <row r="209">
      <c r="A209" s="64"/>
      <c r="D209" s="65"/>
    </row>
    <row r="210">
      <c r="A210" s="64"/>
      <c r="D210" s="65"/>
    </row>
    <row r="211">
      <c r="A211" s="64"/>
      <c r="D211" s="65"/>
    </row>
    <row r="212">
      <c r="A212" s="64"/>
      <c r="D212" s="65"/>
    </row>
    <row r="213">
      <c r="A213" s="64"/>
      <c r="D213" s="65"/>
    </row>
    <row r="214">
      <c r="A214" s="64"/>
      <c r="D214" s="65"/>
    </row>
    <row r="215">
      <c r="A215" s="64"/>
      <c r="D215" s="65"/>
    </row>
    <row r="216">
      <c r="A216" s="64"/>
      <c r="D216" s="65"/>
    </row>
    <row r="217">
      <c r="A217" s="64"/>
      <c r="D217" s="65"/>
    </row>
    <row r="218">
      <c r="A218" s="64"/>
      <c r="D218" s="65"/>
    </row>
    <row r="219">
      <c r="A219" s="64"/>
      <c r="D219" s="65"/>
    </row>
    <row r="220">
      <c r="A220" s="64"/>
      <c r="D220" s="65"/>
    </row>
    <row r="221">
      <c r="A221" s="64"/>
      <c r="D221" s="65"/>
    </row>
    <row r="222">
      <c r="A222" s="64"/>
      <c r="D222" s="65"/>
    </row>
    <row r="223">
      <c r="A223" s="64"/>
      <c r="D223" s="65"/>
    </row>
    <row r="224">
      <c r="A224" s="64"/>
      <c r="D224" s="65"/>
    </row>
    <row r="225">
      <c r="A225" s="64"/>
      <c r="D225" s="65"/>
    </row>
    <row r="226">
      <c r="A226" s="64"/>
      <c r="D226" s="65"/>
    </row>
    <row r="227">
      <c r="A227" s="64"/>
      <c r="D227" s="65"/>
    </row>
    <row r="228">
      <c r="A228" s="64"/>
      <c r="D228" s="65"/>
    </row>
    <row r="229">
      <c r="A229" s="64"/>
      <c r="D229" s="65"/>
    </row>
    <row r="230">
      <c r="A230" s="64"/>
      <c r="D230" s="65"/>
    </row>
    <row r="231">
      <c r="A231" s="64"/>
      <c r="D231" s="65"/>
    </row>
    <row r="232">
      <c r="A232" s="64"/>
      <c r="D232" s="65"/>
    </row>
    <row r="233">
      <c r="A233" s="64"/>
      <c r="D233" s="65"/>
    </row>
    <row r="234">
      <c r="A234" s="64"/>
      <c r="D234" s="65"/>
    </row>
    <row r="235">
      <c r="A235" s="64"/>
      <c r="D235" s="65"/>
    </row>
    <row r="236">
      <c r="A236" s="64"/>
      <c r="D236" s="65"/>
    </row>
    <row r="237">
      <c r="A237" s="64"/>
      <c r="D237" s="65"/>
    </row>
    <row r="238">
      <c r="A238" s="64"/>
      <c r="D238" s="65"/>
    </row>
    <row r="239">
      <c r="A239" s="64"/>
      <c r="D239" s="65"/>
    </row>
    <row r="240">
      <c r="A240" s="64"/>
      <c r="D240" s="65"/>
    </row>
    <row r="241">
      <c r="A241" s="64"/>
      <c r="D241" s="65"/>
    </row>
    <row r="242">
      <c r="A242" s="64"/>
      <c r="D242" s="65"/>
    </row>
    <row r="243">
      <c r="A243" s="64"/>
      <c r="D243" s="65"/>
    </row>
    <row r="244">
      <c r="A244" s="64"/>
      <c r="D244" s="65"/>
    </row>
    <row r="245">
      <c r="A245" s="64"/>
      <c r="D245" s="65"/>
    </row>
    <row r="246">
      <c r="A246" s="64"/>
      <c r="D246" s="65"/>
    </row>
    <row r="247">
      <c r="A247" s="64"/>
      <c r="D247" s="65"/>
    </row>
    <row r="248">
      <c r="A248" s="64"/>
      <c r="D248" s="65"/>
    </row>
    <row r="249">
      <c r="A249" s="64"/>
      <c r="D249" s="65"/>
    </row>
    <row r="250">
      <c r="A250" s="64"/>
      <c r="D250" s="65"/>
    </row>
    <row r="251">
      <c r="A251" s="64"/>
      <c r="D251" s="65"/>
    </row>
    <row r="252">
      <c r="A252" s="64"/>
      <c r="D252" s="65"/>
    </row>
    <row r="253">
      <c r="A253" s="64"/>
      <c r="D253" s="65"/>
    </row>
    <row r="254">
      <c r="A254" s="64"/>
      <c r="D254" s="65"/>
    </row>
    <row r="255">
      <c r="A255" s="64"/>
      <c r="D255" s="65"/>
    </row>
    <row r="256">
      <c r="A256" s="64"/>
      <c r="D256" s="65"/>
    </row>
    <row r="257">
      <c r="A257" s="64"/>
      <c r="D257" s="65"/>
    </row>
    <row r="258">
      <c r="A258" s="64"/>
      <c r="D258" s="65"/>
    </row>
    <row r="259">
      <c r="A259" s="64"/>
      <c r="D259" s="65"/>
    </row>
    <row r="260">
      <c r="A260" s="64"/>
      <c r="D260" s="65"/>
    </row>
    <row r="261">
      <c r="A261" s="64"/>
      <c r="D261" s="65"/>
    </row>
    <row r="262">
      <c r="A262" s="64"/>
      <c r="D262" s="65"/>
    </row>
    <row r="263">
      <c r="A263" s="64"/>
      <c r="D263" s="65"/>
    </row>
    <row r="264">
      <c r="A264" s="64"/>
      <c r="D264" s="65"/>
    </row>
    <row r="265">
      <c r="A265" s="64"/>
      <c r="D265" s="65"/>
    </row>
    <row r="266">
      <c r="A266" s="64"/>
      <c r="D266" s="65"/>
    </row>
    <row r="267">
      <c r="A267" s="64"/>
      <c r="D267" s="65"/>
    </row>
    <row r="268">
      <c r="A268" s="64"/>
      <c r="D268" s="65"/>
    </row>
    <row r="269">
      <c r="A269" s="64"/>
      <c r="D269" s="65"/>
    </row>
    <row r="270">
      <c r="A270" s="64"/>
      <c r="D270" s="65"/>
    </row>
    <row r="271">
      <c r="A271" s="64"/>
      <c r="D271" s="65"/>
    </row>
    <row r="272">
      <c r="A272" s="64"/>
      <c r="D272" s="65"/>
    </row>
    <row r="273">
      <c r="A273" s="64"/>
      <c r="D273" s="65"/>
    </row>
    <row r="274">
      <c r="A274" s="64"/>
      <c r="D274" s="65"/>
    </row>
    <row r="275">
      <c r="A275" s="64"/>
      <c r="D275" s="65"/>
    </row>
    <row r="276">
      <c r="A276" s="64"/>
      <c r="D276" s="65"/>
    </row>
    <row r="277">
      <c r="A277" s="64"/>
      <c r="D277" s="65"/>
    </row>
    <row r="278">
      <c r="A278" s="64"/>
      <c r="D278" s="65"/>
    </row>
    <row r="279">
      <c r="A279" s="64"/>
      <c r="D279" s="65"/>
    </row>
    <row r="280">
      <c r="A280" s="64"/>
      <c r="D280" s="65"/>
    </row>
    <row r="281">
      <c r="A281" s="64"/>
      <c r="D281" s="65"/>
    </row>
    <row r="282">
      <c r="A282" s="64"/>
      <c r="D282" s="65"/>
    </row>
    <row r="283">
      <c r="A283" s="64"/>
      <c r="D283" s="65"/>
    </row>
    <row r="284">
      <c r="A284" s="64"/>
      <c r="D284" s="65"/>
    </row>
    <row r="285">
      <c r="A285" s="64"/>
      <c r="D285" s="65"/>
    </row>
    <row r="286">
      <c r="A286" s="64"/>
      <c r="D286" s="65"/>
    </row>
    <row r="287">
      <c r="A287" s="64"/>
      <c r="D287" s="65"/>
    </row>
    <row r="288">
      <c r="A288" s="64"/>
      <c r="D288" s="65"/>
    </row>
    <row r="289">
      <c r="A289" s="64"/>
      <c r="D289" s="65"/>
    </row>
    <row r="290">
      <c r="A290" s="64"/>
      <c r="D290" s="65"/>
    </row>
    <row r="291">
      <c r="A291" s="64"/>
      <c r="D291" s="65"/>
    </row>
    <row r="292">
      <c r="A292" s="64"/>
      <c r="D292" s="65"/>
    </row>
    <row r="293">
      <c r="A293" s="64"/>
      <c r="D293" s="65"/>
    </row>
    <row r="294">
      <c r="A294" s="64"/>
      <c r="D294" s="65"/>
    </row>
    <row r="295">
      <c r="A295" s="64"/>
      <c r="D295" s="65"/>
    </row>
    <row r="296">
      <c r="A296" s="64"/>
      <c r="D296" s="65"/>
    </row>
    <row r="297">
      <c r="A297" s="64"/>
      <c r="D297" s="65"/>
    </row>
    <row r="298">
      <c r="A298" s="64"/>
      <c r="D298" s="65"/>
    </row>
    <row r="299">
      <c r="A299" s="64"/>
      <c r="D299" s="65"/>
    </row>
    <row r="300">
      <c r="A300" s="64"/>
      <c r="D300" s="65"/>
    </row>
    <row r="301">
      <c r="A301" s="64"/>
      <c r="D301" s="65"/>
    </row>
    <row r="302">
      <c r="A302" s="64"/>
      <c r="D302" s="65"/>
    </row>
    <row r="303">
      <c r="A303" s="64"/>
      <c r="D303" s="65"/>
    </row>
    <row r="304">
      <c r="A304" s="64"/>
      <c r="D304" s="65"/>
    </row>
    <row r="305">
      <c r="A305" s="64"/>
      <c r="D305" s="65"/>
    </row>
    <row r="306">
      <c r="A306" s="64"/>
      <c r="D306" s="65"/>
    </row>
    <row r="307">
      <c r="A307" s="64"/>
      <c r="D307" s="65"/>
    </row>
    <row r="308">
      <c r="A308" s="64"/>
      <c r="D308" s="65"/>
    </row>
    <row r="309">
      <c r="A309" s="64"/>
      <c r="D309" s="65"/>
    </row>
    <row r="310">
      <c r="A310" s="64"/>
      <c r="D310" s="65"/>
    </row>
    <row r="311">
      <c r="A311" s="64"/>
      <c r="D311" s="65"/>
    </row>
    <row r="312">
      <c r="A312" s="64"/>
      <c r="D312" s="65"/>
    </row>
    <row r="313">
      <c r="A313" s="64"/>
      <c r="D313" s="65"/>
    </row>
    <row r="314">
      <c r="A314" s="64"/>
      <c r="D314" s="65"/>
    </row>
    <row r="315">
      <c r="A315" s="64"/>
      <c r="D315" s="65"/>
    </row>
    <row r="316">
      <c r="A316" s="64"/>
      <c r="D316" s="65"/>
    </row>
    <row r="317">
      <c r="A317" s="64"/>
      <c r="D317" s="65"/>
    </row>
    <row r="318">
      <c r="A318" s="64"/>
      <c r="D318" s="65"/>
    </row>
    <row r="319">
      <c r="A319" s="64"/>
      <c r="D319" s="65"/>
    </row>
    <row r="320">
      <c r="A320" s="64"/>
      <c r="D320" s="65"/>
    </row>
    <row r="321">
      <c r="A321" s="64"/>
      <c r="D321" s="65"/>
    </row>
    <row r="322">
      <c r="A322" s="64"/>
      <c r="D322" s="65"/>
    </row>
    <row r="323">
      <c r="A323" s="64"/>
      <c r="D323" s="65"/>
    </row>
    <row r="324">
      <c r="A324" s="64"/>
      <c r="D324" s="65"/>
    </row>
    <row r="325">
      <c r="A325" s="64"/>
      <c r="D325" s="65"/>
    </row>
    <row r="326">
      <c r="A326" s="64"/>
      <c r="D326" s="65"/>
    </row>
    <row r="327">
      <c r="A327" s="64"/>
      <c r="D327" s="65"/>
    </row>
    <row r="328">
      <c r="A328" s="64"/>
      <c r="D328" s="65"/>
    </row>
    <row r="329">
      <c r="A329" s="64"/>
      <c r="D329" s="65"/>
    </row>
    <row r="330">
      <c r="A330" s="64"/>
      <c r="D330" s="65"/>
    </row>
    <row r="331">
      <c r="A331" s="64"/>
      <c r="D331" s="65"/>
    </row>
    <row r="332">
      <c r="A332" s="64"/>
      <c r="D332" s="65"/>
    </row>
    <row r="333">
      <c r="A333" s="64"/>
      <c r="D333" s="65"/>
    </row>
    <row r="334">
      <c r="A334" s="64"/>
      <c r="D334" s="65"/>
    </row>
    <row r="335">
      <c r="A335" s="64"/>
      <c r="D335" s="65"/>
    </row>
    <row r="336">
      <c r="A336" s="64"/>
      <c r="D336" s="65"/>
    </row>
    <row r="337">
      <c r="A337" s="64"/>
      <c r="D337" s="65"/>
    </row>
    <row r="338">
      <c r="A338" s="64"/>
      <c r="D338" s="65"/>
    </row>
    <row r="339">
      <c r="A339" s="64"/>
      <c r="D339" s="65"/>
    </row>
    <row r="340">
      <c r="A340" s="64"/>
      <c r="D340" s="65"/>
    </row>
    <row r="341">
      <c r="A341" s="64"/>
      <c r="D341" s="65"/>
    </row>
    <row r="342">
      <c r="A342" s="64"/>
      <c r="D342" s="65"/>
    </row>
    <row r="343">
      <c r="A343" s="64"/>
      <c r="D343" s="65"/>
    </row>
    <row r="344">
      <c r="A344" s="64"/>
      <c r="D344" s="65"/>
    </row>
    <row r="345">
      <c r="A345" s="64"/>
      <c r="D345" s="65"/>
    </row>
    <row r="346">
      <c r="A346" s="64"/>
      <c r="D346" s="65"/>
    </row>
    <row r="347">
      <c r="A347" s="64"/>
      <c r="D347" s="65"/>
    </row>
    <row r="348">
      <c r="A348" s="64"/>
      <c r="D348" s="65"/>
    </row>
    <row r="349">
      <c r="A349" s="64"/>
      <c r="D349" s="65"/>
    </row>
    <row r="350">
      <c r="A350" s="64"/>
      <c r="D350" s="65"/>
    </row>
    <row r="351">
      <c r="A351" s="64"/>
      <c r="D351" s="65"/>
    </row>
    <row r="352">
      <c r="A352" s="64"/>
      <c r="D352" s="65"/>
    </row>
    <row r="353">
      <c r="A353" s="64"/>
      <c r="D353" s="65"/>
    </row>
    <row r="354">
      <c r="A354" s="64"/>
      <c r="D354" s="65"/>
    </row>
    <row r="355">
      <c r="A355" s="64"/>
      <c r="D355" s="65"/>
    </row>
    <row r="356">
      <c r="A356" s="64"/>
      <c r="D356" s="65"/>
    </row>
    <row r="357">
      <c r="A357" s="64"/>
      <c r="D357" s="65"/>
    </row>
    <row r="358">
      <c r="A358" s="64"/>
      <c r="D358" s="65"/>
    </row>
    <row r="359">
      <c r="A359" s="64"/>
      <c r="D359" s="65"/>
    </row>
    <row r="360">
      <c r="A360" s="64"/>
      <c r="D360" s="65"/>
    </row>
    <row r="361">
      <c r="A361" s="64"/>
      <c r="D361" s="65"/>
    </row>
    <row r="362">
      <c r="A362" s="64"/>
      <c r="D362" s="65"/>
    </row>
    <row r="363">
      <c r="A363" s="64"/>
      <c r="D363" s="65"/>
    </row>
    <row r="364">
      <c r="A364" s="64"/>
      <c r="D364" s="65"/>
    </row>
    <row r="365">
      <c r="A365" s="64"/>
      <c r="D365" s="65"/>
    </row>
    <row r="366">
      <c r="A366" s="64"/>
      <c r="D366" s="65"/>
    </row>
    <row r="367">
      <c r="A367" s="64"/>
      <c r="D367" s="65"/>
    </row>
    <row r="368">
      <c r="A368" s="64"/>
      <c r="D368" s="65"/>
    </row>
    <row r="369">
      <c r="A369" s="64"/>
      <c r="D369" s="65"/>
    </row>
    <row r="370">
      <c r="A370" s="64"/>
      <c r="D370" s="65"/>
    </row>
    <row r="371">
      <c r="A371" s="64"/>
      <c r="D371" s="65"/>
    </row>
    <row r="372">
      <c r="A372" s="64"/>
      <c r="D372" s="65"/>
    </row>
    <row r="373">
      <c r="A373" s="64"/>
      <c r="D373" s="65"/>
    </row>
    <row r="374">
      <c r="A374" s="64"/>
      <c r="D374" s="65"/>
    </row>
    <row r="375">
      <c r="A375" s="64"/>
      <c r="D375" s="65"/>
    </row>
    <row r="376">
      <c r="A376" s="64"/>
      <c r="D376" s="65"/>
    </row>
    <row r="377">
      <c r="A377" s="64"/>
      <c r="D377" s="65"/>
    </row>
    <row r="378">
      <c r="A378" s="64"/>
      <c r="D378" s="65"/>
    </row>
    <row r="379">
      <c r="A379" s="64"/>
      <c r="D379" s="65"/>
    </row>
    <row r="380">
      <c r="A380" s="64"/>
      <c r="D380" s="65"/>
    </row>
    <row r="381">
      <c r="A381" s="64"/>
      <c r="D381" s="65"/>
    </row>
    <row r="382">
      <c r="A382" s="64"/>
      <c r="D382" s="65"/>
    </row>
    <row r="383">
      <c r="A383" s="64"/>
      <c r="D383" s="65"/>
    </row>
    <row r="384">
      <c r="A384" s="64"/>
      <c r="D384" s="65"/>
    </row>
    <row r="385">
      <c r="A385" s="64"/>
      <c r="D385" s="65"/>
    </row>
    <row r="386">
      <c r="A386" s="64"/>
      <c r="D386" s="65"/>
    </row>
    <row r="387">
      <c r="A387" s="64"/>
      <c r="D387" s="65"/>
    </row>
    <row r="388">
      <c r="A388" s="64"/>
      <c r="D388" s="65"/>
    </row>
    <row r="389">
      <c r="A389" s="64"/>
      <c r="D389" s="65"/>
    </row>
    <row r="390">
      <c r="A390" s="64"/>
      <c r="D390" s="65"/>
    </row>
    <row r="391">
      <c r="A391" s="64"/>
      <c r="D391" s="65"/>
    </row>
    <row r="392">
      <c r="A392" s="64"/>
      <c r="D392" s="65"/>
    </row>
    <row r="393">
      <c r="A393" s="64"/>
      <c r="D393" s="65"/>
    </row>
    <row r="394">
      <c r="A394" s="64"/>
      <c r="D394" s="65"/>
    </row>
    <row r="395">
      <c r="A395" s="64"/>
      <c r="D395" s="65"/>
    </row>
    <row r="396">
      <c r="A396" s="64"/>
      <c r="D396" s="65"/>
    </row>
    <row r="397">
      <c r="A397" s="64"/>
      <c r="D397" s="65"/>
    </row>
    <row r="398">
      <c r="A398" s="64"/>
      <c r="D398" s="65"/>
    </row>
    <row r="399">
      <c r="A399" s="64"/>
      <c r="D399" s="65"/>
    </row>
    <row r="400">
      <c r="A400" s="64"/>
      <c r="D400" s="65"/>
    </row>
    <row r="401">
      <c r="A401" s="64"/>
      <c r="D401" s="65"/>
    </row>
    <row r="402">
      <c r="A402" s="64"/>
      <c r="D402" s="65"/>
    </row>
    <row r="403">
      <c r="A403" s="64"/>
      <c r="D403" s="65"/>
    </row>
    <row r="404">
      <c r="A404" s="64"/>
      <c r="D404" s="65"/>
    </row>
    <row r="405">
      <c r="A405" s="64"/>
      <c r="D405" s="65"/>
    </row>
    <row r="406">
      <c r="A406" s="64"/>
      <c r="D406" s="65"/>
    </row>
    <row r="407">
      <c r="A407" s="64"/>
      <c r="D407" s="65"/>
    </row>
    <row r="408">
      <c r="A408" s="64"/>
      <c r="D408" s="65"/>
    </row>
    <row r="409">
      <c r="A409" s="64"/>
      <c r="D409" s="65"/>
    </row>
    <row r="410">
      <c r="A410" s="64"/>
      <c r="D410" s="65"/>
    </row>
    <row r="411">
      <c r="A411" s="64"/>
      <c r="D411" s="65"/>
    </row>
    <row r="412">
      <c r="A412" s="64"/>
      <c r="D412" s="65"/>
    </row>
    <row r="413">
      <c r="A413" s="64"/>
      <c r="D413" s="65"/>
    </row>
    <row r="414">
      <c r="A414" s="64"/>
      <c r="D414" s="65"/>
    </row>
    <row r="415">
      <c r="A415" s="64"/>
      <c r="D415" s="65"/>
    </row>
    <row r="416">
      <c r="A416" s="64"/>
      <c r="D416" s="65"/>
    </row>
    <row r="417">
      <c r="A417" s="64"/>
      <c r="D417" s="65"/>
    </row>
    <row r="418">
      <c r="A418" s="64"/>
      <c r="D418" s="65"/>
    </row>
    <row r="419">
      <c r="A419" s="64"/>
      <c r="D419" s="65"/>
    </row>
    <row r="420">
      <c r="A420" s="64"/>
      <c r="D420" s="65"/>
    </row>
    <row r="421">
      <c r="A421" s="64"/>
      <c r="D421" s="65"/>
    </row>
    <row r="422">
      <c r="A422" s="64"/>
      <c r="D422" s="65"/>
    </row>
    <row r="423">
      <c r="A423" s="64"/>
      <c r="D423" s="65"/>
    </row>
    <row r="424">
      <c r="A424" s="64"/>
      <c r="D424" s="65"/>
    </row>
    <row r="425">
      <c r="A425" s="64"/>
      <c r="D425" s="65"/>
    </row>
    <row r="426">
      <c r="A426" s="64"/>
      <c r="D426" s="65"/>
    </row>
    <row r="427">
      <c r="A427" s="64"/>
      <c r="D427" s="65"/>
    </row>
    <row r="428">
      <c r="A428" s="64"/>
      <c r="D428" s="65"/>
    </row>
    <row r="429">
      <c r="A429" s="64"/>
      <c r="D429" s="65"/>
    </row>
    <row r="430">
      <c r="A430" s="64"/>
      <c r="D430" s="65"/>
    </row>
    <row r="431">
      <c r="A431" s="64"/>
      <c r="D431" s="65"/>
    </row>
    <row r="432">
      <c r="A432" s="64"/>
      <c r="D432" s="65"/>
    </row>
    <row r="433">
      <c r="A433" s="64"/>
      <c r="D433" s="65"/>
    </row>
    <row r="434">
      <c r="A434" s="64"/>
      <c r="D434" s="65"/>
    </row>
    <row r="435">
      <c r="A435" s="64"/>
      <c r="D435" s="65"/>
    </row>
    <row r="436">
      <c r="A436" s="64"/>
      <c r="D436" s="65"/>
    </row>
    <row r="437">
      <c r="A437" s="64"/>
      <c r="D437" s="65"/>
    </row>
    <row r="438">
      <c r="A438" s="64"/>
      <c r="D438" s="65"/>
    </row>
    <row r="439">
      <c r="A439" s="64"/>
      <c r="D439" s="65"/>
    </row>
    <row r="440">
      <c r="A440" s="64"/>
      <c r="D440" s="65"/>
    </row>
    <row r="441">
      <c r="A441" s="64"/>
      <c r="D441" s="65"/>
    </row>
    <row r="442">
      <c r="A442" s="64"/>
      <c r="D442" s="65"/>
    </row>
    <row r="443">
      <c r="A443" s="64"/>
      <c r="D443" s="65"/>
    </row>
    <row r="444">
      <c r="A444" s="64"/>
      <c r="D444" s="65"/>
    </row>
    <row r="445">
      <c r="A445" s="64"/>
      <c r="D445" s="65"/>
    </row>
    <row r="446">
      <c r="A446" s="64"/>
      <c r="D446" s="65"/>
    </row>
    <row r="447">
      <c r="A447" s="64"/>
      <c r="D447" s="65"/>
    </row>
    <row r="448">
      <c r="A448" s="64"/>
      <c r="D448" s="65"/>
    </row>
    <row r="449">
      <c r="A449" s="64"/>
      <c r="D449" s="65"/>
    </row>
    <row r="450">
      <c r="A450" s="64"/>
      <c r="D450" s="65"/>
    </row>
    <row r="451">
      <c r="A451" s="64"/>
      <c r="D451" s="65"/>
    </row>
    <row r="452">
      <c r="A452" s="64"/>
      <c r="D452" s="65"/>
    </row>
    <row r="453">
      <c r="A453" s="64"/>
      <c r="D453" s="65"/>
    </row>
    <row r="454">
      <c r="A454" s="64"/>
      <c r="D454" s="65"/>
    </row>
    <row r="455">
      <c r="A455" s="64"/>
      <c r="D455" s="65"/>
    </row>
    <row r="456">
      <c r="A456" s="64"/>
      <c r="D456" s="65"/>
    </row>
    <row r="457">
      <c r="A457" s="64"/>
      <c r="D457" s="65"/>
    </row>
    <row r="458">
      <c r="A458" s="64"/>
      <c r="D458" s="65"/>
    </row>
    <row r="459">
      <c r="A459" s="64"/>
      <c r="D459" s="65"/>
    </row>
    <row r="460">
      <c r="A460" s="64"/>
      <c r="D460" s="65"/>
    </row>
    <row r="461">
      <c r="A461" s="64"/>
      <c r="D461" s="65"/>
    </row>
    <row r="462">
      <c r="A462" s="64"/>
      <c r="D462" s="65"/>
    </row>
    <row r="463">
      <c r="A463" s="64"/>
      <c r="D463" s="65"/>
    </row>
    <row r="464">
      <c r="A464" s="64"/>
      <c r="D464" s="65"/>
    </row>
    <row r="465">
      <c r="A465" s="64"/>
      <c r="D465" s="65"/>
    </row>
    <row r="466">
      <c r="A466" s="64"/>
      <c r="D466" s="65"/>
    </row>
    <row r="467">
      <c r="A467" s="64"/>
      <c r="D467" s="65"/>
    </row>
    <row r="468">
      <c r="A468" s="64"/>
      <c r="D468" s="65"/>
    </row>
    <row r="469">
      <c r="A469" s="64"/>
      <c r="D469" s="65"/>
    </row>
    <row r="470">
      <c r="A470" s="64"/>
      <c r="D470" s="65"/>
    </row>
    <row r="471">
      <c r="A471" s="64"/>
      <c r="D471" s="65"/>
    </row>
    <row r="472">
      <c r="A472" s="64"/>
      <c r="D472" s="65"/>
    </row>
    <row r="473">
      <c r="A473" s="64"/>
      <c r="D473" s="65"/>
    </row>
    <row r="474">
      <c r="A474" s="64"/>
      <c r="D474" s="65"/>
    </row>
    <row r="475">
      <c r="A475" s="64"/>
      <c r="D475" s="65"/>
    </row>
    <row r="476">
      <c r="A476" s="64"/>
      <c r="D476" s="65"/>
    </row>
    <row r="477">
      <c r="A477" s="64"/>
      <c r="D477" s="65"/>
    </row>
    <row r="478">
      <c r="A478" s="64"/>
      <c r="D478" s="65"/>
    </row>
    <row r="479">
      <c r="A479" s="64"/>
      <c r="D479" s="65"/>
    </row>
    <row r="480">
      <c r="A480" s="64"/>
      <c r="D480" s="65"/>
    </row>
    <row r="481">
      <c r="A481" s="64"/>
      <c r="D481" s="65"/>
    </row>
    <row r="482">
      <c r="A482" s="64"/>
      <c r="D482" s="65"/>
    </row>
    <row r="483">
      <c r="A483" s="64"/>
      <c r="D483" s="65"/>
    </row>
    <row r="484">
      <c r="A484" s="64"/>
      <c r="D484" s="65"/>
    </row>
    <row r="485">
      <c r="A485" s="64"/>
      <c r="D485" s="65"/>
    </row>
    <row r="486">
      <c r="A486" s="64"/>
      <c r="D486" s="65"/>
    </row>
    <row r="487">
      <c r="A487" s="64"/>
      <c r="D487" s="65"/>
    </row>
    <row r="488">
      <c r="A488" s="64"/>
      <c r="D488" s="65"/>
    </row>
    <row r="489">
      <c r="A489" s="64"/>
      <c r="D489" s="65"/>
    </row>
    <row r="490">
      <c r="A490" s="64"/>
      <c r="D490" s="65"/>
    </row>
    <row r="491">
      <c r="A491" s="64"/>
      <c r="D491" s="65"/>
    </row>
    <row r="492">
      <c r="A492" s="64"/>
      <c r="D492" s="65"/>
    </row>
    <row r="493">
      <c r="A493" s="64"/>
      <c r="D493" s="65"/>
    </row>
    <row r="494">
      <c r="A494" s="64"/>
      <c r="D494" s="65"/>
    </row>
    <row r="495">
      <c r="A495" s="64"/>
      <c r="D495" s="65"/>
    </row>
    <row r="496">
      <c r="A496" s="64"/>
      <c r="D496" s="65"/>
    </row>
    <row r="497">
      <c r="A497" s="64"/>
      <c r="D497" s="65"/>
    </row>
    <row r="498">
      <c r="A498" s="64"/>
      <c r="D498" s="65"/>
    </row>
    <row r="499">
      <c r="A499" s="64"/>
      <c r="D499" s="65"/>
    </row>
    <row r="500">
      <c r="A500" s="64"/>
      <c r="D500" s="65"/>
    </row>
    <row r="501">
      <c r="A501" s="64"/>
      <c r="D501" s="65"/>
    </row>
    <row r="502">
      <c r="A502" s="64"/>
      <c r="D502" s="65"/>
    </row>
    <row r="503">
      <c r="A503" s="64"/>
      <c r="D503" s="65"/>
    </row>
    <row r="504">
      <c r="A504" s="64"/>
      <c r="D504" s="65"/>
    </row>
    <row r="505">
      <c r="A505" s="64"/>
      <c r="D505" s="65"/>
    </row>
    <row r="506">
      <c r="A506" s="64"/>
      <c r="D506" s="65"/>
    </row>
    <row r="507">
      <c r="A507" s="64"/>
      <c r="D507" s="65"/>
    </row>
    <row r="508">
      <c r="A508" s="64"/>
      <c r="D508" s="65"/>
    </row>
    <row r="509">
      <c r="A509" s="64"/>
      <c r="D509" s="65"/>
    </row>
    <row r="510">
      <c r="A510" s="64"/>
      <c r="D510" s="65"/>
    </row>
    <row r="511">
      <c r="A511" s="64"/>
      <c r="D511" s="65"/>
    </row>
    <row r="512">
      <c r="A512" s="64"/>
      <c r="D512" s="65"/>
    </row>
    <row r="513">
      <c r="A513" s="64"/>
      <c r="D513" s="65"/>
    </row>
    <row r="514">
      <c r="A514" s="64"/>
      <c r="D514" s="65"/>
    </row>
    <row r="515">
      <c r="A515" s="64"/>
      <c r="D515" s="65"/>
    </row>
    <row r="516">
      <c r="A516" s="64"/>
      <c r="D516" s="65"/>
    </row>
    <row r="517">
      <c r="A517" s="64"/>
      <c r="D517" s="65"/>
    </row>
    <row r="518">
      <c r="A518" s="64"/>
      <c r="D518" s="65"/>
    </row>
    <row r="519">
      <c r="A519" s="64"/>
      <c r="D519" s="65"/>
    </row>
    <row r="520">
      <c r="A520" s="64"/>
      <c r="D520" s="65"/>
    </row>
    <row r="521">
      <c r="A521" s="64"/>
      <c r="D521" s="65"/>
    </row>
    <row r="522">
      <c r="A522" s="64"/>
      <c r="D522" s="65"/>
    </row>
    <row r="523">
      <c r="A523" s="64"/>
      <c r="D523" s="65"/>
    </row>
    <row r="524">
      <c r="A524" s="64"/>
      <c r="D524" s="65"/>
    </row>
    <row r="525">
      <c r="A525" s="64"/>
      <c r="D525" s="65"/>
    </row>
    <row r="526">
      <c r="A526" s="64"/>
      <c r="D526" s="65"/>
    </row>
    <row r="527">
      <c r="A527" s="64"/>
      <c r="D527" s="65"/>
    </row>
    <row r="528">
      <c r="A528" s="64"/>
      <c r="D528" s="65"/>
    </row>
    <row r="529">
      <c r="A529" s="64"/>
      <c r="D529" s="65"/>
    </row>
    <row r="530">
      <c r="A530" s="64"/>
      <c r="D530" s="65"/>
    </row>
    <row r="531">
      <c r="A531" s="64"/>
      <c r="D531" s="65"/>
    </row>
    <row r="532">
      <c r="A532" s="64"/>
      <c r="D532" s="65"/>
    </row>
    <row r="533">
      <c r="A533" s="64"/>
      <c r="D533" s="65"/>
    </row>
    <row r="534">
      <c r="A534" s="64"/>
      <c r="D534" s="65"/>
    </row>
    <row r="535">
      <c r="A535" s="64"/>
      <c r="D535" s="65"/>
    </row>
    <row r="536">
      <c r="A536" s="64"/>
      <c r="D536" s="65"/>
    </row>
    <row r="537">
      <c r="A537" s="64"/>
      <c r="D537" s="65"/>
    </row>
    <row r="538">
      <c r="A538" s="64"/>
      <c r="D538" s="65"/>
    </row>
    <row r="539">
      <c r="A539" s="64"/>
      <c r="D539" s="65"/>
    </row>
    <row r="540">
      <c r="A540" s="64"/>
      <c r="D540" s="65"/>
    </row>
    <row r="541">
      <c r="A541" s="64"/>
      <c r="D541" s="65"/>
    </row>
    <row r="542">
      <c r="A542" s="64"/>
      <c r="D542" s="65"/>
    </row>
    <row r="543">
      <c r="A543" s="64"/>
      <c r="D543" s="65"/>
    </row>
    <row r="544">
      <c r="A544" s="64"/>
      <c r="D544" s="65"/>
    </row>
    <row r="545">
      <c r="A545" s="64"/>
      <c r="D545" s="65"/>
    </row>
    <row r="546">
      <c r="A546" s="64"/>
      <c r="D546" s="65"/>
    </row>
    <row r="547">
      <c r="A547" s="64"/>
      <c r="D547" s="65"/>
    </row>
    <row r="548">
      <c r="A548" s="64"/>
      <c r="D548" s="65"/>
    </row>
    <row r="549">
      <c r="A549" s="64"/>
      <c r="D549" s="65"/>
    </row>
    <row r="550">
      <c r="A550" s="64"/>
      <c r="D550" s="65"/>
    </row>
    <row r="551">
      <c r="A551" s="64"/>
      <c r="D551" s="65"/>
    </row>
    <row r="552">
      <c r="A552" s="64"/>
      <c r="D552" s="65"/>
    </row>
    <row r="553">
      <c r="A553" s="64"/>
      <c r="D553" s="65"/>
    </row>
    <row r="554">
      <c r="A554" s="64"/>
      <c r="D554" s="65"/>
    </row>
    <row r="555">
      <c r="A555" s="64"/>
      <c r="D555" s="65"/>
    </row>
    <row r="556">
      <c r="A556" s="64"/>
      <c r="D556" s="65"/>
    </row>
    <row r="557">
      <c r="A557" s="64"/>
      <c r="D557" s="65"/>
    </row>
    <row r="558">
      <c r="A558" s="64"/>
      <c r="D558" s="65"/>
    </row>
    <row r="559">
      <c r="A559" s="64"/>
      <c r="D559" s="65"/>
    </row>
    <row r="560">
      <c r="A560" s="64"/>
      <c r="D560" s="65"/>
    </row>
    <row r="561">
      <c r="A561" s="64"/>
      <c r="D561" s="65"/>
    </row>
    <row r="562">
      <c r="A562" s="64"/>
      <c r="D562" s="65"/>
    </row>
    <row r="563">
      <c r="A563" s="64"/>
      <c r="D563" s="65"/>
    </row>
    <row r="564">
      <c r="A564" s="64"/>
      <c r="D564" s="65"/>
    </row>
    <row r="565">
      <c r="A565" s="64"/>
      <c r="D565" s="65"/>
    </row>
    <row r="566">
      <c r="A566" s="64"/>
      <c r="D566" s="65"/>
    </row>
    <row r="567">
      <c r="A567" s="64"/>
      <c r="D567" s="65"/>
    </row>
    <row r="568">
      <c r="A568" s="64"/>
      <c r="D568" s="65"/>
    </row>
    <row r="569">
      <c r="A569" s="64"/>
      <c r="D569" s="65"/>
    </row>
    <row r="570">
      <c r="A570" s="64"/>
      <c r="D570" s="65"/>
    </row>
    <row r="571">
      <c r="A571" s="64"/>
      <c r="D571" s="65"/>
    </row>
    <row r="572">
      <c r="A572" s="64"/>
      <c r="D572" s="65"/>
    </row>
    <row r="573">
      <c r="A573" s="64"/>
      <c r="D573" s="65"/>
    </row>
    <row r="574">
      <c r="A574" s="64"/>
      <c r="D574" s="65"/>
    </row>
    <row r="575">
      <c r="A575" s="64"/>
      <c r="D575" s="65"/>
    </row>
    <row r="576">
      <c r="A576" s="64"/>
      <c r="D576" s="65"/>
    </row>
    <row r="577">
      <c r="A577" s="64"/>
      <c r="D577" s="65"/>
    </row>
    <row r="578">
      <c r="A578" s="64"/>
      <c r="D578" s="65"/>
    </row>
    <row r="579">
      <c r="A579" s="64"/>
      <c r="D579" s="65"/>
    </row>
    <row r="580">
      <c r="A580" s="64"/>
      <c r="D580" s="65"/>
    </row>
    <row r="581">
      <c r="A581" s="64"/>
      <c r="D581" s="65"/>
    </row>
    <row r="582">
      <c r="A582" s="64"/>
      <c r="D582" s="65"/>
    </row>
    <row r="583">
      <c r="A583" s="64"/>
      <c r="D583" s="65"/>
    </row>
    <row r="584">
      <c r="A584" s="64"/>
      <c r="D584" s="65"/>
    </row>
    <row r="585">
      <c r="A585" s="64"/>
      <c r="D585" s="65"/>
    </row>
    <row r="586">
      <c r="A586" s="64"/>
      <c r="D586" s="65"/>
    </row>
    <row r="587">
      <c r="A587" s="64"/>
      <c r="D587" s="65"/>
    </row>
    <row r="588">
      <c r="A588" s="64"/>
      <c r="D588" s="65"/>
    </row>
    <row r="589">
      <c r="A589" s="64"/>
      <c r="D589" s="65"/>
    </row>
    <row r="590">
      <c r="A590" s="64"/>
      <c r="D590" s="65"/>
    </row>
    <row r="591">
      <c r="A591" s="64"/>
      <c r="D591" s="65"/>
    </row>
    <row r="592">
      <c r="A592" s="64"/>
      <c r="D592" s="65"/>
    </row>
    <row r="593">
      <c r="A593" s="64"/>
      <c r="D593" s="65"/>
    </row>
    <row r="594">
      <c r="A594" s="64"/>
      <c r="D594" s="65"/>
    </row>
    <row r="595">
      <c r="A595" s="64"/>
      <c r="D595" s="65"/>
    </row>
    <row r="596">
      <c r="A596" s="64"/>
      <c r="D596" s="65"/>
    </row>
    <row r="597">
      <c r="A597" s="64"/>
      <c r="D597" s="65"/>
    </row>
    <row r="598">
      <c r="A598" s="64"/>
      <c r="D598" s="65"/>
    </row>
    <row r="599">
      <c r="A599" s="64"/>
      <c r="D599" s="65"/>
    </row>
    <row r="600">
      <c r="A600" s="64"/>
      <c r="D600" s="65"/>
    </row>
    <row r="601">
      <c r="A601" s="64"/>
      <c r="D601" s="65"/>
    </row>
    <row r="602">
      <c r="A602" s="64"/>
      <c r="D602" s="65"/>
    </row>
    <row r="603">
      <c r="A603" s="64"/>
      <c r="D603" s="65"/>
    </row>
    <row r="604">
      <c r="A604" s="64"/>
      <c r="D604" s="65"/>
    </row>
    <row r="605">
      <c r="A605" s="64"/>
      <c r="D605" s="65"/>
    </row>
    <row r="606">
      <c r="A606" s="64"/>
      <c r="D606" s="65"/>
    </row>
    <row r="607">
      <c r="A607" s="64"/>
      <c r="D607" s="65"/>
    </row>
    <row r="608">
      <c r="A608" s="64"/>
      <c r="D608" s="65"/>
    </row>
    <row r="609">
      <c r="A609" s="64"/>
      <c r="D609" s="65"/>
    </row>
    <row r="610">
      <c r="A610" s="64"/>
      <c r="D610" s="65"/>
    </row>
    <row r="611">
      <c r="A611" s="64"/>
      <c r="D611" s="65"/>
    </row>
    <row r="612">
      <c r="A612" s="64"/>
      <c r="D612" s="65"/>
    </row>
    <row r="613">
      <c r="A613" s="64"/>
      <c r="D613" s="65"/>
    </row>
    <row r="614">
      <c r="A614" s="64"/>
      <c r="D614" s="65"/>
    </row>
    <row r="615">
      <c r="A615" s="64"/>
      <c r="D615" s="65"/>
    </row>
    <row r="616">
      <c r="A616" s="64"/>
      <c r="D616" s="65"/>
    </row>
    <row r="617">
      <c r="A617" s="64"/>
      <c r="D617" s="65"/>
    </row>
    <row r="618">
      <c r="A618" s="64"/>
      <c r="D618" s="65"/>
    </row>
    <row r="619">
      <c r="A619" s="64"/>
      <c r="D619" s="65"/>
    </row>
    <row r="620">
      <c r="A620" s="64"/>
      <c r="D620" s="65"/>
    </row>
    <row r="621">
      <c r="A621" s="64"/>
      <c r="D621" s="65"/>
    </row>
    <row r="622">
      <c r="A622" s="64"/>
      <c r="D622" s="65"/>
    </row>
    <row r="623">
      <c r="A623" s="64"/>
      <c r="D623" s="65"/>
    </row>
    <row r="624">
      <c r="A624" s="64"/>
      <c r="D624" s="65"/>
    </row>
    <row r="625">
      <c r="A625" s="64"/>
      <c r="D625" s="65"/>
    </row>
    <row r="626">
      <c r="A626" s="64"/>
      <c r="D626" s="65"/>
    </row>
    <row r="627">
      <c r="A627" s="64"/>
      <c r="D627" s="65"/>
    </row>
    <row r="628">
      <c r="A628" s="64"/>
      <c r="D628" s="65"/>
    </row>
    <row r="629">
      <c r="A629" s="64"/>
      <c r="D629" s="65"/>
    </row>
    <row r="630">
      <c r="A630" s="64"/>
      <c r="D630" s="65"/>
    </row>
    <row r="631">
      <c r="A631" s="64"/>
      <c r="D631" s="65"/>
    </row>
    <row r="632">
      <c r="A632" s="64"/>
      <c r="D632" s="65"/>
    </row>
    <row r="633">
      <c r="A633" s="64"/>
      <c r="D633" s="65"/>
    </row>
    <row r="634">
      <c r="A634" s="64"/>
      <c r="D634" s="65"/>
    </row>
    <row r="635">
      <c r="A635" s="64"/>
      <c r="D635" s="65"/>
    </row>
    <row r="636">
      <c r="A636" s="64"/>
      <c r="D636" s="65"/>
    </row>
    <row r="637">
      <c r="A637" s="64"/>
      <c r="D637" s="65"/>
    </row>
    <row r="638">
      <c r="A638" s="64"/>
      <c r="D638" s="65"/>
    </row>
    <row r="639">
      <c r="A639" s="64"/>
      <c r="D639" s="65"/>
    </row>
    <row r="640">
      <c r="A640" s="64"/>
      <c r="D640" s="65"/>
    </row>
    <row r="641">
      <c r="A641" s="64"/>
      <c r="D641" s="65"/>
    </row>
    <row r="642">
      <c r="A642" s="64"/>
      <c r="D642" s="65"/>
    </row>
    <row r="643">
      <c r="A643" s="64"/>
      <c r="D643" s="65"/>
    </row>
    <row r="644">
      <c r="A644" s="64"/>
      <c r="D644" s="65"/>
    </row>
    <row r="645">
      <c r="A645" s="64"/>
      <c r="D645" s="65"/>
    </row>
    <row r="646">
      <c r="A646" s="64"/>
      <c r="D646" s="65"/>
    </row>
    <row r="647">
      <c r="A647" s="64"/>
      <c r="D647" s="65"/>
    </row>
    <row r="648">
      <c r="A648" s="64"/>
      <c r="D648" s="65"/>
    </row>
    <row r="649">
      <c r="A649" s="64"/>
      <c r="D649" s="65"/>
    </row>
    <row r="650">
      <c r="A650" s="64"/>
      <c r="D650" s="65"/>
    </row>
    <row r="651">
      <c r="A651" s="64"/>
      <c r="D651" s="65"/>
    </row>
    <row r="652">
      <c r="A652" s="64"/>
      <c r="D652" s="65"/>
    </row>
    <row r="653">
      <c r="A653" s="64"/>
      <c r="D653" s="65"/>
    </row>
    <row r="654">
      <c r="A654" s="64"/>
      <c r="D654" s="65"/>
    </row>
    <row r="655">
      <c r="A655" s="64"/>
      <c r="D655" s="65"/>
    </row>
    <row r="656">
      <c r="A656" s="64"/>
      <c r="D656" s="65"/>
    </row>
    <row r="657">
      <c r="A657" s="64"/>
      <c r="D657" s="65"/>
    </row>
    <row r="658">
      <c r="A658" s="64"/>
      <c r="D658" s="65"/>
    </row>
    <row r="659">
      <c r="A659" s="64"/>
      <c r="D659" s="65"/>
    </row>
    <row r="660">
      <c r="A660" s="64"/>
      <c r="D660" s="65"/>
    </row>
    <row r="661">
      <c r="A661" s="64"/>
      <c r="D661" s="65"/>
    </row>
    <row r="662">
      <c r="A662" s="64"/>
      <c r="D662" s="65"/>
    </row>
    <row r="663">
      <c r="A663" s="64"/>
      <c r="D663" s="65"/>
    </row>
    <row r="664">
      <c r="A664" s="64"/>
      <c r="D664" s="65"/>
    </row>
    <row r="665">
      <c r="A665" s="64"/>
      <c r="D665" s="65"/>
    </row>
    <row r="666">
      <c r="A666" s="64"/>
      <c r="D666" s="65"/>
    </row>
    <row r="667">
      <c r="A667" s="64"/>
      <c r="D667" s="65"/>
    </row>
    <row r="668">
      <c r="A668" s="64"/>
      <c r="D668" s="65"/>
    </row>
    <row r="669">
      <c r="A669" s="64"/>
      <c r="D669" s="65"/>
    </row>
    <row r="670">
      <c r="A670" s="64"/>
      <c r="D670" s="65"/>
    </row>
    <row r="671">
      <c r="A671" s="64"/>
      <c r="D671" s="65"/>
    </row>
    <row r="672">
      <c r="A672" s="64"/>
      <c r="D672" s="65"/>
    </row>
    <row r="673">
      <c r="A673" s="64"/>
      <c r="D673" s="65"/>
    </row>
    <row r="674">
      <c r="A674" s="64"/>
      <c r="D674" s="65"/>
    </row>
    <row r="675">
      <c r="A675" s="64"/>
      <c r="D675" s="65"/>
    </row>
    <row r="676">
      <c r="A676" s="64"/>
      <c r="D676" s="65"/>
    </row>
    <row r="677">
      <c r="A677" s="64"/>
      <c r="D677" s="65"/>
    </row>
    <row r="678">
      <c r="A678" s="64"/>
      <c r="D678" s="65"/>
    </row>
    <row r="679">
      <c r="A679" s="64"/>
      <c r="D679" s="65"/>
    </row>
    <row r="680">
      <c r="A680" s="64"/>
      <c r="D680" s="65"/>
    </row>
    <row r="681">
      <c r="A681" s="64"/>
      <c r="D681" s="65"/>
    </row>
    <row r="682">
      <c r="A682" s="64"/>
      <c r="D682" s="65"/>
    </row>
    <row r="683">
      <c r="A683" s="64"/>
      <c r="D683" s="65"/>
    </row>
    <row r="684">
      <c r="A684" s="64"/>
      <c r="D684" s="65"/>
    </row>
    <row r="685">
      <c r="A685" s="64"/>
      <c r="D685" s="65"/>
    </row>
    <row r="686">
      <c r="A686" s="64"/>
      <c r="D686" s="65"/>
    </row>
    <row r="687">
      <c r="A687" s="64"/>
      <c r="D687" s="65"/>
    </row>
    <row r="688">
      <c r="A688" s="64"/>
      <c r="D688" s="65"/>
    </row>
    <row r="689">
      <c r="A689" s="64"/>
      <c r="D689" s="65"/>
    </row>
    <row r="690">
      <c r="A690" s="64"/>
      <c r="D690" s="65"/>
    </row>
    <row r="691">
      <c r="A691" s="64"/>
      <c r="D691" s="65"/>
    </row>
    <row r="692">
      <c r="A692" s="64"/>
      <c r="D692" s="65"/>
    </row>
    <row r="693">
      <c r="A693" s="64"/>
      <c r="D693" s="65"/>
    </row>
    <row r="694">
      <c r="A694" s="64"/>
      <c r="D694" s="65"/>
    </row>
    <row r="695">
      <c r="A695" s="64"/>
      <c r="D695" s="65"/>
    </row>
    <row r="696">
      <c r="A696" s="64"/>
      <c r="D696" s="65"/>
    </row>
    <row r="697">
      <c r="A697" s="64"/>
      <c r="D697" s="65"/>
    </row>
    <row r="698">
      <c r="A698" s="64"/>
      <c r="D698" s="65"/>
    </row>
    <row r="699">
      <c r="A699" s="64"/>
      <c r="D699" s="65"/>
    </row>
    <row r="700">
      <c r="A700" s="64"/>
      <c r="D700" s="65"/>
    </row>
    <row r="701">
      <c r="A701" s="64"/>
      <c r="D701" s="65"/>
    </row>
    <row r="702">
      <c r="A702" s="64"/>
      <c r="D702" s="65"/>
    </row>
    <row r="703">
      <c r="A703" s="64"/>
      <c r="D703" s="65"/>
    </row>
    <row r="704">
      <c r="A704" s="64"/>
      <c r="D704" s="65"/>
    </row>
    <row r="705">
      <c r="A705" s="64"/>
      <c r="D705" s="65"/>
    </row>
    <row r="706">
      <c r="A706" s="64"/>
      <c r="D706" s="65"/>
    </row>
    <row r="707">
      <c r="A707" s="64"/>
      <c r="D707" s="65"/>
    </row>
    <row r="708">
      <c r="A708" s="64"/>
      <c r="D708" s="65"/>
    </row>
    <row r="709">
      <c r="A709" s="64"/>
      <c r="D709" s="65"/>
    </row>
    <row r="710">
      <c r="A710" s="64"/>
      <c r="D710" s="65"/>
    </row>
    <row r="711">
      <c r="A711" s="64"/>
      <c r="D711" s="65"/>
    </row>
    <row r="712">
      <c r="A712" s="64"/>
      <c r="D712" s="65"/>
    </row>
    <row r="713">
      <c r="A713" s="64"/>
      <c r="D713" s="65"/>
    </row>
    <row r="714">
      <c r="A714" s="64"/>
      <c r="D714" s="65"/>
    </row>
    <row r="715">
      <c r="A715" s="64"/>
      <c r="D715" s="65"/>
    </row>
    <row r="716">
      <c r="A716" s="64"/>
      <c r="D716" s="65"/>
    </row>
    <row r="717">
      <c r="A717" s="64"/>
      <c r="D717" s="65"/>
    </row>
    <row r="718">
      <c r="A718" s="64"/>
      <c r="D718" s="65"/>
    </row>
    <row r="719">
      <c r="A719" s="64"/>
      <c r="D719" s="65"/>
    </row>
    <row r="720">
      <c r="A720" s="64"/>
      <c r="D720" s="65"/>
    </row>
    <row r="721">
      <c r="A721" s="64"/>
      <c r="D721" s="65"/>
    </row>
    <row r="722">
      <c r="A722" s="64"/>
      <c r="D722" s="65"/>
    </row>
    <row r="723">
      <c r="A723" s="64"/>
      <c r="D723" s="65"/>
    </row>
    <row r="724">
      <c r="A724" s="64"/>
      <c r="D724" s="65"/>
    </row>
    <row r="725">
      <c r="A725" s="64"/>
      <c r="D725" s="65"/>
    </row>
    <row r="726">
      <c r="A726" s="64"/>
      <c r="D726" s="65"/>
    </row>
    <row r="727">
      <c r="A727" s="64"/>
      <c r="D727" s="65"/>
    </row>
    <row r="728">
      <c r="A728" s="64"/>
      <c r="D728" s="65"/>
    </row>
    <row r="729">
      <c r="A729" s="64"/>
      <c r="D729" s="65"/>
    </row>
    <row r="730">
      <c r="A730" s="64"/>
      <c r="D730" s="65"/>
    </row>
    <row r="731">
      <c r="A731" s="64"/>
      <c r="D731" s="65"/>
    </row>
    <row r="732">
      <c r="A732" s="64"/>
      <c r="D732" s="65"/>
    </row>
    <row r="733">
      <c r="A733" s="64"/>
      <c r="D733" s="65"/>
    </row>
    <row r="734">
      <c r="A734" s="64"/>
      <c r="D734" s="65"/>
    </row>
    <row r="735">
      <c r="A735" s="64"/>
      <c r="D735" s="65"/>
    </row>
    <row r="736">
      <c r="A736" s="64"/>
      <c r="D736" s="65"/>
    </row>
    <row r="737">
      <c r="A737" s="64"/>
      <c r="D737" s="65"/>
    </row>
    <row r="738">
      <c r="A738" s="64"/>
      <c r="D738" s="65"/>
    </row>
    <row r="739">
      <c r="A739" s="64"/>
      <c r="D739" s="65"/>
    </row>
    <row r="740">
      <c r="A740" s="64"/>
      <c r="D740" s="65"/>
    </row>
    <row r="741">
      <c r="A741" s="64"/>
      <c r="D741" s="65"/>
    </row>
    <row r="742">
      <c r="A742" s="64"/>
      <c r="D742" s="65"/>
    </row>
    <row r="743">
      <c r="A743" s="64"/>
      <c r="D743" s="65"/>
    </row>
    <row r="744">
      <c r="A744" s="64"/>
      <c r="D744" s="65"/>
    </row>
    <row r="745">
      <c r="A745" s="64"/>
      <c r="D745" s="65"/>
    </row>
    <row r="746">
      <c r="A746" s="64"/>
      <c r="D746" s="65"/>
    </row>
    <row r="747">
      <c r="A747" s="64"/>
      <c r="D747" s="65"/>
    </row>
    <row r="748">
      <c r="A748" s="64"/>
      <c r="D748" s="65"/>
    </row>
    <row r="749">
      <c r="A749" s="64"/>
      <c r="D749" s="65"/>
    </row>
    <row r="750">
      <c r="A750" s="64"/>
      <c r="D750" s="65"/>
    </row>
    <row r="751">
      <c r="A751" s="64"/>
      <c r="D751" s="65"/>
    </row>
    <row r="752">
      <c r="A752" s="64"/>
      <c r="D752" s="65"/>
    </row>
    <row r="753">
      <c r="A753" s="64"/>
      <c r="D753" s="65"/>
    </row>
    <row r="754">
      <c r="A754" s="64"/>
      <c r="D754" s="65"/>
    </row>
    <row r="755">
      <c r="A755" s="64"/>
      <c r="D755" s="65"/>
    </row>
    <row r="756">
      <c r="A756" s="64"/>
      <c r="D756" s="65"/>
    </row>
    <row r="757">
      <c r="A757" s="64"/>
      <c r="D757" s="65"/>
    </row>
    <row r="758">
      <c r="A758" s="64"/>
      <c r="D758" s="65"/>
    </row>
    <row r="759">
      <c r="A759" s="64"/>
      <c r="D759" s="65"/>
    </row>
    <row r="760">
      <c r="A760" s="64"/>
      <c r="D760" s="65"/>
    </row>
    <row r="761">
      <c r="A761" s="64"/>
      <c r="D761" s="65"/>
    </row>
    <row r="762">
      <c r="A762" s="64"/>
      <c r="D762" s="65"/>
    </row>
    <row r="763">
      <c r="A763" s="64"/>
      <c r="D763" s="65"/>
    </row>
    <row r="764">
      <c r="A764" s="64"/>
      <c r="D764" s="65"/>
    </row>
    <row r="765">
      <c r="A765" s="64"/>
      <c r="D765" s="65"/>
    </row>
    <row r="766">
      <c r="A766" s="64"/>
      <c r="D766" s="65"/>
    </row>
    <row r="767">
      <c r="A767" s="64"/>
      <c r="D767" s="65"/>
    </row>
    <row r="768">
      <c r="A768" s="64"/>
      <c r="D768" s="65"/>
    </row>
    <row r="769">
      <c r="A769" s="64"/>
      <c r="D769" s="65"/>
    </row>
    <row r="770">
      <c r="A770" s="64"/>
      <c r="D770" s="65"/>
    </row>
    <row r="771">
      <c r="A771" s="64"/>
      <c r="D771" s="65"/>
    </row>
    <row r="772">
      <c r="A772" s="64"/>
      <c r="D772" s="65"/>
    </row>
    <row r="773">
      <c r="A773" s="64"/>
      <c r="D773" s="65"/>
    </row>
    <row r="774">
      <c r="A774" s="64"/>
      <c r="D774" s="65"/>
    </row>
    <row r="775">
      <c r="A775" s="64"/>
      <c r="D775" s="65"/>
    </row>
    <row r="776">
      <c r="A776" s="64"/>
      <c r="D776" s="65"/>
    </row>
    <row r="777">
      <c r="A777" s="64"/>
      <c r="D777" s="65"/>
    </row>
    <row r="778">
      <c r="A778" s="64"/>
      <c r="D778" s="65"/>
    </row>
    <row r="779">
      <c r="A779" s="64"/>
      <c r="D779" s="65"/>
    </row>
    <row r="780">
      <c r="A780" s="64"/>
      <c r="D780" s="65"/>
    </row>
    <row r="781">
      <c r="A781" s="64"/>
      <c r="D781" s="65"/>
    </row>
    <row r="782">
      <c r="A782" s="64"/>
      <c r="D782" s="65"/>
    </row>
    <row r="783">
      <c r="A783" s="64"/>
      <c r="D783" s="65"/>
    </row>
    <row r="784">
      <c r="A784" s="64"/>
      <c r="D784" s="65"/>
    </row>
    <row r="785">
      <c r="A785" s="64"/>
      <c r="D785" s="65"/>
    </row>
    <row r="786">
      <c r="A786" s="64"/>
      <c r="D786" s="65"/>
    </row>
    <row r="787">
      <c r="A787" s="64"/>
      <c r="D787" s="65"/>
    </row>
    <row r="788">
      <c r="A788" s="64"/>
      <c r="D788" s="65"/>
    </row>
    <row r="789">
      <c r="A789" s="64"/>
      <c r="D789" s="65"/>
    </row>
    <row r="790">
      <c r="A790" s="64"/>
      <c r="D790" s="65"/>
    </row>
    <row r="791">
      <c r="A791" s="64"/>
      <c r="D791" s="65"/>
    </row>
    <row r="792">
      <c r="A792" s="64"/>
      <c r="D792" s="65"/>
    </row>
    <row r="793">
      <c r="A793" s="64"/>
      <c r="D793" s="65"/>
    </row>
    <row r="794">
      <c r="A794" s="64"/>
      <c r="D794" s="65"/>
    </row>
    <row r="795">
      <c r="A795" s="64"/>
      <c r="D795" s="65"/>
    </row>
    <row r="796">
      <c r="A796" s="64"/>
      <c r="D796" s="65"/>
    </row>
    <row r="797">
      <c r="A797" s="64"/>
      <c r="D797" s="65"/>
    </row>
    <row r="798">
      <c r="A798" s="64"/>
      <c r="D798" s="65"/>
    </row>
    <row r="799">
      <c r="A799" s="64"/>
      <c r="D799" s="65"/>
    </row>
    <row r="800">
      <c r="A800" s="64"/>
      <c r="D800" s="65"/>
    </row>
    <row r="801">
      <c r="A801" s="64"/>
      <c r="D801" s="65"/>
    </row>
    <row r="802">
      <c r="A802" s="64"/>
      <c r="D802" s="65"/>
    </row>
    <row r="803">
      <c r="A803" s="64"/>
      <c r="D803" s="65"/>
    </row>
    <row r="804">
      <c r="A804" s="64"/>
      <c r="D804" s="65"/>
    </row>
    <row r="805">
      <c r="A805" s="64"/>
      <c r="D805" s="65"/>
    </row>
    <row r="806">
      <c r="A806" s="64"/>
      <c r="D806" s="65"/>
    </row>
    <row r="807">
      <c r="A807" s="64"/>
      <c r="D807" s="65"/>
    </row>
    <row r="808">
      <c r="A808" s="64"/>
      <c r="D808" s="65"/>
    </row>
    <row r="809">
      <c r="A809" s="64"/>
      <c r="D809" s="65"/>
    </row>
    <row r="810">
      <c r="A810" s="64"/>
      <c r="D810" s="65"/>
    </row>
    <row r="811">
      <c r="A811" s="64"/>
      <c r="D811" s="65"/>
    </row>
    <row r="812">
      <c r="A812" s="64"/>
      <c r="D812" s="65"/>
    </row>
    <row r="813">
      <c r="A813" s="64"/>
      <c r="D813" s="65"/>
    </row>
    <row r="814">
      <c r="A814" s="64"/>
      <c r="D814" s="65"/>
    </row>
    <row r="815">
      <c r="A815" s="64"/>
      <c r="D815" s="65"/>
    </row>
    <row r="816">
      <c r="A816" s="64"/>
      <c r="D816" s="65"/>
    </row>
    <row r="817">
      <c r="A817" s="64"/>
      <c r="D817" s="65"/>
    </row>
    <row r="818">
      <c r="A818" s="64"/>
      <c r="D818" s="65"/>
    </row>
    <row r="819">
      <c r="A819" s="64"/>
      <c r="D819" s="65"/>
    </row>
    <row r="820">
      <c r="A820" s="64"/>
      <c r="D820" s="65"/>
    </row>
    <row r="821">
      <c r="A821" s="64"/>
      <c r="D821" s="65"/>
    </row>
    <row r="822">
      <c r="A822" s="64"/>
      <c r="D822" s="65"/>
    </row>
    <row r="823">
      <c r="A823" s="64"/>
      <c r="D823" s="65"/>
    </row>
    <row r="824">
      <c r="A824" s="64"/>
      <c r="D824" s="65"/>
    </row>
    <row r="825">
      <c r="A825" s="64"/>
      <c r="D825" s="65"/>
    </row>
    <row r="826">
      <c r="A826" s="64"/>
      <c r="D826" s="65"/>
    </row>
    <row r="827">
      <c r="A827" s="64"/>
      <c r="D827" s="65"/>
    </row>
    <row r="828">
      <c r="A828" s="64"/>
      <c r="D828" s="65"/>
    </row>
    <row r="829">
      <c r="A829" s="64"/>
      <c r="D829" s="65"/>
    </row>
    <row r="830">
      <c r="A830" s="64"/>
      <c r="D830" s="65"/>
    </row>
    <row r="831">
      <c r="A831" s="64"/>
      <c r="D831" s="65"/>
    </row>
    <row r="832">
      <c r="A832" s="64"/>
      <c r="D832" s="65"/>
    </row>
    <row r="833">
      <c r="A833" s="64"/>
      <c r="D833" s="65"/>
    </row>
    <row r="834">
      <c r="A834" s="64"/>
      <c r="D834" s="65"/>
    </row>
    <row r="835">
      <c r="A835" s="64"/>
      <c r="D835" s="65"/>
    </row>
    <row r="836">
      <c r="A836" s="64"/>
      <c r="D836" s="65"/>
    </row>
    <row r="837">
      <c r="A837" s="64"/>
      <c r="D837" s="65"/>
    </row>
    <row r="838">
      <c r="A838" s="64"/>
      <c r="D838" s="65"/>
    </row>
    <row r="839">
      <c r="A839" s="64"/>
      <c r="D839" s="65"/>
    </row>
    <row r="840">
      <c r="A840" s="64"/>
      <c r="D840" s="65"/>
    </row>
    <row r="841">
      <c r="A841" s="64"/>
      <c r="D841" s="65"/>
    </row>
    <row r="842">
      <c r="A842" s="64"/>
      <c r="D842" s="65"/>
    </row>
    <row r="843">
      <c r="A843" s="64"/>
      <c r="D843" s="65"/>
    </row>
    <row r="844">
      <c r="A844" s="64"/>
      <c r="D844" s="65"/>
    </row>
    <row r="845">
      <c r="A845" s="64"/>
      <c r="D845" s="65"/>
    </row>
    <row r="846">
      <c r="A846" s="64"/>
      <c r="D846" s="65"/>
    </row>
    <row r="847">
      <c r="A847" s="64"/>
      <c r="D847" s="65"/>
    </row>
    <row r="848">
      <c r="A848" s="64"/>
      <c r="D848" s="65"/>
    </row>
    <row r="849">
      <c r="A849" s="64"/>
      <c r="D849" s="65"/>
    </row>
    <row r="850">
      <c r="A850" s="64"/>
      <c r="D850" s="65"/>
    </row>
    <row r="851">
      <c r="A851" s="64"/>
      <c r="D851" s="65"/>
    </row>
    <row r="852">
      <c r="A852" s="64"/>
      <c r="D852" s="65"/>
    </row>
    <row r="853">
      <c r="A853" s="64"/>
      <c r="D853" s="65"/>
    </row>
    <row r="854">
      <c r="A854" s="64"/>
      <c r="D854" s="65"/>
    </row>
    <row r="855">
      <c r="A855" s="64"/>
      <c r="D855" s="65"/>
    </row>
    <row r="856">
      <c r="A856" s="64"/>
      <c r="D856" s="65"/>
    </row>
    <row r="857">
      <c r="A857" s="64"/>
      <c r="D857" s="65"/>
    </row>
    <row r="858">
      <c r="A858" s="64"/>
      <c r="D858" s="65"/>
    </row>
    <row r="859">
      <c r="A859" s="64"/>
      <c r="D859" s="65"/>
    </row>
    <row r="860">
      <c r="A860" s="64"/>
      <c r="D860" s="65"/>
    </row>
    <row r="861">
      <c r="A861" s="64"/>
      <c r="D861" s="65"/>
    </row>
    <row r="862">
      <c r="A862" s="64"/>
      <c r="D862" s="65"/>
    </row>
    <row r="863">
      <c r="A863" s="64"/>
      <c r="D863" s="65"/>
    </row>
    <row r="864">
      <c r="A864" s="64"/>
      <c r="D864" s="65"/>
    </row>
    <row r="865">
      <c r="A865" s="64"/>
      <c r="D865" s="65"/>
    </row>
    <row r="866">
      <c r="A866" s="64"/>
      <c r="D866" s="65"/>
    </row>
    <row r="867">
      <c r="A867" s="64"/>
      <c r="D867" s="65"/>
    </row>
    <row r="868">
      <c r="A868" s="64"/>
      <c r="D868" s="65"/>
    </row>
    <row r="869">
      <c r="A869" s="64"/>
      <c r="D869" s="65"/>
    </row>
    <row r="870">
      <c r="A870" s="64"/>
      <c r="D870" s="65"/>
    </row>
    <row r="871">
      <c r="A871" s="64"/>
      <c r="D871" s="65"/>
    </row>
    <row r="872">
      <c r="A872" s="64"/>
      <c r="D872" s="65"/>
    </row>
    <row r="873">
      <c r="A873" s="64"/>
      <c r="D873" s="65"/>
    </row>
    <row r="874">
      <c r="A874" s="64"/>
      <c r="D874" s="65"/>
    </row>
    <row r="875">
      <c r="A875" s="64"/>
      <c r="D875" s="65"/>
    </row>
    <row r="876">
      <c r="A876" s="64"/>
      <c r="D876" s="65"/>
    </row>
    <row r="877">
      <c r="A877" s="64"/>
      <c r="D877" s="65"/>
    </row>
    <row r="878">
      <c r="A878" s="64"/>
      <c r="D878" s="65"/>
    </row>
    <row r="879">
      <c r="A879" s="64"/>
      <c r="D879" s="65"/>
    </row>
    <row r="880">
      <c r="A880" s="64"/>
      <c r="D880" s="65"/>
    </row>
    <row r="881">
      <c r="A881" s="64"/>
      <c r="D881" s="65"/>
    </row>
    <row r="882">
      <c r="A882" s="64"/>
      <c r="D882" s="65"/>
    </row>
    <row r="883">
      <c r="A883" s="64"/>
      <c r="D883" s="65"/>
    </row>
    <row r="884">
      <c r="A884" s="64"/>
      <c r="D884" s="65"/>
    </row>
    <row r="885">
      <c r="A885" s="64"/>
      <c r="D885" s="65"/>
    </row>
    <row r="886">
      <c r="A886" s="64"/>
      <c r="D886" s="65"/>
    </row>
    <row r="887">
      <c r="A887" s="64"/>
      <c r="D887" s="65"/>
    </row>
    <row r="888">
      <c r="A888" s="64"/>
      <c r="D888" s="65"/>
    </row>
    <row r="889">
      <c r="A889" s="64"/>
      <c r="D889" s="65"/>
    </row>
    <row r="890">
      <c r="A890" s="64"/>
      <c r="D890" s="65"/>
    </row>
    <row r="891">
      <c r="A891" s="64"/>
      <c r="D891" s="65"/>
    </row>
    <row r="892">
      <c r="A892" s="64"/>
      <c r="D892" s="65"/>
    </row>
    <row r="893">
      <c r="A893" s="64"/>
      <c r="D893" s="65"/>
    </row>
    <row r="894">
      <c r="A894" s="64"/>
      <c r="D894" s="65"/>
    </row>
    <row r="895">
      <c r="A895" s="64"/>
      <c r="D895" s="65"/>
    </row>
    <row r="896">
      <c r="A896" s="64"/>
      <c r="D896" s="65"/>
    </row>
    <row r="897">
      <c r="A897" s="64"/>
      <c r="D897" s="65"/>
    </row>
    <row r="898">
      <c r="A898" s="64"/>
      <c r="D898" s="65"/>
    </row>
    <row r="899">
      <c r="A899" s="64"/>
      <c r="D899" s="65"/>
    </row>
    <row r="900">
      <c r="A900" s="64"/>
      <c r="D900" s="65"/>
    </row>
    <row r="901">
      <c r="A901" s="64"/>
      <c r="D901" s="65"/>
    </row>
    <row r="902">
      <c r="A902" s="64"/>
      <c r="D902" s="65"/>
    </row>
    <row r="903">
      <c r="A903" s="64"/>
      <c r="D903" s="65"/>
    </row>
    <row r="904">
      <c r="A904" s="64"/>
      <c r="D904" s="65"/>
    </row>
    <row r="905">
      <c r="A905" s="64"/>
      <c r="D905" s="65"/>
    </row>
    <row r="906">
      <c r="A906" s="64"/>
      <c r="D906" s="65"/>
    </row>
    <row r="907">
      <c r="A907" s="64"/>
      <c r="D907" s="65"/>
    </row>
    <row r="908">
      <c r="A908" s="64"/>
      <c r="D908" s="65"/>
    </row>
    <row r="909">
      <c r="A909" s="64"/>
      <c r="D909" s="65"/>
    </row>
    <row r="910">
      <c r="A910" s="64"/>
      <c r="D910" s="65"/>
    </row>
    <row r="911">
      <c r="A911" s="64"/>
      <c r="D911" s="65"/>
    </row>
    <row r="912">
      <c r="A912" s="64"/>
      <c r="D912" s="65"/>
    </row>
    <row r="913">
      <c r="A913" s="64"/>
      <c r="D913" s="65"/>
    </row>
    <row r="914">
      <c r="A914" s="64"/>
      <c r="D914" s="65"/>
    </row>
    <row r="915">
      <c r="A915" s="64"/>
      <c r="D915" s="65"/>
    </row>
    <row r="916">
      <c r="A916" s="64"/>
      <c r="D916" s="65"/>
    </row>
    <row r="917">
      <c r="A917" s="64"/>
      <c r="D917" s="65"/>
    </row>
    <row r="918">
      <c r="A918" s="64"/>
      <c r="D918" s="65"/>
    </row>
    <row r="919">
      <c r="A919" s="64"/>
      <c r="D919" s="65"/>
    </row>
    <row r="920">
      <c r="A920" s="64"/>
      <c r="D920" s="65"/>
    </row>
    <row r="921">
      <c r="A921" s="64"/>
      <c r="D921" s="65"/>
    </row>
    <row r="922">
      <c r="A922" s="64"/>
      <c r="D922" s="65"/>
    </row>
    <row r="923">
      <c r="A923" s="64"/>
      <c r="D923" s="65"/>
    </row>
    <row r="924">
      <c r="A924" s="64"/>
      <c r="D924" s="65"/>
    </row>
    <row r="925">
      <c r="A925" s="64"/>
      <c r="D925" s="65"/>
    </row>
    <row r="926">
      <c r="A926" s="64"/>
      <c r="D926" s="65"/>
    </row>
    <row r="927">
      <c r="A927" s="64"/>
      <c r="D927" s="65"/>
    </row>
    <row r="928">
      <c r="A928" s="64"/>
      <c r="D928" s="65"/>
    </row>
    <row r="929">
      <c r="A929" s="64"/>
      <c r="D929" s="65"/>
    </row>
    <row r="930">
      <c r="A930" s="64"/>
      <c r="D930" s="65"/>
    </row>
    <row r="931">
      <c r="A931" s="64"/>
      <c r="D931" s="65"/>
    </row>
    <row r="932">
      <c r="A932" s="64"/>
      <c r="D932" s="65"/>
    </row>
    <row r="933">
      <c r="A933" s="64"/>
      <c r="D933" s="65"/>
    </row>
    <row r="934">
      <c r="A934" s="64"/>
      <c r="D934" s="65"/>
    </row>
    <row r="935">
      <c r="A935" s="64"/>
      <c r="D935" s="65"/>
    </row>
    <row r="936">
      <c r="A936" s="64"/>
      <c r="D936" s="65"/>
    </row>
    <row r="937">
      <c r="A937" s="64"/>
      <c r="D937" s="65"/>
    </row>
    <row r="938">
      <c r="A938" s="64"/>
      <c r="D938" s="65"/>
    </row>
    <row r="939">
      <c r="A939" s="64"/>
      <c r="D939" s="65"/>
    </row>
    <row r="940">
      <c r="A940" s="64"/>
      <c r="D940" s="65"/>
    </row>
    <row r="941">
      <c r="A941" s="64"/>
      <c r="D941" s="65"/>
    </row>
    <row r="942">
      <c r="A942" s="64"/>
      <c r="D942" s="65"/>
    </row>
    <row r="943">
      <c r="A943" s="64"/>
      <c r="D943" s="65"/>
    </row>
    <row r="944">
      <c r="A944" s="64"/>
      <c r="D944" s="65"/>
    </row>
    <row r="945">
      <c r="A945" s="64"/>
      <c r="D945" s="65"/>
    </row>
    <row r="946">
      <c r="A946" s="64"/>
      <c r="D946" s="65"/>
    </row>
    <row r="947">
      <c r="A947" s="64"/>
      <c r="D947" s="65"/>
    </row>
    <row r="948">
      <c r="A948" s="64"/>
      <c r="D948" s="65"/>
    </row>
    <row r="949">
      <c r="A949" s="64"/>
      <c r="D949" s="65"/>
    </row>
    <row r="950">
      <c r="A950" s="64"/>
      <c r="D950" s="65"/>
    </row>
    <row r="951">
      <c r="A951" s="64"/>
      <c r="D951" s="65"/>
    </row>
    <row r="952">
      <c r="A952" s="64"/>
      <c r="D952" s="65"/>
    </row>
    <row r="953">
      <c r="A953" s="64"/>
      <c r="D953" s="65"/>
    </row>
    <row r="954">
      <c r="A954" s="64"/>
      <c r="D954" s="65"/>
    </row>
    <row r="955">
      <c r="A955" s="64"/>
      <c r="D955" s="65"/>
    </row>
    <row r="956">
      <c r="A956" s="64"/>
      <c r="D956" s="65"/>
    </row>
    <row r="957">
      <c r="A957" s="64"/>
      <c r="D957" s="65"/>
    </row>
    <row r="958">
      <c r="A958" s="64"/>
      <c r="D958" s="65"/>
    </row>
    <row r="959">
      <c r="A959" s="64"/>
      <c r="D959" s="65"/>
    </row>
    <row r="960">
      <c r="A960" s="64"/>
      <c r="D960" s="65"/>
    </row>
    <row r="961">
      <c r="A961" s="64"/>
      <c r="D961" s="65"/>
    </row>
    <row r="962">
      <c r="A962" s="64"/>
      <c r="D962" s="65"/>
    </row>
    <row r="963">
      <c r="A963" s="64"/>
      <c r="D963" s="65"/>
    </row>
    <row r="964">
      <c r="A964" s="64"/>
      <c r="D964" s="65"/>
    </row>
    <row r="965">
      <c r="A965" s="64"/>
      <c r="D965" s="65"/>
    </row>
    <row r="966">
      <c r="A966" s="64"/>
      <c r="D966" s="65"/>
    </row>
    <row r="967">
      <c r="A967" s="64"/>
      <c r="D967" s="65"/>
    </row>
    <row r="968">
      <c r="A968" s="64"/>
      <c r="D968" s="65"/>
    </row>
    <row r="969">
      <c r="A969" s="64"/>
      <c r="D969" s="65"/>
    </row>
    <row r="970">
      <c r="A970" s="64"/>
      <c r="D970" s="65"/>
    </row>
    <row r="971">
      <c r="A971" s="64"/>
      <c r="D971" s="65"/>
    </row>
    <row r="972">
      <c r="A972" s="64"/>
      <c r="D972" s="65"/>
    </row>
    <row r="973">
      <c r="A973" s="64"/>
      <c r="D973" s="65"/>
    </row>
    <row r="974">
      <c r="A974" s="64"/>
      <c r="D974" s="65"/>
    </row>
    <row r="975">
      <c r="A975" s="64"/>
      <c r="D975" s="65"/>
    </row>
    <row r="976">
      <c r="A976" s="64"/>
      <c r="D976" s="65"/>
    </row>
    <row r="977">
      <c r="A977" s="64"/>
      <c r="D977" s="65"/>
    </row>
    <row r="978">
      <c r="A978" s="64"/>
      <c r="D978" s="65"/>
    </row>
    <row r="979">
      <c r="A979" s="64"/>
      <c r="D979" s="65"/>
    </row>
    <row r="980">
      <c r="A980" s="64"/>
      <c r="D980" s="65"/>
    </row>
    <row r="981">
      <c r="A981" s="64"/>
      <c r="D981" s="65"/>
    </row>
    <row r="982">
      <c r="A982" s="64"/>
      <c r="D982" s="65"/>
    </row>
    <row r="983">
      <c r="A983" s="64"/>
      <c r="D983" s="65"/>
    </row>
    <row r="984">
      <c r="A984" s="64"/>
      <c r="D984" s="65"/>
    </row>
    <row r="985">
      <c r="A985" s="64"/>
      <c r="D985" s="65"/>
    </row>
    <row r="986">
      <c r="A986" s="64"/>
      <c r="D986" s="65"/>
    </row>
    <row r="987">
      <c r="A987" s="64"/>
      <c r="D987" s="65"/>
    </row>
    <row r="988">
      <c r="A988" s="64"/>
      <c r="D988" s="65"/>
    </row>
    <row r="989">
      <c r="A989" s="64"/>
      <c r="D989" s="65"/>
    </row>
    <row r="990">
      <c r="A990" s="64"/>
      <c r="D990" s="65"/>
    </row>
    <row r="991">
      <c r="A991" s="64"/>
      <c r="D991" s="65"/>
    </row>
    <row r="992">
      <c r="A992" s="64"/>
      <c r="D992" s="65"/>
    </row>
    <row r="993">
      <c r="A993" s="64"/>
      <c r="D993" s="65"/>
    </row>
    <row r="994">
      <c r="A994" s="64"/>
      <c r="D994" s="65"/>
    </row>
    <row r="995">
      <c r="A995" s="64"/>
      <c r="D995" s="65"/>
    </row>
    <row r="996">
      <c r="A996" s="64"/>
      <c r="D996" s="65"/>
    </row>
    <row r="997">
      <c r="A997" s="64"/>
      <c r="D997" s="65"/>
    </row>
    <row r="998">
      <c r="A998" s="64"/>
      <c r="D998" s="65"/>
    </row>
  </sheetData>
  <dataValidations>
    <dataValidation type="custom" allowBlank="1" showDropDown="1" sqref="A2:A19">
      <formula1>OR(NOT(ISERROR(DATEVALUE(A2))), AND(ISNUMBER(A2), LEFT(CELL("format", A2))="D"))</formula1>
    </dataValidation>
    <dataValidation type="custom" allowBlank="1" showDropDown="1" sqref="D2:H1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75"/>
  </cols>
  <sheetData>
    <row r="1"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1.0"/>
    <col customWidth="1" min="3" max="4" width="12.25"/>
    <col customWidth="1" min="5" max="5" width="32.88"/>
    <col customWidth="1" min="6" max="7" width="14.0"/>
    <col customWidth="1" min="8" max="8" width="30.13"/>
    <col customWidth="1" min="9" max="9" width="9.38"/>
    <col customWidth="1" min="10" max="10" width="16.25"/>
    <col customWidth="1" min="11" max="11" width="13.75"/>
    <col customWidth="1" min="12" max="12" width="26.0"/>
    <col customWidth="1" min="13" max="14" width="15.38"/>
  </cols>
  <sheetData>
    <row r="1">
      <c r="A1" s="68" t="s">
        <v>677</v>
      </c>
      <c r="B1" s="68" t="s">
        <v>1</v>
      </c>
      <c r="C1" s="68" t="s">
        <v>2</v>
      </c>
      <c r="D1" s="68" t="s">
        <v>678</v>
      </c>
      <c r="E1" s="68" t="s">
        <v>679</v>
      </c>
      <c r="F1" s="69" t="s">
        <v>55</v>
      </c>
      <c r="G1" s="70" t="s">
        <v>680</v>
      </c>
      <c r="H1" s="68" t="s">
        <v>681</v>
      </c>
      <c r="I1" s="69" t="s">
        <v>63</v>
      </c>
      <c r="J1" s="71" t="s">
        <v>64</v>
      </c>
      <c r="K1" s="72" t="s">
        <v>682</v>
      </c>
      <c r="L1" s="73" t="s">
        <v>683</v>
      </c>
      <c r="M1" s="68" t="s">
        <v>684</v>
      </c>
      <c r="N1" s="70" t="s">
        <v>685</v>
      </c>
    </row>
    <row r="2">
      <c r="A2" s="74"/>
      <c r="B2" s="52"/>
      <c r="C2" s="52"/>
      <c r="D2" s="52"/>
      <c r="E2" s="52" t="s">
        <v>686</v>
      </c>
      <c r="F2" s="75"/>
      <c r="G2" s="75">
        <v>3.0</v>
      </c>
      <c r="H2" s="56">
        <v>45858.0</v>
      </c>
      <c r="I2" s="49" t="b">
        <v>0</v>
      </c>
      <c r="J2" s="51"/>
      <c r="K2" s="75"/>
      <c r="L2" s="76" t="str">
        <f t="shared" ref="L2:L4" si="1">IF(ISBLANK(J2),"",J2-H2)</f>
        <v/>
      </c>
      <c r="M2" s="75" t="str">
        <f t="shared" ref="M2:M4" si="2">IF(K2="","",IF(K2-G2&lt;0,"",K2-G2))</f>
        <v/>
      </c>
      <c r="N2" s="77" t="str">
        <f t="shared" ref="N2:N4" si="3">IF(K2="","",IF(K2/G2&lt;0,"",K2/G2))</f>
        <v/>
      </c>
    </row>
    <row r="3">
      <c r="A3" s="74"/>
      <c r="B3" s="52"/>
      <c r="C3" s="52"/>
      <c r="D3" s="52"/>
      <c r="E3" s="52" t="s">
        <v>686</v>
      </c>
      <c r="F3" s="75"/>
      <c r="G3" s="75">
        <v>25.0</v>
      </c>
      <c r="H3" s="56">
        <v>45886.0</v>
      </c>
      <c r="I3" s="56" t="b">
        <v>0</v>
      </c>
      <c r="J3" s="56"/>
      <c r="K3" s="75"/>
      <c r="L3" s="76" t="str">
        <f t="shared" si="1"/>
        <v/>
      </c>
      <c r="M3" s="75" t="str">
        <f t="shared" si="2"/>
        <v/>
      </c>
      <c r="N3" s="77" t="str">
        <f t="shared" si="3"/>
        <v/>
      </c>
    </row>
    <row r="4">
      <c r="A4" s="74"/>
      <c r="B4" s="52"/>
      <c r="C4" s="52"/>
      <c r="D4" s="52"/>
      <c r="E4" s="52" t="s">
        <v>687</v>
      </c>
      <c r="F4" s="75"/>
      <c r="G4" s="75">
        <v>9.39</v>
      </c>
      <c r="H4" s="56">
        <v>45901.0</v>
      </c>
      <c r="I4" s="56" t="b">
        <v>0</v>
      </c>
      <c r="J4" s="56"/>
      <c r="K4" s="75"/>
      <c r="L4" s="76" t="str">
        <f t="shared" si="1"/>
        <v/>
      </c>
      <c r="M4" s="75" t="str">
        <f t="shared" si="2"/>
        <v/>
      </c>
      <c r="N4" s="77" t="str">
        <f t="shared" si="3"/>
        <v/>
      </c>
    </row>
    <row r="5">
      <c r="A5" s="78"/>
      <c r="B5" s="79"/>
      <c r="C5" s="79"/>
      <c r="D5" s="79"/>
      <c r="E5" s="79"/>
      <c r="F5" s="80"/>
      <c r="G5" s="80"/>
      <c r="H5" s="81"/>
      <c r="I5" s="81" t="b">
        <v>0</v>
      </c>
      <c r="J5" s="81"/>
      <c r="K5" s="80"/>
      <c r="L5" s="82"/>
      <c r="M5" s="80"/>
      <c r="N5" s="83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</row>
    <row r="6">
      <c r="A6" s="74"/>
      <c r="B6" s="52"/>
      <c r="C6" s="52"/>
      <c r="D6" s="52"/>
      <c r="E6" s="52" t="s">
        <v>688</v>
      </c>
      <c r="F6" s="85" t="s">
        <v>689</v>
      </c>
      <c r="G6" s="75">
        <v>0.0</v>
      </c>
      <c r="H6" s="56">
        <v>45896.0</v>
      </c>
      <c r="I6" s="56" t="b">
        <v>0</v>
      </c>
      <c r="J6" s="56"/>
      <c r="K6" s="75"/>
      <c r="L6" s="76" t="str">
        <f t="shared" ref="L6:L13" si="4">IF(ISBLANK(J6),"",J6-H6)</f>
        <v/>
      </c>
      <c r="M6" s="75" t="str">
        <f t="shared" ref="M6:M13" si="5">IF(K6="","",IF(K6-G6&lt;0,"",K6-G6))</f>
        <v/>
      </c>
      <c r="N6" s="77" t="str">
        <f t="shared" ref="N6:N13" si="6">IF(K6="","",IF(K6/G6&lt;0,"",K6/G6))</f>
        <v/>
      </c>
    </row>
    <row r="7">
      <c r="A7" s="74"/>
      <c r="B7" s="52"/>
      <c r="C7" s="52"/>
      <c r="D7" s="52"/>
      <c r="E7" s="52" t="s">
        <v>690</v>
      </c>
      <c r="F7" s="85" t="s">
        <v>691</v>
      </c>
      <c r="G7" s="75">
        <v>0.0</v>
      </c>
      <c r="H7" s="56">
        <v>45901.0</v>
      </c>
      <c r="I7" s="56" t="b">
        <v>0</v>
      </c>
      <c r="J7" s="56"/>
      <c r="K7" s="75"/>
      <c r="L7" s="76" t="str">
        <f t="shared" si="4"/>
        <v/>
      </c>
      <c r="M7" s="75" t="str">
        <f t="shared" si="5"/>
        <v/>
      </c>
      <c r="N7" s="77" t="str">
        <f t="shared" si="6"/>
        <v/>
      </c>
    </row>
    <row r="8">
      <c r="A8" s="74"/>
      <c r="B8" s="52"/>
      <c r="C8" s="52"/>
      <c r="D8" s="52"/>
      <c r="E8" s="52" t="s">
        <v>692</v>
      </c>
      <c r="F8" s="85" t="s">
        <v>693</v>
      </c>
      <c r="G8" s="75">
        <v>0.0</v>
      </c>
      <c r="H8" s="56">
        <v>45901.0</v>
      </c>
      <c r="I8" s="56" t="b">
        <v>0</v>
      </c>
      <c r="J8" s="56"/>
      <c r="K8" s="75"/>
      <c r="L8" s="76" t="str">
        <f t="shared" si="4"/>
        <v/>
      </c>
      <c r="M8" s="75" t="str">
        <f t="shared" si="5"/>
        <v/>
      </c>
      <c r="N8" s="77" t="str">
        <f t="shared" si="6"/>
        <v/>
      </c>
    </row>
    <row r="9">
      <c r="A9" s="74"/>
      <c r="B9" s="52"/>
      <c r="C9" s="52"/>
      <c r="D9" s="52"/>
      <c r="E9" s="52" t="s">
        <v>694</v>
      </c>
      <c r="F9" s="85" t="s">
        <v>695</v>
      </c>
      <c r="G9" s="75">
        <v>0.0</v>
      </c>
      <c r="H9" s="56">
        <v>45901.0</v>
      </c>
      <c r="I9" s="56" t="b">
        <v>0</v>
      </c>
      <c r="J9" s="56"/>
      <c r="K9" s="75"/>
      <c r="L9" s="76" t="str">
        <f t="shared" si="4"/>
        <v/>
      </c>
      <c r="M9" s="75" t="str">
        <f t="shared" si="5"/>
        <v/>
      </c>
      <c r="N9" s="77" t="str">
        <f t="shared" si="6"/>
        <v/>
      </c>
    </row>
    <row r="10">
      <c r="A10" s="74"/>
      <c r="B10" s="52"/>
      <c r="C10" s="52"/>
      <c r="D10" s="52"/>
      <c r="E10" s="52" t="s">
        <v>696</v>
      </c>
      <c r="F10" s="85" t="s">
        <v>697</v>
      </c>
      <c r="G10" s="75">
        <v>0.0</v>
      </c>
      <c r="H10" s="56">
        <v>45901.0</v>
      </c>
      <c r="I10" s="56" t="b">
        <v>0</v>
      </c>
      <c r="J10" s="56"/>
      <c r="K10" s="75"/>
      <c r="L10" s="76" t="str">
        <f t="shared" si="4"/>
        <v/>
      </c>
      <c r="M10" s="75" t="str">
        <f t="shared" si="5"/>
        <v/>
      </c>
      <c r="N10" s="77" t="str">
        <f t="shared" si="6"/>
        <v/>
      </c>
    </row>
    <row r="11">
      <c r="A11" s="74"/>
      <c r="B11" s="52"/>
      <c r="C11" s="52"/>
      <c r="D11" s="52"/>
      <c r="E11" s="52" t="s">
        <v>698</v>
      </c>
      <c r="F11" s="85" t="s">
        <v>699</v>
      </c>
      <c r="G11" s="75">
        <v>0.0</v>
      </c>
      <c r="H11" s="56">
        <v>45901.0</v>
      </c>
      <c r="I11" s="56" t="b">
        <v>0</v>
      </c>
      <c r="J11" s="56"/>
      <c r="K11" s="75"/>
      <c r="L11" s="76" t="str">
        <f t="shared" si="4"/>
        <v/>
      </c>
      <c r="M11" s="75" t="str">
        <f t="shared" si="5"/>
        <v/>
      </c>
      <c r="N11" s="77" t="str">
        <f t="shared" si="6"/>
        <v/>
      </c>
    </row>
    <row r="12">
      <c r="A12" s="74"/>
      <c r="B12" s="52"/>
      <c r="C12" s="52"/>
      <c r="D12" s="52"/>
      <c r="E12" s="52" t="s">
        <v>700</v>
      </c>
      <c r="F12" s="85" t="s">
        <v>701</v>
      </c>
      <c r="G12" s="75">
        <v>0.0</v>
      </c>
      <c r="H12" s="56">
        <v>45901.0</v>
      </c>
      <c r="I12" s="56" t="b">
        <v>0</v>
      </c>
      <c r="J12" s="56"/>
      <c r="K12" s="75"/>
      <c r="L12" s="76" t="str">
        <f t="shared" si="4"/>
        <v/>
      </c>
      <c r="M12" s="75" t="str">
        <f t="shared" si="5"/>
        <v/>
      </c>
      <c r="N12" s="77" t="str">
        <f t="shared" si="6"/>
        <v/>
      </c>
    </row>
    <row r="13">
      <c r="A13" s="74"/>
      <c r="B13" s="52"/>
      <c r="C13" s="52"/>
      <c r="D13" s="52"/>
      <c r="E13" s="52" t="s">
        <v>702</v>
      </c>
      <c r="F13" s="85" t="s">
        <v>703</v>
      </c>
      <c r="G13" s="75">
        <v>0.0</v>
      </c>
      <c r="H13" s="56">
        <v>45901.0</v>
      </c>
      <c r="I13" s="56" t="b">
        <v>0</v>
      </c>
      <c r="J13" s="56"/>
      <c r="K13" s="75"/>
      <c r="L13" s="76" t="str">
        <f t="shared" si="4"/>
        <v/>
      </c>
      <c r="M13" s="75" t="str">
        <f t="shared" si="5"/>
        <v/>
      </c>
      <c r="N13" s="77" t="str">
        <f t="shared" si="6"/>
        <v/>
      </c>
    </row>
    <row r="14">
      <c r="A14" s="78"/>
      <c r="B14" s="79"/>
      <c r="C14" s="79"/>
      <c r="D14" s="79"/>
      <c r="E14" s="79"/>
      <c r="F14" s="80"/>
      <c r="G14" s="80"/>
      <c r="H14" s="81"/>
      <c r="I14" s="81" t="b">
        <v>0</v>
      </c>
      <c r="J14" s="81"/>
      <c r="K14" s="80"/>
      <c r="L14" s="82"/>
      <c r="M14" s="80"/>
      <c r="N14" s="83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</row>
    <row r="15">
      <c r="A15" s="86" t="s">
        <v>15</v>
      </c>
      <c r="B15" s="49"/>
      <c r="C15" s="49"/>
      <c r="D15" s="49"/>
      <c r="E15" s="49" t="s">
        <v>704</v>
      </c>
      <c r="F15" s="85" t="s">
        <v>705</v>
      </c>
      <c r="G15" s="75">
        <v>7.18</v>
      </c>
      <c r="H15" s="56">
        <v>45904.0</v>
      </c>
      <c r="I15" s="49" t="b">
        <v>0</v>
      </c>
      <c r="J15" s="51"/>
      <c r="K15" s="75"/>
      <c r="L15" s="76" t="str">
        <f t="shared" ref="L15:L19" si="7">IF(ISBLANK(J15),"",J15-H15)</f>
        <v/>
      </c>
      <c r="M15" s="75" t="str">
        <f t="shared" ref="M15:M29" si="8">IF(K15="","",IF(K15-G15&lt;0,"",K15-G15))</f>
        <v/>
      </c>
      <c r="N15" s="77" t="str">
        <f t="shared" ref="N15:N29" si="9">IF(K15="","",IF(K15/G15&lt;0,"",K15/G15))</f>
        <v/>
      </c>
    </row>
    <row r="16">
      <c r="A16" s="87"/>
      <c r="B16" s="49"/>
      <c r="C16" s="49"/>
      <c r="D16" s="49"/>
      <c r="E16" s="49" t="s">
        <v>704</v>
      </c>
      <c r="F16" s="85" t="s">
        <v>706</v>
      </c>
      <c r="G16" s="75">
        <v>7.18</v>
      </c>
      <c r="H16" s="56">
        <v>45904.0</v>
      </c>
      <c r="I16" s="56" t="b">
        <v>0</v>
      </c>
      <c r="J16" s="56"/>
      <c r="K16" s="75"/>
      <c r="L16" s="76" t="str">
        <f t="shared" si="7"/>
        <v/>
      </c>
      <c r="M16" s="75" t="str">
        <f t="shared" si="8"/>
        <v/>
      </c>
      <c r="N16" s="77" t="str">
        <f t="shared" si="9"/>
        <v/>
      </c>
    </row>
    <row r="17">
      <c r="A17" s="87"/>
      <c r="B17" s="49"/>
      <c r="C17" s="49"/>
      <c r="D17" s="49"/>
      <c r="E17" s="49" t="s">
        <v>704</v>
      </c>
      <c r="F17" s="85" t="s">
        <v>707</v>
      </c>
      <c r="G17" s="75">
        <v>7.18</v>
      </c>
      <c r="H17" s="56">
        <v>45904.0</v>
      </c>
      <c r="I17" s="56" t="b">
        <v>0</v>
      </c>
      <c r="J17" s="56"/>
      <c r="K17" s="75"/>
      <c r="L17" s="76" t="str">
        <f t="shared" si="7"/>
        <v/>
      </c>
      <c r="M17" s="75" t="str">
        <f t="shared" si="8"/>
        <v/>
      </c>
      <c r="N17" s="77" t="str">
        <f t="shared" si="9"/>
        <v/>
      </c>
    </row>
    <row r="18">
      <c r="A18" s="87"/>
      <c r="B18" s="49"/>
      <c r="C18" s="49"/>
      <c r="D18" s="49"/>
      <c r="E18" s="49" t="s">
        <v>704</v>
      </c>
      <c r="F18" s="85" t="s">
        <v>708</v>
      </c>
      <c r="G18" s="75">
        <v>7.18</v>
      </c>
      <c r="H18" s="56">
        <v>45904.0</v>
      </c>
      <c r="I18" s="56" t="b">
        <v>0</v>
      </c>
      <c r="J18" s="56"/>
      <c r="K18" s="75"/>
      <c r="L18" s="76" t="str">
        <f t="shared" si="7"/>
        <v/>
      </c>
      <c r="M18" s="75" t="str">
        <f t="shared" si="8"/>
        <v/>
      </c>
      <c r="N18" s="77" t="str">
        <f t="shared" si="9"/>
        <v/>
      </c>
    </row>
    <row r="19">
      <c r="A19" s="87"/>
      <c r="B19" s="49"/>
      <c r="C19" s="49"/>
      <c r="D19" s="49"/>
      <c r="E19" s="49" t="s">
        <v>709</v>
      </c>
      <c r="F19" s="85" t="s">
        <v>710</v>
      </c>
      <c r="G19" s="75">
        <v>7.18</v>
      </c>
      <c r="H19" s="56">
        <v>45904.0</v>
      </c>
      <c r="I19" s="56" t="b">
        <v>0</v>
      </c>
      <c r="J19" s="56"/>
      <c r="K19" s="75"/>
      <c r="L19" s="76" t="str">
        <f t="shared" si="7"/>
        <v/>
      </c>
      <c r="M19" s="75" t="str">
        <f t="shared" si="8"/>
        <v/>
      </c>
      <c r="N19" s="77" t="str">
        <f t="shared" si="9"/>
        <v/>
      </c>
    </row>
    <row r="20">
      <c r="A20" s="87"/>
      <c r="B20" s="49"/>
      <c r="C20" s="49"/>
      <c r="D20" s="49"/>
      <c r="E20" s="49" t="s">
        <v>704</v>
      </c>
      <c r="F20" s="85" t="s">
        <v>711</v>
      </c>
      <c r="G20" s="75">
        <v>7.18</v>
      </c>
      <c r="H20" s="56">
        <v>45904.0</v>
      </c>
      <c r="I20" s="56" t="b">
        <v>0</v>
      </c>
      <c r="J20" s="56"/>
      <c r="K20" s="75"/>
      <c r="L20" s="76"/>
      <c r="M20" s="75" t="str">
        <f t="shared" si="8"/>
        <v/>
      </c>
      <c r="N20" s="77" t="str">
        <f t="shared" si="9"/>
        <v/>
      </c>
    </row>
    <row r="21">
      <c r="A21" s="87"/>
      <c r="B21" s="49"/>
      <c r="C21" s="49"/>
      <c r="D21" s="49"/>
      <c r="E21" s="49" t="s">
        <v>704</v>
      </c>
      <c r="F21" s="85" t="s">
        <v>712</v>
      </c>
      <c r="G21" s="75">
        <v>7.18</v>
      </c>
      <c r="H21" s="56">
        <v>45904.0</v>
      </c>
      <c r="I21" s="56" t="b">
        <v>0</v>
      </c>
      <c r="J21" s="56"/>
      <c r="K21" s="75"/>
      <c r="L21" s="76" t="str">
        <f t="shared" ref="L21:L29" si="10">IF(ISBLANK(J21),"",J21-H21)</f>
        <v/>
      </c>
      <c r="M21" s="75" t="str">
        <f t="shared" si="8"/>
        <v/>
      </c>
      <c r="N21" s="77" t="str">
        <f t="shared" si="9"/>
        <v/>
      </c>
    </row>
    <row r="22">
      <c r="A22" s="87"/>
      <c r="B22" s="49"/>
      <c r="C22" s="49"/>
      <c r="D22" s="49"/>
      <c r="E22" s="49" t="s">
        <v>704</v>
      </c>
      <c r="F22" s="85" t="s">
        <v>713</v>
      </c>
      <c r="G22" s="75">
        <v>7.18</v>
      </c>
      <c r="H22" s="56">
        <v>45904.0</v>
      </c>
      <c r="I22" s="56" t="b">
        <v>0</v>
      </c>
      <c r="J22" s="56"/>
      <c r="K22" s="75"/>
      <c r="L22" s="76" t="str">
        <f t="shared" si="10"/>
        <v/>
      </c>
      <c r="M22" s="75" t="str">
        <f t="shared" si="8"/>
        <v/>
      </c>
      <c r="N22" s="77" t="str">
        <f t="shared" si="9"/>
        <v/>
      </c>
    </row>
    <row r="23">
      <c r="A23" s="87"/>
      <c r="B23" s="49"/>
      <c r="C23" s="49"/>
      <c r="D23" s="49"/>
      <c r="E23" s="49" t="s">
        <v>704</v>
      </c>
      <c r="F23" s="85" t="s">
        <v>714</v>
      </c>
      <c r="G23" s="75">
        <v>7.18</v>
      </c>
      <c r="H23" s="56">
        <v>45904.0</v>
      </c>
      <c r="I23" s="56" t="b">
        <v>0</v>
      </c>
      <c r="J23" s="56"/>
      <c r="K23" s="75"/>
      <c r="L23" s="76" t="str">
        <f t="shared" si="10"/>
        <v/>
      </c>
      <c r="M23" s="75" t="str">
        <f t="shared" si="8"/>
        <v/>
      </c>
      <c r="N23" s="77" t="str">
        <f t="shared" si="9"/>
        <v/>
      </c>
    </row>
    <row r="24">
      <c r="A24" s="87"/>
      <c r="B24" s="49"/>
      <c r="C24" s="49"/>
      <c r="D24" s="49"/>
      <c r="E24" s="49" t="s">
        <v>704</v>
      </c>
      <c r="F24" s="85" t="s">
        <v>715</v>
      </c>
      <c r="G24" s="75">
        <v>7.18</v>
      </c>
      <c r="H24" s="56">
        <v>45904.0</v>
      </c>
      <c r="I24" s="56" t="b">
        <v>0</v>
      </c>
      <c r="J24" s="56"/>
      <c r="K24" s="75"/>
      <c r="L24" s="76" t="str">
        <f t="shared" si="10"/>
        <v/>
      </c>
      <c r="M24" s="75" t="str">
        <f t="shared" si="8"/>
        <v/>
      </c>
      <c r="N24" s="77" t="str">
        <f t="shared" si="9"/>
        <v/>
      </c>
    </row>
    <row r="25">
      <c r="A25" s="87"/>
      <c r="B25" s="49"/>
      <c r="C25" s="49"/>
      <c r="D25" s="49"/>
      <c r="E25" s="49" t="s">
        <v>704</v>
      </c>
      <c r="F25" s="85" t="s">
        <v>716</v>
      </c>
      <c r="G25" s="75">
        <v>7.18</v>
      </c>
      <c r="H25" s="56">
        <v>45904.0</v>
      </c>
      <c r="I25" s="56" t="b">
        <v>0</v>
      </c>
      <c r="J25" s="56"/>
      <c r="K25" s="75"/>
      <c r="L25" s="76" t="str">
        <f t="shared" si="10"/>
        <v/>
      </c>
      <c r="M25" s="75" t="str">
        <f t="shared" si="8"/>
        <v/>
      </c>
      <c r="N25" s="77" t="str">
        <f t="shared" si="9"/>
        <v/>
      </c>
    </row>
    <row r="26">
      <c r="A26" s="87"/>
      <c r="B26" s="49"/>
      <c r="C26" s="49"/>
      <c r="D26" s="49"/>
      <c r="E26" s="49" t="s">
        <v>704</v>
      </c>
      <c r="F26" s="85" t="s">
        <v>717</v>
      </c>
      <c r="G26" s="75">
        <v>7.18</v>
      </c>
      <c r="H26" s="56">
        <v>45904.0</v>
      </c>
      <c r="I26" s="56" t="b">
        <v>0</v>
      </c>
      <c r="J26" s="56"/>
      <c r="K26" s="75"/>
      <c r="L26" s="76" t="str">
        <f t="shared" si="10"/>
        <v/>
      </c>
      <c r="M26" s="75" t="str">
        <f t="shared" si="8"/>
        <v/>
      </c>
      <c r="N26" s="77" t="str">
        <f t="shared" si="9"/>
        <v/>
      </c>
    </row>
    <row r="27">
      <c r="A27" s="87"/>
      <c r="B27" s="49"/>
      <c r="C27" s="49"/>
      <c r="D27" s="49"/>
      <c r="E27" s="49" t="s">
        <v>704</v>
      </c>
      <c r="F27" s="85" t="s">
        <v>718</v>
      </c>
      <c r="G27" s="75">
        <v>7.18</v>
      </c>
      <c r="H27" s="56">
        <v>45904.0</v>
      </c>
      <c r="I27" s="56" t="b">
        <v>0</v>
      </c>
      <c r="J27" s="56"/>
      <c r="K27" s="75"/>
      <c r="L27" s="76" t="str">
        <f t="shared" si="10"/>
        <v/>
      </c>
      <c r="M27" s="75" t="str">
        <f t="shared" si="8"/>
        <v/>
      </c>
      <c r="N27" s="77" t="str">
        <f t="shared" si="9"/>
        <v/>
      </c>
    </row>
    <row r="28">
      <c r="A28" s="87"/>
      <c r="B28" s="49"/>
      <c r="C28" s="49"/>
      <c r="D28" s="49"/>
      <c r="E28" s="49" t="s">
        <v>704</v>
      </c>
      <c r="F28" s="85" t="s">
        <v>719</v>
      </c>
      <c r="G28" s="75">
        <v>7.18</v>
      </c>
      <c r="H28" s="56">
        <v>45904.0</v>
      </c>
      <c r="I28" s="56" t="b">
        <v>0</v>
      </c>
      <c r="J28" s="56"/>
      <c r="K28" s="75"/>
      <c r="L28" s="76" t="str">
        <f t="shared" si="10"/>
        <v/>
      </c>
      <c r="M28" s="75" t="str">
        <f t="shared" si="8"/>
        <v/>
      </c>
      <c r="N28" s="77" t="str">
        <f t="shared" si="9"/>
        <v/>
      </c>
    </row>
    <row r="29">
      <c r="A29" s="87"/>
      <c r="B29" s="49"/>
      <c r="C29" s="49"/>
      <c r="D29" s="49"/>
      <c r="E29" s="49" t="s">
        <v>704</v>
      </c>
      <c r="F29" s="85" t="s">
        <v>720</v>
      </c>
      <c r="G29" s="75">
        <v>7.18</v>
      </c>
      <c r="H29" s="56">
        <v>45904.0</v>
      </c>
      <c r="I29" s="56" t="b">
        <v>0</v>
      </c>
      <c r="J29" s="56"/>
      <c r="K29" s="75"/>
      <c r="L29" s="76" t="str">
        <f t="shared" si="10"/>
        <v/>
      </c>
      <c r="M29" s="75" t="str">
        <f t="shared" si="8"/>
        <v/>
      </c>
      <c r="N29" s="77" t="str">
        <f t="shared" si="9"/>
        <v/>
      </c>
    </row>
    <row r="30">
      <c r="A30" s="78"/>
      <c r="B30" s="79"/>
      <c r="C30" s="79"/>
      <c r="D30" s="79"/>
      <c r="E30" s="79"/>
      <c r="F30" s="80"/>
      <c r="G30" s="80"/>
      <c r="H30" s="81"/>
      <c r="I30" s="81" t="b">
        <v>0</v>
      </c>
      <c r="J30" s="81"/>
      <c r="K30" s="80"/>
      <c r="L30" s="82"/>
      <c r="M30" s="80"/>
      <c r="N30" s="83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</row>
    <row r="31">
      <c r="A31" s="87"/>
      <c r="B31" s="49"/>
      <c r="C31" s="49"/>
      <c r="D31" s="49"/>
      <c r="E31" s="49" t="s">
        <v>721</v>
      </c>
      <c r="F31" s="49" t="s">
        <v>722</v>
      </c>
      <c r="G31" s="75">
        <v>1.42</v>
      </c>
      <c r="H31" s="56">
        <v>45906.0</v>
      </c>
      <c r="I31" s="56" t="b">
        <v>0</v>
      </c>
      <c r="J31" s="56"/>
      <c r="K31" s="75"/>
      <c r="L31" s="76" t="str">
        <f t="shared" ref="L31:L57" si="11">IF(ISBLANK(J31),"",J31-H31)</f>
        <v/>
      </c>
      <c r="M31" s="75" t="str">
        <f t="shared" ref="M31:M46" si="12">IF(K31="","",IF(K31-G31&lt;0,"",K31-G31))</f>
        <v/>
      </c>
      <c r="N31" s="77" t="str">
        <f t="shared" ref="N31:N57" si="13">IF(K31="","",IF(K31/G31&lt;0,"",K31/G31))</f>
        <v/>
      </c>
    </row>
    <row r="32">
      <c r="A32" s="87"/>
      <c r="B32" s="49"/>
      <c r="C32" s="49"/>
      <c r="D32" s="49"/>
      <c r="E32" s="49" t="s">
        <v>721</v>
      </c>
      <c r="F32" s="49" t="s">
        <v>723</v>
      </c>
      <c r="G32" s="75">
        <v>1.42</v>
      </c>
      <c r="H32" s="56">
        <v>45906.0</v>
      </c>
      <c r="I32" s="56" t="b">
        <v>0</v>
      </c>
      <c r="J32" s="56"/>
      <c r="K32" s="75"/>
      <c r="L32" s="76" t="str">
        <f t="shared" si="11"/>
        <v/>
      </c>
      <c r="M32" s="75" t="str">
        <f t="shared" si="12"/>
        <v/>
      </c>
      <c r="N32" s="77" t="str">
        <f t="shared" si="13"/>
        <v/>
      </c>
    </row>
    <row r="33">
      <c r="A33" s="87"/>
      <c r="B33" s="49"/>
      <c r="C33" s="49"/>
      <c r="D33" s="49"/>
      <c r="E33" s="49" t="s">
        <v>721</v>
      </c>
      <c r="F33" s="49" t="s">
        <v>724</v>
      </c>
      <c r="G33" s="75">
        <v>1.42</v>
      </c>
      <c r="H33" s="56">
        <v>45906.0</v>
      </c>
      <c r="I33" s="56" t="b">
        <v>0</v>
      </c>
      <c r="J33" s="56"/>
      <c r="K33" s="75"/>
      <c r="L33" s="76" t="str">
        <f t="shared" si="11"/>
        <v/>
      </c>
      <c r="M33" s="75" t="str">
        <f t="shared" si="12"/>
        <v/>
      </c>
      <c r="N33" s="77" t="str">
        <f t="shared" si="13"/>
        <v/>
      </c>
    </row>
    <row r="34">
      <c r="A34" s="87"/>
      <c r="B34" s="49"/>
      <c r="C34" s="49"/>
      <c r="D34" s="49"/>
      <c r="E34" s="49" t="s">
        <v>721</v>
      </c>
      <c r="F34" s="49" t="s">
        <v>725</v>
      </c>
      <c r="G34" s="75">
        <v>1.42</v>
      </c>
      <c r="H34" s="56">
        <v>45906.0</v>
      </c>
      <c r="I34" s="56" t="b">
        <v>0</v>
      </c>
      <c r="J34" s="56"/>
      <c r="K34" s="75"/>
      <c r="L34" s="76" t="str">
        <f t="shared" si="11"/>
        <v/>
      </c>
      <c r="M34" s="75" t="str">
        <f t="shared" si="12"/>
        <v/>
      </c>
      <c r="N34" s="77" t="str">
        <f t="shared" si="13"/>
        <v/>
      </c>
    </row>
    <row r="35">
      <c r="A35" s="87"/>
      <c r="B35" s="49"/>
      <c r="C35" s="49"/>
      <c r="D35" s="49"/>
      <c r="E35" s="49" t="s">
        <v>721</v>
      </c>
      <c r="F35" s="49" t="s">
        <v>726</v>
      </c>
      <c r="G35" s="75">
        <v>1.42</v>
      </c>
      <c r="H35" s="56">
        <v>45906.0</v>
      </c>
      <c r="I35" s="56" t="b">
        <v>0</v>
      </c>
      <c r="J35" s="56"/>
      <c r="K35" s="75"/>
      <c r="L35" s="76" t="str">
        <f t="shared" si="11"/>
        <v/>
      </c>
      <c r="M35" s="75" t="str">
        <f t="shared" si="12"/>
        <v/>
      </c>
      <c r="N35" s="77" t="str">
        <f t="shared" si="13"/>
        <v/>
      </c>
    </row>
    <row r="36">
      <c r="A36" s="87"/>
      <c r="B36" s="49"/>
      <c r="C36" s="49"/>
      <c r="D36" s="49"/>
      <c r="E36" s="49" t="s">
        <v>721</v>
      </c>
      <c r="F36" s="49" t="s">
        <v>727</v>
      </c>
      <c r="G36" s="75">
        <v>1.42</v>
      </c>
      <c r="H36" s="56">
        <v>45906.0</v>
      </c>
      <c r="I36" s="56" t="b">
        <v>0</v>
      </c>
      <c r="J36" s="56"/>
      <c r="K36" s="75"/>
      <c r="L36" s="76" t="str">
        <f t="shared" si="11"/>
        <v/>
      </c>
      <c r="M36" s="75" t="str">
        <f t="shared" si="12"/>
        <v/>
      </c>
      <c r="N36" s="77" t="str">
        <f t="shared" si="13"/>
        <v/>
      </c>
    </row>
    <row r="37">
      <c r="A37" s="87"/>
      <c r="B37" s="49"/>
      <c r="C37" s="49"/>
      <c r="D37" s="49"/>
      <c r="E37" s="49" t="s">
        <v>721</v>
      </c>
      <c r="F37" s="49" t="s">
        <v>728</v>
      </c>
      <c r="G37" s="75">
        <v>1.42</v>
      </c>
      <c r="H37" s="56">
        <v>45906.0</v>
      </c>
      <c r="I37" s="56" t="b">
        <v>0</v>
      </c>
      <c r="J37" s="56"/>
      <c r="K37" s="75"/>
      <c r="L37" s="76" t="str">
        <f t="shared" si="11"/>
        <v/>
      </c>
      <c r="M37" s="75" t="str">
        <f t="shared" si="12"/>
        <v/>
      </c>
      <c r="N37" s="77" t="str">
        <f t="shared" si="13"/>
        <v/>
      </c>
    </row>
    <row r="38">
      <c r="A38" s="87"/>
      <c r="B38" s="49"/>
      <c r="C38" s="49"/>
      <c r="D38" s="49"/>
      <c r="E38" s="49" t="s">
        <v>721</v>
      </c>
      <c r="F38" s="49" t="s">
        <v>729</v>
      </c>
      <c r="G38" s="75">
        <v>1.42</v>
      </c>
      <c r="H38" s="56">
        <v>45906.0</v>
      </c>
      <c r="I38" s="56" t="b">
        <v>0</v>
      </c>
      <c r="J38" s="56"/>
      <c r="K38" s="75"/>
      <c r="L38" s="76" t="str">
        <f t="shared" si="11"/>
        <v/>
      </c>
      <c r="M38" s="75" t="str">
        <f t="shared" si="12"/>
        <v/>
      </c>
      <c r="N38" s="77" t="str">
        <f t="shared" si="13"/>
        <v/>
      </c>
    </row>
    <row r="39">
      <c r="A39" s="87"/>
      <c r="B39" s="49"/>
      <c r="C39" s="49"/>
      <c r="D39" s="49"/>
      <c r="E39" s="49" t="s">
        <v>721</v>
      </c>
      <c r="F39" s="49" t="s">
        <v>730</v>
      </c>
      <c r="G39" s="75">
        <v>1.42</v>
      </c>
      <c r="H39" s="56">
        <v>45906.0</v>
      </c>
      <c r="I39" s="56" t="b">
        <v>0</v>
      </c>
      <c r="J39" s="56"/>
      <c r="K39" s="75"/>
      <c r="L39" s="76" t="str">
        <f t="shared" si="11"/>
        <v/>
      </c>
      <c r="M39" s="75" t="str">
        <f t="shared" si="12"/>
        <v/>
      </c>
      <c r="N39" s="77" t="str">
        <f t="shared" si="13"/>
        <v/>
      </c>
    </row>
    <row r="40">
      <c r="A40" s="87"/>
      <c r="B40" s="49"/>
      <c r="C40" s="49"/>
      <c r="D40" s="49"/>
      <c r="E40" s="49" t="s">
        <v>721</v>
      </c>
      <c r="F40" s="49" t="s">
        <v>731</v>
      </c>
      <c r="G40" s="75">
        <v>1.42</v>
      </c>
      <c r="H40" s="56">
        <v>45906.0</v>
      </c>
      <c r="I40" s="56" t="b">
        <v>0</v>
      </c>
      <c r="J40" s="56"/>
      <c r="K40" s="75"/>
      <c r="L40" s="76" t="str">
        <f t="shared" si="11"/>
        <v/>
      </c>
      <c r="M40" s="75" t="str">
        <f t="shared" si="12"/>
        <v/>
      </c>
      <c r="N40" s="77" t="str">
        <f t="shared" si="13"/>
        <v/>
      </c>
    </row>
    <row r="41">
      <c r="A41" s="87"/>
      <c r="B41" s="49"/>
      <c r="C41" s="49"/>
      <c r="D41" s="49"/>
      <c r="E41" s="49" t="s">
        <v>721</v>
      </c>
      <c r="F41" s="49" t="s">
        <v>732</v>
      </c>
      <c r="G41" s="75">
        <v>1.42</v>
      </c>
      <c r="H41" s="56">
        <v>45906.0</v>
      </c>
      <c r="I41" s="56" t="b">
        <v>0</v>
      </c>
      <c r="J41" s="56"/>
      <c r="K41" s="75"/>
      <c r="L41" s="76" t="str">
        <f t="shared" si="11"/>
        <v/>
      </c>
      <c r="M41" s="75" t="str">
        <f t="shared" si="12"/>
        <v/>
      </c>
      <c r="N41" s="77" t="str">
        <f t="shared" si="13"/>
        <v/>
      </c>
    </row>
    <row r="42">
      <c r="A42" s="87"/>
      <c r="B42" s="49"/>
      <c r="C42" s="49"/>
      <c r="D42" s="49"/>
      <c r="E42" s="49" t="s">
        <v>721</v>
      </c>
      <c r="F42" s="49" t="s">
        <v>733</v>
      </c>
      <c r="G42" s="75">
        <v>1.42</v>
      </c>
      <c r="H42" s="56">
        <v>45906.0</v>
      </c>
      <c r="I42" s="56" t="b">
        <v>0</v>
      </c>
      <c r="J42" s="56"/>
      <c r="K42" s="75"/>
      <c r="L42" s="76" t="str">
        <f t="shared" si="11"/>
        <v/>
      </c>
      <c r="M42" s="75" t="str">
        <f t="shared" si="12"/>
        <v/>
      </c>
      <c r="N42" s="77" t="str">
        <f t="shared" si="13"/>
        <v/>
      </c>
    </row>
    <row r="43">
      <c r="A43" s="87"/>
      <c r="B43" s="49"/>
      <c r="C43" s="49"/>
      <c r="D43" s="49"/>
      <c r="E43" s="49" t="s">
        <v>721</v>
      </c>
      <c r="F43" s="49" t="s">
        <v>734</v>
      </c>
      <c r="G43" s="75">
        <v>1.42</v>
      </c>
      <c r="H43" s="56">
        <v>45906.0</v>
      </c>
      <c r="I43" s="56" t="b">
        <v>0</v>
      </c>
      <c r="J43" s="56"/>
      <c r="K43" s="75"/>
      <c r="L43" s="76" t="str">
        <f t="shared" si="11"/>
        <v/>
      </c>
      <c r="M43" s="75" t="str">
        <f t="shared" si="12"/>
        <v/>
      </c>
      <c r="N43" s="77" t="str">
        <f t="shared" si="13"/>
        <v/>
      </c>
    </row>
    <row r="44">
      <c r="A44" s="87"/>
      <c r="B44" s="49"/>
      <c r="C44" s="49"/>
      <c r="D44" s="49"/>
      <c r="E44" s="49" t="s">
        <v>721</v>
      </c>
      <c r="F44" s="49" t="s">
        <v>735</v>
      </c>
      <c r="G44" s="75">
        <v>1.42</v>
      </c>
      <c r="H44" s="56">
        <v>45906.0</v>
      </c>
      <c r="I44" s="56" t="b">
        <v>0</v>
      </c>
      <c r="J44" s="56"/>
      <c r="K44" s="75"/>
      <c r="L44" s="76" t="str">
        <f t="shared" si="11"/>
        <v/>
      </c>
      <c r="M44" s="75" t="str">
        <f t="shared" si="12"/>
        <v/>
      </c>
      <c r="N44" s="77" t="str">
        <f t="shared" si="13"/>
        <v/>
      </c>
    </row>
    <row r="45">
      <c r="A45" s="87"/>
      <c r="B45" s="49"/>
      <c r="C45" s="49"/>
      <c r="D45" s="49"/>
      <c r="E45" s="49" t="s">
        <v>721</v>
      </c>
      <c r="F45" s="49" t="s">
        <v>736</v>
      </c>
      <c r="G45" s="75">
        <v>1.42</v>
      </c>
      <c r="H45" s="56">
        <v>45906.0</v>
      </c>
      <c r="I45" s="56" t="b">
        <v>0</v>
      </c>
      <c r="J45" s="56"/>
      <c r="K45" s="75"/>
      <c r="L45" s="76" t="str">
        <f t="shared" si="11"/>
        <v/>
      </c>
      <c r="M45" s="75" t="str">
        <f t="shared" si="12"/>
        <v/>
      </c>
      <c r="N45" s="77" t="str">
        <f t="shared" si="13"/>
        <v/>
      </c>
    </row>
    <row r="46">
      <c r="A46" s="87"/>
      <c r="B46" s="49"/>
      <c r="C46" s="49"/>
      <c r="D46" s="49"/>
      <c r="E46" s="49" t="s">
        <v>721</v>
      </c>
      <c r="F46" s="49" t="s">
        <v>737</v>
      </c>
      <c r="G46" s="75">
        <v>1.42</v>
      </c>
      <c r="H46" s="56">
        <v>45906.0</v>
      </c>
      <c r="I46" s="56" t="b">
        <v>0</v>
      </c>
      <c r="J46" s="56"/>
      <c r="K46" s="75"/>
      <c r="L46" s="76" t="str">
        <f t="shared" si="11"/>
        <v/>
      </c>
      <c r="M46" s="75" t="str">
        <f t="shared" si="12"/>
        <v/>
      </c>
      <c r="N46" s="77" t="str">
        <f t="shared" si="13"/>
        <v/>
      </c>
    </row>
    <row r="47">
      <c r="A47" s="87"/>
      <c r="B47" s="49"/>
      <c r="C47" s="49"/>
      <c r="D47" s="49"/>
      <c r="E47" s="49" t="s">
        <v>721</v>
      </c>
      <c r="F47" s="49" t="s">
        <v>738</v>
      </c>
      <c r="G47" s="75">
        <v>1.42</v>
      </c>
      <c r="H47" s="56">
        <v>45906.0</v>
      </c>
      <c r="I47" s="56" t="b">
        <v>0</v>
      </c>
      <c r="J47" s="56"/>
      <c r="K47" s="75"/>
      <c r="L47" s="76" t="str">
        <f t="shared" si="11"/>
        <v/>
      </c>
      <c r="M47" s="75"/>
      <c r="N47" s="77" t="str">
        <f t="shared" si="13"/>
        <v/>
      </c>
    </row>
    <row r="48">
      <c r="A48" s="87"/>
      <c r="B48" s="49"/>
      <c r="C48" s="49"/>
      <c r="D48" s="49"/>
      <c r="E48" s="49" t="s">
        <v>721</v>
      </c>
      <c r="F48" s="49" t="s">
        <v>739</v>
      </c>
      <c r="G48" s="75">
        <v>1.42</v>
      </c>
      <c r="H48" s="56">
        <v>45906.0</v>
      </c>
      <c r="I48" s="56" t="b">
        <v>0</v>
      </c>
      <c r="J48" s="56"/>
      <c r="K48" s="75"/>
      <c r="L48" s="76" t="str">
        <f t="shared" si="11"/>
        <v/>
      </c>
      <c r="M48" s="75" t="str">
        <f t="shared" ref="M48:M57" si="14">IF(K48="","",IF(K48-G48&lt;0,"",K48-G48))</f>
        <v/>
      </c>
      <c r="N48" s="77" t="str">
        <f t="shared" si="13"/>
        <v/>
      </c>
    </row>
    <row r="49">
      <c r="A49" s="87"/>
      <c r="B49" s="49"/>
      <c r="C49" s="49"/>
      <c r="D49" s="49"/>
      <c r="E49" s="49" t="s">
        <v>721</v>
      </c>
      <c r="F49" s="49" t="s">
        <v>740</v>
      </c>
      <c r="G49" s="75">
        <v>1.42</v>
      </c>
      <c r="H49" s="56">
        <v>45906.0</v>
      </c>
      <c r="I49" s="56" t="b">
        <v>0</v>
      </c>
      <c r="J49" s="56"/>
      <c r="K49" s="75"/>
      <c r="L49" s="76" t="str">
        <f t="shared" si="11"/>
        <v/>
      </c>
      <c r="M49" s="75" t="str">
        <f t="shared" si="14"/>
        <v/>
      </c>
      <c r="N49" s="77" t="str">
        <f t="shared" si="13"/>
        <v/>
      </c>
    </row>
    <row r="50">
      <c r="A50" s="87"/>
      <c r="B50" s="49"/>
      <c r="C50" s="49"/>
      <c r="D50" s="49"/>
      <c r="E50" s="49" t="s">
        <v>721</v>
      </c>
      <c r="F50" s="49" t="s">
        <v>741</v>
      </c>
      <c r="G50" s="75">
        <v>1.42</v>
      </c>
      <c r="H50" s="56">
        <v>45906.0</v>
      </c>
      <c r="I50" s="56" t="b">
        <v>0</v>
      </c>
      <c r="J50" s="56"/>
      <c r="K50" s="75"/>
      <c r="L50" s="76" t="str">
        <f t="shared" si="11"/>
        <v/>
      </c>
      <c r="M50" s="75" t="str">
        <f t="shared" si="14"/>
        <v/>
      </c>
      <c r="N50" s="77" t="str">
        <f t="shared" si="13"/>
        <v/>
      </c>
    </row>
    <row r="51">
      <c r="A51" s="87"/>
      <c r="B51" s="49"/>
      <c r="C51" s="49"/>
      <c r="D51" s="49"/>
      <c r="E51" s="49" t="s">
        <v>721</v>
      </c>
      <c r="F51" s="49" t="s">
        <v>742</v>
      </c>
      <c r="G51" s="75">
        <v>1.42</v>
      </c>
      <c r="H51" s="56">
        <v>45906.0</v>
      </c>
      <c r="I51" s="56" t="b">
        <v>0</v>
      </c>
      <c r="J51" s="56"/>
      <c r="K51" s="75"/>
      <c r="L51" s="76" t="str">
        <f t="shared" si="11"/>
        <v/>
      </c>
      <c r="M51" s="75" t="str">
        <f t="shared" si="14"/>
        <v/>
      </c>
      <c r="N51" s="77" t="str">
        <f t="shared" si="13"/>
        <v/>
      </c>
    </row>
    <row r="52">
      <c r="A52" s="87"/>
      <c r="B52" s="49"/>
      <c r="C52" s="49"/>
      <c r="D52" s="49"/>
      <c r="E52" s="49" t="s">
        <v>721</v>
      </c>
      <c r="F52" s="49" t="s">
        <v>743</v>
      </c>
      <c r="G52" s="75">
        <v>1.42</v>
      </c>
      <c r="H52" s="56">
        <v>45906.0</v>
      </c>
      <c r="I52" s="56" t="b">
        <v>0</v>
      </c>
      <c r="J52" s="56"/>
      <c r="K52" s="75"/>
      <c r="L52" s="76" t="str">
        <f t="shared" si="11"/>
        <v/>
      </c>
      <c r="M52" s="75" t="str">
        <f t="shared" si="14"/>
        <v/>
      </c>
      <c r="N52" s="77" t="str">
        <f t="shared" si="13"/>
        <v/>
      </c>
    </row>
    <row r="53">
      <c r="A53" s="87"/>
      <c r="B53" s="49"/>
      <c r="C53" s="49"/>
      <c r="D53" s="49"/>
      <c r="E53" s="49" t="s">
        <v>721</v>
      </c>
      <c r="F53" s="49" t="s">
        <v>744</v>
      </c>
      <c r="G53" s="75">
        <v>1.42</v>
      </c>
      <c r="H53" s="56">
        <v>45906.0</v>
      </c>
      <c r="I53" s="56" t="b">
        <v>0</v>
      </c>
      <c r="J53" s="56"/>
      <c r="K53" s="75"/>
      <c r="L53" s="76" t="str">
        <f t="shared" si="11"/>
        <v/>
      </c>
      <c r="M53" s="75" t="str">
        <f t="shared" si="14"/>
        <v/>
      </c>
      <c r="N53" s="77" t="str">
        <f t="shared" si="13"/>
        <v/>
      </c>
    </row>
    <row r="54">
      <c r="A54" s="87"/>
      <c r="B54" s="49"/>
      <c r="C54" s="49"/>
      <c r="D54" s="49"/>
      <c r="E54" s="49" t="s">
        <v>721</v>
      </c>
      <c r="F54" s="49" t="s">
        <v>745</v>
      </c>
      <c r="G54" s="75">
        <v>1.42</v>
      </c>
      <c r="H54" s="56">
        <v>45906.0</v>
      </c>
      <c r="I54" s="56" t="b">
        <v>0</v>
      </c>
      <c r="J54" s="56"/>
      <c r="K54" s="75"/>
      <c r="L54" s="76" t="str">
        <f t="shared" si="11"/>
        <v/>
      </c>
      <c r="M54" s="75" t="str">
        <f t="shared" si="14"/>
        <v/>
      </c>
      <c r="N54" s="77" t="str">
        <f t="shared" si="13"/>
        <v/>
      </c>
    </row>
    <row r="55">
      <c r="A55" s="87"/>
      <c r="B55" s="49"/>
      <c r="C55" s="49"/>
      <c r="D55" s="49"/>
      <c r="E55" s="49" t="s">
        <v>721</v>
      </c>
      <c r="F55" s="49" t="s">
        <v>746</v>
      </c>
      <c r="G55" s="75">
        <v>1.42</v>
      </c>
      <c r="H55" s="56">
        <v>45906.0</v>
      </c>
      <c r="I55" s="56" t="b">
        <v>0</v>
      </c>
      <c r="J55" s="56"/>
      <c r="K55" s="75"/>
      <c r="L55" s="76" t="str">
        <f t="shared" si="11"/>
        <v/>
      </c>
      <c r="M55" s="75" t="str">
        <f t="shared" si="14"/>
        <v/>
      </c>
      <c r="N55" s="77" t="str">
        <f t="shared" si="13"/>
        <v/>
      </c>
    </row>
    <row r="56">
      <c r="A56" s="87"/>
      <c r="B56" s="49"/>
      <c r="C56" s="49"/>
      <c r="D56" s="49"/>
      <c r="E56" s="49" t="s">
        <v>721</v>
      </c>
      <c r="F56" s="49" t="s">
        <v>747</v>
      </c>
      <c r="G56" s="75">
        <v>1.42</v>
      </c>
      <c r="H56" s="56">
        <v>45906.0</v>
      </c>
      <c r="I56" s="56" t="b">
        <v>0</v>
      </c>
      <c r="J56" s="56"/>
      <c r="K56" s="75"/>
      <c r="L56" s="76" t="str">
        <f t="shared" si="11"/>
        <v/>
      </c>
      <c r="M56" s="75" t="str">
        <f t="shared" si="14"/>
        <v/>
      </c>
      <c r="N56" s="77" t="str">
        <f t="shared" si="13"/>
        <v/>
      </c>
    </row>
    <row r="57">
      <c r="A57" s="87"/>
      <c r="B57" s="49"/>
      <c r="C57" s="49"/>
      <c r="D57" s="49"/>
      <c r="E57" s="49" t="s">
        <v>721</v>
      </c>
      <c r="F57" s="49" t="s">
        <v>748</v>
      </c>
      <c r="G57" s="75">
        <v>1.42</v>
      </c>
      <c r="H57" s="56">
        <v>45906.0</v>
      </c>
      <c r="I57" s="56" t="b">
        <v>0</v>
      </c>
      <c r="J57" s="56"/>
      <c r="K57" s="75"/>
      <c r="L57" s="76" t="str">
        <f t="shared" si="11"/>
        <v/>
      </c>
      <c r="M57" s="75" t="str">
        <f t="shared" si="14"/>
        <v/>
      </c>
      <c r="N57" s="77" t="str">
        <f t="shared" si="13"/>
        <v/>
      </c>
    </row>
    <row r="58">
      <c r="A58" s="78"/>
      <c r="B58" s="79"/>
      <c r="C58" s="79"/>
      <c r="D58" s="79"/>
      <c r="E58" s="79"/>
      <c r="F58" s="80"/>
      <c r="G58" s="80"/>
      <c r="H58" s="81"/>
      <c r="I58" s="81" t="b">
        <v>0</v>
      </c>
      <c r="J58" s="81"/>
      <c r="K58" s="80"/>
      <c r="L58" s="82"/>
      <c r="M58" s="80"/>
      <c r="N58" s="83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</row>
    <row r="59">
      <c r="A59" s="74"/>
      <c r="B59" s="52"/>
      <c r="C59" s="52"/>
      <c r="D59" s="52"/>
      <c r="E59" s="52" t="s">
        <v>749</v>
      </c>
      <c r="F59" s="85" t="s">
        <v>750</v>
      </c>
      <c r="G59" s="75">
        <v>11.81</v>
      </c>
      <c r="H59" s="56">
        <v>45896.0</v>
      </c>
      <c r="I59" s="56" t="b">
        <v>0</v>
      </c>
      <c r="J59" s="56"/>
      <c r="K59" s="75"/>
      <c r="L59" s="76" t="str">
        <f t="shared" ref="L59:L79" si="15">IF(ISBLANK(J59),"",J59-H59)</f>
        <v/>
      </c>
      <c r="M59" s="75" t="str">
        <f t="shared" ref="M59:M79" si="16">IF(K59="","",IF(K59-G59&lt;0,"",K59-G59))</f>
        <v/>
      </c>
      <c r="N59" s="77" t="str">
        <f t="shared" ref="N59:N79" si="17">IF(K59="","",IF(K59/G59&lt;0,"",K59/G59))</f>
        <v/>
      </c>
    </row>
    <row r="60">
      <c r="A60" s="87"/>
      <c r="B60" s="49"/>
      <c r="C60" s="49"/>
      <c r="D60" s="49"/>
      <c r="E60" s="49" t="s">
        <v>751</v>
      </c>
      <c r="F60" s="49" t="s">
        <v>752</v>
      </c>
      <c r="G60" s="75">
        <v>1.42</v>
      </c>
      <c r="H60" s="56">
        <v>45906.0</v>
      </c>
      <c r="I60" s="56" t="b">
        <v>0</v>
      </c>
      <c r="J60" s="56"/>
      <c r="K60" s="75"/>
      <c r="L60" s="76" t="str">
        <f t="shared" si="15"/>
        <v/>
      </c>
      <c r="M60" s="75" t="str">
        <f t="shared" si="16"/>
        <v/>
      </c>
      <c r="N60" s="77" t="str">
        <f t="shared" si="17"/>
        <v/>
      </c>
    </row>
    <row r="61">
      <c r="A61" s="87"/>
      <c r="B61" s="49"/>
      <c r="C61" s="49"/>
      <c r="D61" s="49"/>
      <c r="E61" s="49" t="s">
        <v>751</v>
      </c>
      <c r="F61" s="49" t="s">
        <v>753</v>
      </c>
      <c r="G61" s="75">
        <v>1.42</v>
      </c>
      <c r="H61" s="56">
        <v>45906.0</v>
      </c>
      <c r="I61" s="56" t="b">
        <v>0</v>
      </c>
      <c r="J61" s="56"/>
      <c r="K61" s="75"/>
      <c r="L61" s="76" t="str">
        <f t="shared" si="15"/>
        <v/>
      </c>
      <c r="M61" s="75" t="str">
        <f t="shared" si="16"/>
        <v/>
      </c>
      <c r="N61" s="77" t="str">
        <f t="shared" si="17"/>
        <v/>
      </c>
    </row>
    <row r="62">
      <c r="A62" s="87"/>
      <c r="B62" s="49"/>
      <c r="C62" s="49"/>
      <c r="D62" s="49"/>
      <c r="E62" s="49" t="s">
        <v>751</v>
      </c>
      <c r="F62" s="49" t="s">
        <v>754</v>
      </c>
      <c r="G62" s="75">
        <v>1.42</v>
      </c>
      <c r="H62" s="56">
        <v>45906.0</v>
      </c>
      <c r="I62" s="56" t="b">
        <v>0</v>
      </c>
      <c r="J62" s="56"/>
      <c r="K62" s="75"/>
      <c r="L62" s="76" t="str">
        <f t="shared" si="15"/>
        <v/>
      </c>
      <c r="M62" s="75" t="str">
        <f t="shared" si="16"/>
        <v/>
      </c>
      <c r="N62" s="77" t="str">
        <f t="shared" si="17"/>
        <v/>
      </c>
    </row>
    <row r="63">
      <c r="A63" s="87"/>
      <c r="B63" s="49"/>
      <c r="C63" s="49"/>
      <c r="D63" s="49"/>
      <c r="E63" s="49" t="s">
        <v>751</v>
      </c>
      <c r="F63" s="49" t="s">
        <v>755</v>
      </c>
      <c r="G63" s="75">
        <v>1.42</v>
      </c>
      <c r="H63" s="56">
        <v>45906.0</v>
      </c>
      <c r="I63" s="56" t="b">
        <v>0</v>
      </c>
      <c r="J63" s="56"/>
      <c r="K63" s="75"/>
      <c r="L63" s="76" t="str">
        <f t="shared" si="15"/>
        <v/>
      </c>
      <c r="M63" s="75" t="str">
        <f t="shared" si="16"/>
        <v/>
      </c>
      <c r="N63" s="77" t="str">
        <f t="shared" si="17"/>
        <v/>
      </c>
    </row>
    <row r="64">
      <c r="A64" s="87"/>
      <c r="B64" s="49"/>
      <c r="C64" s="49"/>
      <c r="D64" s="49"/>
      <c r="E64" s="49" t="s">
        <v>751</v>
      </c>
      <c r="F64" s="49" t="s">
        <v>756</v>
      </c>
      <c r="G64" s="75">
        <v>1.42</v>
      </c>
      <c r="H64" s="56">
        <v>45906.0</v>
      </c>
      <c r="I64" s="56" t="b">
        <v>0</v>
      </c>
      <c r="J64" s="56"/>
      <c r="K64" s="75"/>
      <c r="L64" s="76" t="str">
        <f t="shared" si="15"/>
        <v/>
      </c>
      <c r="M64" s="75" t="str">
        <f t="shared" si="16"/>
        <v/>
      </c>
      <c r="N64" s="77" t="str">
        <f t="shared" si="17"/>
        <v/>
      </c>
    </row>
    <row r="65">
      <c r="A65" s="87"/>
      <c r="B65" s="49"/>
      <c r="C65" s="49"/>
      <c r="D65" s="49"/>
      <c r="E65" s="49" t="s">
        <v>751</v>
      </c>
      <c r="F65" s="49" t="s">
        <v>757</v>
      </c>
      <c r="G65" s="75">
        <v>1.42</v>
      </c>
      <c r="H65" s="56">
        <v>45906.0</v>
      </c>
      <c r="I65" s="56" t="b">
        <v>0</v>
      </c>
      <c r="J65" s="56"/>
      <c r="K65" s="75"/>
      <c r="L65" s="76" t="str">
        <f t="shared" si="15"/>
        <v/>
      </c>
      <c r="M65" s="75" t="str">
        <f t="shared" si="16"/>
        <v/>
      </c>
      <c r="N65" s="77" t="str">
        <f t="shared" si="17"/>
        <v/>
      </c>
    </row>
    <row r="66">
      <c r="A66" s="87"/>
      <c r="B66" s="49"/>
      <c r="C66" s="49"/>
      <c r="D66" s="49"/>
      <c r="E66" s="49" t="s">
        <v>751</v>
      </c>
      <c r="F66" s="49" t="s">
        <v>758</v>
      </c>
      <c r="G66" s="75">
        <v>1.42</v>
      </c>
      <c r="H66" s="56">
        <v>45906.0</v>
      </c>
      <c r="I66" s="56" t="b">
        <v>0</v>
      </c>
      <c r="J66" s="56"/>
      <c r="K66" s="75"/>
      <c r="L66" s="76" t="str">
        <f t="shared" si="15"/>
        <v/>
      </c>
      <c r="M66" s="75" t="str">
        <f t="shared" si="16"/>
        <v/>
      </c>
      <c r="N66" s="77" t="str">
        <f t="shared" si="17"/>
        <v/>
      </c>
    </row>
    <row r="67">
      <c r="A67" s="87"/>
      <c r="B67" s="49"/>
      <c r="C67" s="49"/>
      <c r="D67" s="49"/>
      <c r="E67" s="49" t="s">
        <v>751</v>
      </c>
      <c r="F67" s="49" t="s">
        <v>759</v>
      </c>
      <c r="G67" s="75">
        <v>1.42</v>
      </c>
      <c r="H67" s="56">
        <v>45906.0</v>
      </c>
      <c r="I67" s="56" t="b">
        <v>0</v>
      </c>
      <c r="J67" s="56"/>
      <c r="K67" s="75"/>
      <c r="L67" s="76" t="str">
        <f t="shared" si="15"/>
        <v/>
      </c>
      <c r="M67" s="75" t="str">
        <f t="shared" si="16"/>
        <v/>
      </c>
      <c r="N67" s="77" t="str">
        <f t="shared" si="17"/>
        <v/>
      </c>
    </row>
    <row r="68">
      <c r="A68" s="87"/>
      <c r="B68" s="49"/>
      <c r="C68" s="49"/>
      <c r="D68" s="49"/>
      <c r="E68" s="49" t="s">
        <v>751</v>
      </c>
      <c r="F68" s="49" t="s">
        <v>760</v>
      </c>
      <c r="G68" s="75">
        <v>1.42</v>
      </c>
      <c r="H68" s="56">
        <v>45906.0</v>
      </c>
      <c r="I68" s="56" t="b">
        <v>0</v>
      </c>
      <c r="J68" s="56"/>
      <c r="K68" s="75"/>
      <c r="L68" s="76" t="str">
        <f t="shared" si="15"/>
        <v/>
      </c>
      <c r="M68" s="75" t="str">
        <f t="shared" si="16"/>
        <v/>
      </c>
      <c r="N68" s="77" t="str">
        <f t="shared" si="17"/>
        <v/>
      </c>
    </row>
    <row r="69">
      <c r="A69" s="87"/>
      <c r="B69" s="49"/>
      <c r="C69" s="49"/>
      <c r="D69" s="49"/>
      <c r="E69" s="49" t="s">
        <v>751</v>
      </c>
      <c r="F69" s="49" t="s">
        <v>761</v>
      </c>
      <c r="G69" s="75">
        <v>1.42</v>
      </c>
      <c r="H69" s="56">
        <v>45906.0</v>
      </c>
      <c r="I69" s="56" t="b">
        <v>0</v>
      </c>
      <c r="J69" s="56"/>
      <c r="K69" s="75"/>
      <c r="L69" s="76" t="str">
        <f t="shared" si="15"/>
        <v/>
      </c>
      <c r="M69" s="75" t="str">
        <f t="shared" si="16"/>
        <v/>
      </c>
      <c r="N69" s="77" t="str">
        <f t="shared" si="17"/>
        <v/>
      </c>
    </row>
    <row r="70">
      <c r="A70" s="87"/>
      <c r="B70" s="49"/>
      <c r="C70" s="49"/>
      <c r="D70" s="49"/>
      <c r="E70" s="49" t="s">
        <v>751</v>
      </c>
      <c r="F70" s="49" t="s">
        <v>762</v>
      </c>
      <c r="G70" s="75">
        <v>1.42</v>
      </c>
      <c r="H70" s="56">
        <v>45906.0</v>
      </c>
      <c r="I70" s="56" t="b">
        <v>0</v>
      </c>
      <c r="J70" s="56"/>
      <c r="K70" s="75"/>
      <c r="L70" s="76" t="str">
        <f t="shared" si="15"/>
        <v/>
      </c>
      <c r="M70" s="75" t="str">
        <f t="shared" si="16"/>
        <v/>
      </c>
      <c r="N70" s="77" t="str">
        <f t="shared" si="17"/>
        <v/>
      </c>
    </row>
    <row r="71">
      <c r="A71" s="87"/>
      <c r="B71" s="49"/>
      <c r="C71" s="49"/>
      <c r="D71" s="49"/>
      <c r="E71" s="49" t="s">
        <v>751</v>
      </c>
      <c r="F71" s="49" t="s">
        <v>763</v>
      </c>
      <c r="G71" s="75">
        <v>1.42</v>
      </c>
      <c r="H71" s="56">
        <v>45906.0</v>
      </c>
      <c r="I71" s="56" t="b">
        <v>0</v>
      </c>
      <c r="J71" s="56"/>
      <c r="K71" s="75"/>
      <c r="L71" s="76" t="str">
        <f t="shared" si="15"/>
        <v/>
      </c>
      <c r="M71" s="75" t="str">
        <f t="shared" si="16"/>
        <v/>
      </c>
      <c r="N71" s="77" t="str">
        <f t="shared" si="17"/>
        <v/>
      </c>
    </row>
    <row r="72">
      <c r="A72" s="87"/>
      <c r="B72" s="49"/>
      <c r="C72" s="49"/>
      <c r="D72" s="49"/>
      <c r="E72" s="49" t="s">
        <v>751</v>
      </c>
      <c r="F72" s="49" t="s">
        <v>764</v>
      </c>
      <c r="G72" s="75">
        <v>1.42</v>
      </c>
      <c r="H72" s="56">
        <v>45906.0</v>
      </c>
      <c r="I72" s="56" t="b">
        <v>0</v>
      </c>
      <c r="J72" s="56"/>
      <c r="K72" s="75"/>
      <c r="L72" s="76" t="str">
        <f t="shared" si="15"/>
        <v/>
      </c>
      <c r="M72" s="75" t="str">
        <f t="shared" si="16"/>
        <v/>
      </c>
      <c r="N72" s="77" t="str">
        <f t="shared" si="17"/>
        <v/>
      </c>
    </row>
    <row r="73">
      <c r="A73" s="87"/>
      <c r="B73" s="49"/>
      <c r="C73" s="49"/>
      <c r="D73" s="49"/>
      <c r="E73" s="49" t="s">
        <v>751</v>
      </c>
      <c r="F73" s="49" t="s">
        <v>765</v>
      </c>
      <c r="G73" s="75">
        <v>1.42</v>
      </c>
      <c r="H73" s="56">
        <v>45906.0</v>
      </c>
      <c r="I73" s="56" t="b">
        <v>0</v>
      </c>
      <c r="J73" s="56"/>
      <c r="K73" s="75"/>
      <c r="L73" s="76" t="str">
        <f t="shared" si="15"/>
        <v/>
      </c>
      <c r="M73" s="75" t="str">
        <f t="shared" si="16"/>
        <v/>
      </c>
      <c r="N73" s="77" t="str">
        <f t="shared" si="17"/>
        <v/>
      </c>
    </row>
    <row r="74">
      <c r="A74" s="87"/>
      <c r="B74" s="49"/>
      <c r="C74" s="49"/>
      <c r="D74" s="49"/>
      <c r="E74" s="49" t="s">
        <v>751</v>
      </c>
      <c r="F74" s="49" t="s">
        <v>766</v>
      </c>
      <c r="G74" s="75">
        <v>1.42</v>
      </c>
      <c r="H74" s="56">
        <v>45906.0</v>
      </c>
      <c r="I74" s="56" t="b">
        <v>0</v>
      </c>
      <c r="J74" s="56"/>
      <c r="K74" s="75"/>
      <c r="L74" s="76" t="str">
        <f t="shared" si="15"/>
        <v/>
      </c>
      <c r="M74" s="75" t="str">
        <f t="shared" si="16"/>
        <v/>
      </c>
      <c r="N74" s="77" t="str">
        <f t="shared" si="17"/>
        <v/>
      </c>
    </row>
    <row r="75">
      <c r="A75" s="87"/>
      <c r="B75" s="49"/>
      <c r="C75" s="49"/>
      <c r="D75" s="49"/>
      <c r="E75" s="49" t="s">
        <v>751</v>
      </c>
      <c r="F75" s="49" t="s">
        <v>767</v>
      </c>
      <c r="G75" s="75">
        <v>1.42</v>
      </c>
      <c r="H75" s="56">
        <v>45906.0</v>
      </c>
      <c r="I75" s="56" t="b">
        <v>0</v>
      </c>
      <c r="J75" s="56"/>
      <c r="K75" s="75"/>
      <c r="L75" s="76" t="str">
        <f t="shared" si="15"/>
        <v/>
      </c>
      <c r="M75" s="75" t="str">
        <f t="shared" si="16"/>
        <v/>
      </c>
      <c r="N75" s="77" t="str">
        <f t="shared" si="17"/>
        <v/>
      </c>
    </row>
    <row r="76">
      <c r="A76" s="87"/>
      <c r="B76" s="49"/>
      <c r="C76" s="49"/>
      <c r="D76" s="49"/>
      <c r="E76" s="49" t="s">
        <v>751</v>
      </c>
      <c r="F76" s="49" t="s">
        <v>768</v>
      </c>
      <c r="G76" s="75">
        <v>1.42</v>
      </c>
      <c r="H76" s="56">
        <v>45906.0</v>
      </c>
      <c r="I76" s="56" t="b">
        <v>0</v>
      </c>
      <c r="J76" s="56"/>
      <c r="K76" s="75"/>
      <c r="L76" s="76" t="str">
        <f t="shared" si="15"/>
        <v/>
      </c>
      <c r="M76" s="75" t="str">
        <f t="shared" si="16"/>
        <v/>
      </c>
      <c r="N76" s="77" t="str">
        <f t="shared" si="17"/>
        <v/>
      </c>
    </row>
    <row r="77">
      <c r="A77" s="87"/>
      <c r="B77" s="49"/>
      <c r="C77" s="49"/>
      <c r="D77" s="49"/>
      <c r="E77" s="49" t="s">
        <v>751</v>
      </c>
      <c r="F77" s="49" t="s">
        <v>769</v>
      </c>
      <c r="G77" s="75">
        <v>1.42</v>
      </c>
      <c r="H77" s="56">
        <v>45906.0</v>
      </c>
      <c r="I77" s="56" t="b">
        <v>0</v>
      </c>
      <c r="J77" s="56"/>
      <c r="K77" s="75"/>
      <c r="L77" s="76" t="str">
        <f t="shared" si="15"/>
        <v/>
      </c>
      <c r="M77" s="75" t="str">
        <f t="shared" si="16"/>
        <v/>
      </c>
      <c r="N77" s="77" t="str">
        <f t="shared" si="17"/>
        <v/>
      </c>
    </row>
    <row r="78">
      <c r="A78" s="87"/>
      <c r="B78" s="49"/>
      <c r="C78" s="49"/>
      <c r="D78" s="49"/>
      <c r="E78" s="49" t="s">
        <v>751</v>
      </c>
      <c r="F78" s="49" t="s">
        <v>770</v>
      </c>
      <c r="G78" s="75">
        <v>1.42</v>
      </c>
      <c r="H78" s="56">
        <v>45906.0</v>
      </c>
      <c r="I78" s="56" t="b">
        <v>0</v>
      </c>
      <c r="J78" s="56"/>
      <c r="K78" s="75"/>
      <c r="L78" s="76" t="str">
        <f t="shared" si="15"/>
        <v/>
      </c>
      <c r="M78" s="75" t="str">
        <f t="shared" si="16"/>
        <v/>
      </c>
      <c r="N78" s="77" t="str">
        <f t="shared" si="17"/>
        <v/>
      </c>
    </row>
    <row r="79">
      <c r="A79" s="87"/>
      <c r="B79" s="49"/>
      <c r="C79" s="49"/>
      <c r="D79" s="49"/>
      <c r="E79" s="49" t="s">
        <v>751</v>
      </c>
      <c r="F79" s="49" t="s">
        <v>771</v>
      </c>
      <c r="G79" s="75">
        <v>1.42</v>
      </c>
      <c r="H79" s="56">
        <v>45906.0</v>
      </c>
      <c r="I79" s="56" t="b">
        <v>0</v>
      </c>
      <c r="J79" s="56"/>
      <c r="K79" s="75"/>
      <c r="L79" s="76" t="str">
        <f t="shared" si="15"/>
        <v/>
      </c>
      <c r="M79" s="75" t="str">
        <f t="shared" si="16"/>
        <v/>
      </c>
      <c r="N79" s="77" t="str">
        <f t="shared" si="17"/>
        <v/>
      </c>
    </row>
    <row r="80">
      <c r="A80" s="78"/>
      <c r="B80" s="79"/>
      <c r="C80" s="79"/>
      <c r="D80" s="79"/>
      <c r="E80" s="79"/>
      <c r="F80" s="80"/>
      <c r="G80" s="80"/>
      <c r="H80" s="81"/>
      <c r="I80" s="81" t="b">
        <v>0</v>
      </c>
      <c r="J80" s="81"/>
      <c r="K80" s="80"/>
      <c r="L80" s="82"/>
      <c r="M80" s="80"/>
      <c r="N80" s="83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</row>
    <row r="81">
      <c r="A81" s="87"/>
      <c r="B81" s="49"/>
      <c r="C81" s="49"/>
      <c r="D81" s="49"/>
      <c r="E81" s="49" t="s">
        <v>772</v>
      </c>
      <c r="F81" s="85" t="s">
        <v>773</v>
      </c>
      <c r="G81" s="75">
        <v>4.75</v>
      </c>
      <c r="H81" s="56">
        <v>45924.0</v>
      </c>
      <c r="I81" s="56" t="b">
        <v>0</v>
      </c>
      <c r="J81" s="56"/>
      <c r="K81" s="75"/>
      <c r="L81" s="76" t="str">
        <f t="shared" ref="L81:L108" si="18">IF(ISBLANK(J81),"",J81-H81)</f>
        <v/>
      </c>
      <c r="M81" s="75" t="str">
        <f t="shared" ref="M81:M108" si="19">IF(K81="","",IF(K81-G81&lt;0,"",K81-G81))</f>
        <v/>
      </c>
      <c r="N81" s="77" t="str">
        <f t="shared" ref="N81:N108" si="20">IF(K81="","",IF(K81/G81&lt;0,"",K81/G81))</f>
        <v/>
      </c>
    </row>
    <row r="82">
      <c r="A82" s="87"/>
      <c r="B82" s="49"/>
      <c r="C82" s="49"/>
      <c r="D82" s="49"/>
      <c r="E82" s="49" t="s">
        <v>772</v>
      </c>
      <c r="F82" s="85" t="s">
        <v>774</v>
      </c>
      <c r="G82" s="75">
        <v>4.75</v>
      </c>
      <c r="H82" s="56">
        <v>45924.0</v>
      </c>
      <c r="I82" s="56" t="b">
        <v>0</v>
      </c>
      <c r="J82" s="56"/>
      <c r="K82" s="75"/>
      <c r="L82" s="76" t="str">
        <f t="shared" si="18"/>
        <v/>
      </c>
      <c r="M82" s="75" t="str">
        <f t="shared" si="19"/>
        <v/>
      </c>
      <c r="N82" s="77" t="str">
        <f t="shared" si="20"/>
        <v/>
      </c>
    </row>
    <row r="83">
      <c r="A83" s="87"/>
      <c r="B83" s="49"/>
      <c r="C83" s="49"/>
      <c r="D83" s="49"/>
      <c r="E83" s="49" t="s">
        <v>772</v>
      </c>
      <c r="F83" s="85" t="s">
        <v>775</v>
      </c>
      <c r="G83" s="75">
        <v>4.75</v>
      </c>
      <c r="H83" s="56">
        <v>45924.0</v>
      </c>
      <c r="I83" s="56" t="b">
        <v>0</v>
      </c>
      <c r="J83" s="56"/>
      <c r="K83" s="75"/>
      <c r="L83" s="76" t="str">
        <f t="shared" si="18"/>
        <v/>
      </c>
      <c r="M83" s="75" t="str">
        <f t="shared" si="19"/>
        <v/>
      </c>
      <c r="N83" s="77" t="str">
        <f t="shared" si="20"/>
        <v/>
      </c>
    </row>
    <row r="84">
      <c r="A84" s="87"/>
      <c r="B84" s="49"/>
      <c r="C84" s="49"/>
      <c r="D84" s="49"/>
      <c r="E84" s="49" t="s">
        <v>772</v>
      </c>
      <c r="F84" s="85" t="s">
        <v>776</v>
      </c>
      <c r="G84" s="75">
        <v>4.75</v>
      </c>
      <c r="H84" s="56">
        <v>45924.0</v>
      </c>
      <c r="I84" s="56" t="b">
        <v>0</v>
      </c>
      <c r="J84" s="56"/>
      <c r="K84" s="75"/>
      <c r="L84" s="76" t="str">
        <f t="shared" si="18"/>
        <v/>
      </c>
      <c r="M84" s="75" t="str">
        <f t="shared" si="19"/>
        <v/>
      </c>
      <c r="N84" s="77" t="str">
        <f t="shared" si="20"/>
        <v/>
      </c>
    </row>
    <row r="85">
      <c r="A85" s="87"/>
      <c r="B85" s="49"/>
      <c r="C85" s="49"/>
      <c r="D85" s="49"/>
      <c r="E85" s="49" t="s">
        <v>772</v>
      </c>
      <c r="F85" s="85" t="s">
        <v>777</v>
      </c>
      <c r="G85" s="75">
        <v>4.75</v>
      </c>
      <c r="H85" s="56">
        <v>45924.0</v>
      </c>
      <c r="I85" s="56" t="b">
        <v>0</v>
      </c>
      <c r="J85" s="56"/>
      <c r="K85" s="75"/>
      <c r="L85" s="76" t="str">
        <f t="shared" si="18"/>
        <v/>
      </c>
      <c r="M85" s="75" t="str">
        <f t="shared" si="19"/>
        <v/>
      </c>
      <c r="N85" s="77" t="str">
        <f t="shared" si="20"/>
        <v/>
      </c>
    </row>
    <row r="86">
      <c r="A86" s="87"/>
      <c r="B86" s="49"/>
      <c r="C86" s="49"/>
      <c r="D86" s="49"/>
      <c r="E86" s="49" t="s">
        <v>772</v>
      </c>
      <c r="F86" s="85" t="s">
        <v>778</v>
      </c>
      <c r="G86" s="75">
        <v>4.75</v>
      </c>
      <c r="H86" s="56">
        <v>45924.0</v>
      </c>
      <c r="I86" s="56" t="b">
        <v>0</v>
      </c>
      <c r="J86" s="56"/>
      <c r="K86" s="75"/>
      <c r="L86" s="76" t="str">
        <f t="shared" si="18"/>
        <v/>
      </c>
      <c r="M86" s="75" t="str">
        <f t="shared" si="19"/>
        <v/>
      </c>
      <c r="N86" s="77" t="str">
        <f t="shared" si="20"/>
        <v/>
      </c>
    </row>
    <row r="87">
      <c r="A87" s="87"/>
      <c r="B87" s="49"/>
      <c r="C87" s="49"/>
      <c r="D87" s="49"/>
      <c r="E87" s="49" t="s">
        <v>772</v>
      </c>
      <c r="F87" s="85" t="s">
        <v>779</v>
      </c>
      <c r="G87" s="75">
        <v>4.75</v>
      </c>
      <c r="H87" s="56">
        <v>45924.0</v>
      </c>
      <c r="I87" s="56" t="b">
        <v>0</v>
      </c>
      <c r="J87" s="56"/>
      <c r="K87" s="75"/>
      <c r="L87" s="76" t="str">
        <f t="shared" si="18"/>
        <v/>
      </c>
      <c r="M87" s="75" t="str">
        <f t="shared" si="19"/>
        <v/>
      </c>
      <c r="N87" s="77" t="str">
        <f t="shared" si="20"/>
        <v/>
      </c>
    </row>
    <row r="88">
      <c r="A88" s="87"/>
      <c r="B88" s="49"/>
      <c r="C88" s="49"/>
      <c r="D88" s="49"/>
      <c r="E88" s="49" t="s">
        <v>772</v>
      </c>
      <c r="F88" s="85" t="s">
        <v>780</v>
      </c>
      <c r="G88" s="75">
        <v>4.75</v>
      </c>
      <c r="H88" s="56">
        <v>45924.0</v>
      </c>
      <c r="I88" s="56" t="b">
        <v>0</v>
      </c>
      <c r="J88" s="56"/>
      <c r="K88" s="75"/>
      <c r="L88" s="76" t="str">
        <f t="shared" si="18"/>
        <v/>
      </c>
      <c r="M88" s="75" t="str">
        <f t="shared" si="19"/>
        <v/>
      </c>
      <c r="N88" s="77" t="str">
        <f t="shared" si="20"/>
        <v/>
      </c>
    </row>
    <row r="89">
      <c r="A89" s="87"/>
      <c r="B89" s="49"/>
      <c r="C89" s="49"/>
      <c r="D89" s="49"/>
      <c r="E89" s="49" t="s">
        <v>772</v>
      </c>
      <c r="F89" s="85" t="s">
        <v>781</v>
      </c>
      <c r="G89" s="75">
        <v>4.75</v>
      </c>
      <c r="H89" s="56">
        <v>45924.0</v>
      </c>
      <c r="I89" s="56" t="b">
        <v>0</v>
      </c>
      <c r="J89" s="56"/>
      <c r="K89" s="75"/>
      <c r="L89" s="76" t="str">
        <f t="shared" si="18"/>
        <v/>
      </c>
      <c r="M89" s="75" t="str">
        <f t="shared" si="19"/>
        <v/>
      </c>
      <c r="N89" s="77" t="str">
        <f t="shared" si="20"/>
        <v/>
      </c>
    </row>
    <row r="90">
      <c r="A90" s="74"/>
      <c r="B90" s="52"/>
      <c r="C90" s="52"/>
      <c r="D90" s="52"/>
      <c r="E90" s="52" t="s">
        <v>782</v>
      </c>
      <c r="F90" s="85" t="s">
        <v>783</v>
      </c>
      <c r="G90" s="75">
        <v>4.75</v>
      </c>
      <c r="H90" s="56">
        <v>45924.0</v>
      </c>
      <c r="I90" s="56" t="b">
        <v>0</v>
      </c>
      <c r="J90" s="56"/>
      <c r="K90" s="75"/>
      <c r="L90" s="76" t="str">
        <f t="shared" si="18"/>
        <v/>
      </c>
      <c r="M90" s="75" t="str">
        <f t="shared" si="19"/>
        <v/>
      </c>
      <c r="N90" s="77" t="str">
        <f t="shared" si="20"/>
        <v/>
      </c>
    </row>
    <row r="91">
      <c r="A91" s="74"/>
      <c r="B91" s="52"/>
      <c r="C91" s="52"/>
      <c r="D91" s="52"/>
      <c r="E91" s="52" t="s">
        <v>784</v>
      </c>
      <c r="F91" s="85" t="s">
        <v>785</v>
      </c>
      <c r="G91" s="75">
        <v>4.75</v>
      </c>
      <c r="H91" s="56">
        <v>45924.0</v>
      </c>
      <c r="I91" s="56" t="b">
        <v>0</v>
      </c>
      <c r="J91" s="56"/>
      <c r="K91" s="75"/>
      <c r="L91" s="76" t="str">
        <f t="shared" si="18"/>
        <v/>
      </c>
      <c r="M91" s="75" t="str">
        <f t="shared" si="19"/>
        <v/>
      </c>
      <c r="N91" s="77" t="str">
        <f t="shared" si="20"/>
        <v/>
      </c>
    </row>
    <row r="92">
      <c r="A92" s="74"/>
      <c r="B92" s="52"/>
      <c r="C92" s="52"/>
      <c r="D92" s="52"/>
      <c r="E92" s="52" t="s">
        <v>786</v>
      </c>
      <c r="F92" s="85" t="s">
        <v>787</v>
      </c>
      <c r="G92" s="75">
        <v>4.75</v>
      </c>
      <c r="H92" s="56">
        <v>45924.0</v>
      </c>
      <c r="I92" s="56" t="b">
        <v>0</v>
      </c>
      <c r="J92" s="56"/>
      <c r="K92" s="75"/>
      <c r="L92" s="76" t="str">
        <f t="shared" si="18"/>
        <v/>
      </c>
      <c r="M92" s="75" t="str">
        <f t="shared" si="19"/>
        <v/>
      </c>
      <c r="N92" s="77" t="str">
        <f t="shared" si="20"/>
        <v/>
      </c>
    </row>
    <row r="93">
      <c r="A93" s="74"/>
      <c r="B93" s="52"/>
      <c r="C93" s="52"/>
      <c r="D93" s="52"/>
      <c r="E93" s="52" t="s">
        <v>788</v>
      </c>
      <c r="F93" s="85" t="s">
        <v>789</v>
      </c>
      <c r="G93" s="75">
        <v>4.75</v>
      </c>
      <c r="H93" s="56">
        <v>45924.0</v>
      </c>
      <c r="I93" s="56" t="b">
        <v>0</v>
      </c>
      <c r="J93" s="56"/>
      <c r="K93" s="75"/>
      <c r="L93" s="76" t="str">
        <f t="shared" si="18"/>
        <v/>
      </c>
      <c r="M93" s="75" t="str">
        <f t="shared" si="19"/>
        <v/>
      </c>
      <c r="N93" s="77" t="str">
        <f t="shared" si="20"/>
        <v/>
      </c>
    </row>
    <row r="94">
      <c r="A94" s="74"/>
      <c r="B94" s="52"/>
      <c r="C94" s="52"/>
      <c r="D94" s="52"/>
      <c r="E94" s="52" t="s">
        <v>790</v>
      </c>
      <c r="F94" s="85" t="s">
        <v>791</v>
      </c>
      <c r="G94" s="75">
        <v>4.75</v>
      </c>
      <c r="H94" s="56">
        <v>45924.0</v>
      </c>
      <c r="I94" s="56" t="b">
        <v>0</v>
      </c>
      <c r="J94" s="56"/>
      <c r="K94" s="75"/>
      <c r="L94" s="76" t="str">
        <f t="shared" si="18"/>
        <v/>
      </c>
      <c r="M94" s="75" t="str">
        <f t="shared" si="19"/>
        <v/>
      </c>
      <c r="N94" s="77" t="str">
        <f t="shared" si="20"/>
        <v/>
      </c>
    </row>
    <row r="95">
      <c r="A95" s="74"/>
      <c r="B95" s="52"/>
      <c r="C95" s="52"/>
      <c r="D95" s="52"/>
      <c r="E95" s="52" t="s">
        <v>792</v>
      </c>
      <c r="F95" s="85" t="s">
        <v>793</v>
      </c>
      <c r="G95" s="75">
        <v>4.75</v>
      </c>
      <c r="H95" s="56">
        <v>45924.0</v>
      </c>
      <c r="I95" s="56" t="b">
        <v>0</v>
      </c>
      <c r="J95" s="56"/>
      <c r="K95" s="75"/>
      <c r="L95" s="76" t="str">
        <f t="shared" si="18"/>
        <v/>
      </c>
      <c r="M95" s="75" t="str">
        <f t="shared" si="19"/>
        <v/>
      </c>
      <c r="N95" s="77" t="str">
        <f t="shared" si="20"/>
        <v/>
      </c>
    </row>
    <row r="96">
      <c r="A96" s="74"/>
      <c r="B96" s="52"/>
      <c r="C96" s="52"/>
      <c r="D96" s="52"/>
      <c r="E96" s="52" t="s">
        <v>794</v>
      </c>
      <c r="F96" s="85" t="s">
        <v>795</v>
      </c>
      <c r="G96" s="75">
        <v>4.75</v>
      </c>
      <c r="H96" s="56">
        <v>45924.0</v>
      </c>
      <c r="I96" s="56" t="b">
        <v>0</v>
      </c>
      <c r="J96" s="56"/>
      <c r="K96" s="75"/>
      <c r="L96" s="76" t="str">
        <f t="shared" si="18"/>
        <v/>
      </c>
      <c r="M96" s="75" t="str">
        <f t="shared" si="19"/>
        <v/>
      </c>
      <c r="N96" s="77" t="str">
        <f t="shared" si="20"/>
        <v/>
      </c>
    </row>
    <row r="97">
      <c r="A97" s="74"/>
      <c r="B97" s="52"/>
      <c r="C97" s="52"/>
      <c r="D97" s="52"/>
      <c r="E97" s="52" t="s">
        <v>796</v>
      </c>
      <c r="F97" s="85" t="s">
        <v>797</v>
      </c>
      <c r="G97" s="75">
        <v>4.75</v>
      </c>
      <c r="H97" s="56">
        <v>45924.0</v>
      </c>
      <c r="I97" s="56" t="b">
        <v>0</v>
      </c>
      <c r="J97" s="56"/>
      <c r="K97" s="75"/>
      <c r="L97" s="76" t="str">
        <f t="shared" si="18"/>
        <v/>
      </c>
      <c r="M97" s="75" t="str">
        <f t="shared" si="19"/>
        <v/>
      </c>
      <c r="N97" s="77" t="str">
        <f t="shared" si="20"/>
        <v/>
      </c>
    </row>
    <row r="98">
      <c r="A98" s="74"/>
      <c r="B98" s="52"/>
      <c r="C98" s="52"/>
      <c r="D98" s="52"/>
      <c r="E98" s="52" t="s">
        <v>798</v>
      </c>
      <c r="F98" s="85" t="s">
        <v>799</v>
      </c>
      <c r="G98" s="75">
        <v>4.75</v>
      </c>
      <c r="H98" s="56">
        <v>45924.0</v>
      </c>
      <c r="I98" s="56" t="b">
        <v>0</v>
      </c>
      <c r="J98" s="56"/>
      <c r="K98" s="75"/>
      <c r="L98" s="76" t="str">
        <f t="shared" si="18"/>
        <v/>
      </c>
      <c r="M98" s="75" t="str">
        <f t="shared" si="19"/>
        <v/>
      </c>
      <c r="N98" s="77" t="str">
        <f t="shared" si="20"/>
        <v/>
      </c>
    </row>
    <row r="99">
      <c r="A99" s="74"/>
      <c r="B99" s="52"/>
      <c r="C99" s="52"/>
      <c r="D99" s="52"/>
      <c r="E99" s="52" t="s">
        <v>800</v>
      </c>
      <c r="F99" s="85" t="s">
        <v>801</v>
      </c>
      <c r="G99" s="75">
        <v>4.75</v>
      </c>
      <c r="H99" s="56">
        <v>45924.0</v>
      </c>
      <c r="I99" s="56" t="b">
        <v>0</v>
      </c>
      <c r="J99" s="56"/>
      <c r="K99" s="75"/>
      <c r="L99" s="76" t="str">
        <f t="shared" si="18"/>
        <v/>
      </c>
      <c r="M99" s="75" t="str">
        <f t="shared" si="19"/>
        <v/>
      </c>
      <c r="N99" s="77" t="str">
        <f t="shared" si="20"/>
        <v/>
      </c>
    </row>
    <row r="100">
      <c r="A100" s="74"/>
      <c r="B100" s="52"/>
      <c r="C100" s="52"/>
      <c r="D100" s="52"/>
      <c r="E100" s="52" t="s">
        <v>802</v>
      </c>
      <c r="F100" s="85" t="s">
        <v>803</v>
      </c>
      <c r="G100" s="75">
        <v>4.75</v>
      </c>
      <c r="H100" s="56">
        <v>45924.0</v>
      </c>
      <c r="I100" s="56" t="b">
        <v>0</v>
      </c>
      <c r="J100" s="56"/>
      <c r="K100" s="75"/>
      <c r="L100" s="76" t="str">
        <f t="shared" si="18"/>
        <v/>
      </c>
      <c r="M100" s="75" t="str">
        <f t="shared" si="19"/>
        <v/>
      </c>
      <c r="N100" s="77" t="str">
        <f t="shared" si="20"/>
        <v/>
      </c>
    </row>
    <row r="101">
      <c r="A101" s="74"/>
      <c r="B101" s="52"/>
      <c r="C101" s="52"/>
      <c r="D101" s="52"/>
      <c r="E101" s="52" t="s">
        <v>804</v>
      </c>
      <c r="F101" s="85" t="s">
        <v>805</v>
      </c>
      <c r="G101" s="75">
        <v>4.75</v>
      </c>
      <c r="H101" s="56">
        <v>45924.0</v>
      </c>
      <c r="I101" s="56" t="b">
        <v>0</v>
      </c>
      <c r="J101" s="56"/>
      <c r="K101" s="75"/>
      <c r="L101" s="76" t="str">
        <f t="shared" si="18"/>
        <v/>
      </c>
      <c r="M101" s="75" t="str">
        <f t="shared" si="19"/>
        <v/>
      </c>
      <c r="N101" s="77" t="str">
        <f t="shared" si="20"/>
        <v/>
      </c>
    </row>
    <row r="102">
      <c r="A102" s="74"/>
      <c r="B102" s="52"/>
      <c r="C102" s="52"/>
      <c r="D102" s="52"/>
      <c r="E102" s="52" t="s">
        <v>806</v>
      </c>
      <c r="F102" s="85" t="s">
        <v>807</v>
      </c>
      <c r="G102" s="75">
        <v>4.75</v>
      </c>
      <c r="H102" s="56">
        <v>45924.0</v>
      </c>
      <c r="I102" s="56" t="b">
        <v>0</v>
      </c>
      <c r="J102" s="56"/>
      <c r="K102" s="75"/>
      <c r="L102" s="76" t="str">
        <f t="shared" si="18"/>
        <v/>
      </c>
      <c r="M102" s="75" t="str">
        <f t="shared" si="19"/>
        <v/>
      </c>
      <c r="N102" s="77" t="str">
        <f t="shared" si="20"/>
        <v/>
      </c>
    </row>
    <row r="103">
      <c r="A103" s="74"/>
      <c r="B103" s="52"/>
      <c r="C103" s="52"/>
      <c r="D103" s="52"/>
      <c r="E103" s="52" t="s">
        <v>808</v>
      </c>
      <c r="F103" s="85" t="s">
        <v>809</v>
      </c>
      <c r="G103" s="75">
        <v>4.75</v>
      </c>
      <c r="H103" s="56">
        <v>45924.0</v>
      </c>
      <c r="I103" s="56" t="b">
        <v>0</v>
      </c>
      <c r="J103" s="56"/>
      <c r="K103" s="75"/>
      <c r="L103" s="76" t="str">
        <f t="shared" si="18"/>
        <v/>
      </c>
      <c r="M103" s="75" t="str">
        <f t="shared" si="19"/>
        <v/>
      </c>
      <c r="N103" s="77" t="str">
        <f t="shared" si="20"/>
        <v/>
      </c>
    </row>
    <row r="104">
      <c r="A104" s="74"/>
      <c r="B104" s="52"/>
      <c r="C104" s="52"/>
      <c r="D104" s="52"/>
      <c r="E104" s="52" t="s">
        <v>810</v>
      </c>
      <c r="F104" s="85" t="s">
        <v>811</v>
      </c>
      <c r="G104" s="75">
        <v>4.75</v>
      </c>
      <c r="H104" s="56">
        <v>45924.0</v>
      </c>
      <c r="I104" s="56" t="b">
        <v>0</v>
      </c>
      <c r="J104" s="56"/>
      <c r="K104" s="75"/>
      <c r="L104" s="76" t="str">
        <f t="shared" si="18"/>
        <v/>
      </c>
      <c r="M104" s="75" t="str">
        <f t="shared" si="19"/>
        <v/>
      </c>
      <c r="N104" s="77" t="str">
        <f t="shared" si="20"/>
        <v/>
      </c>
    </row>
    <row r="105">
      <c r="A105" s="74"/>
      <c r="B105" s="52"/>
      <c r="C105" s="52"/>
      <c r="D105" s="52"/>
      <c r="E105" s="52" t="s">
        <v>812</v>
      </c>
      <c r="F105" s="85" t="s">
        <v>813</v>
      </c>
      <c r="G105" s="75">
        <v>4.75</v>
      </c>
      <c r="H105" s="56">
        <v>45924.0</v>
      </c>
      <c r="I105" s="56" t="b">
        <v>0</v>
      </c>
      <c r="J105" s="56"/>
      <c r="K105" s="75"/>
      <c r="L105" s="76" t="str">
        <f t="shared" si="18"/>
        <v/>
      </c>
      <c r="M105" s="75" t="str">
        <f t="shared" si="19"/>
        <v/>
      </c>
      <c r="N105" s="77" t="str">
        <f t="shared" si="20"/>
        <v/>
      </c>
    </row>
    <row r="106">
      <c r="A106" s="74"/>
      <c r="B106" s="52"/>
      <c r="C106" s="52"/>
      <c r="D106" s="52"/>
      <c r="E106" s="52" t="s">
        <v>814</v>
      </c>
      <c r="F106" s="85" t="s">
        <v>815</v>
      </c>
      <c r="G106" s="75">
        <v>4.75</v>
      </c>
      <c r="H106" s="56">
        <v>45924.0</v>
      </c>
      <c r="I106" s="56" t="b">
        <v>0</v>
      </c>
      <c r="J106" s="56"/>
      <c r="K106" s="75"/>
      <c r="L106" s="76" t="str">
        <f t="shared" si="18"/>
        <v/>
      </c>
      <c r="M106" s="75" t="str">
        <f t="shared" si="19"/>
        <v/>
      </c>
      <c r="N106" s="77" t="str">
        <f t="shared" si="20"/>
        <v/>
      </c>
    </row>
    <row r="107">
      <c r="A107" s="74"/>
      <c r="B107" s="52"/>
      <c r="C107" s="52"/>
      <c r="D107" s="52"/>
      <c r="E107" s="52" t="s">
        <v>816</v>
      </c>
      <c r="F107" s="85" t="s">
        <v>817</v>
      </c>
      <c r="G107" s="75">
        <v>4.75</v>
      </c>
      <c r="H107" s="56">
        <v>45924.0</v>
      </c>
      <c r="I107" s="56" t="b">
        <v>0</v>
      </c>
      <c r="J107" s="56"/>
      <c r="K107" s="75"/>
      <c r="L107" s="76" t="str">
        <f t="shared" si="18"/>
        <v/>
      </c>
      <c r="M107" s="75" t="str">
        <f t="shared" si="19"/>
        <v/>
      </c>
      <c r="N107" s="77" t="str">
        <f t="shared" si="20"/>
        <v/>
      </c>
    </row>
    <row r="108">
      <c r="A108" s="74"/>
      <c r="B108" s="52"/>
      <c r="C108" s="52"/>
      <c r="D108" s="52"/>
      <c r="E108" s="52" t="s">
        <v>818</v>
      </c>
      <c r="F108" s="85" t="s">
        <v>819</v>
      </c>
      <c r="G108" s="75">
        <v>4.75</v>
      </c>
      <c r="H108" s="56">
        <v>45924.0</v>
      </c>
      <c r="I108" s="56" t="b">
        <v>0</v>
      </c>
      <c r="J108" s="56"/>
      <c r="K108" s="75"/>
      <c r="L108" s="76" t="str">
        <f t="shared" si="18"/>
        <v/>
      </c>
      <c r="M108" s="75" t="str">
        <f t="shared" si="19"/>
        <v/>
      </c>
      <c r="N108" s="77" t="str">
        <f t="shared" si="20"/>
        <v/>
      </c>
    </row>
    <row r="109">
      <c r="A109" s="78"/>
      <c r="B109" s="79"/>
      <c r="C109" s="79"/>
      <c r="D109" s="79"/>
      <c r="E109" s="79"/>
      <c r="F109" s="80"/>
      <c r="G109" s="80"/>
      <c r="H109" s="81"/>
      <c r="I109" s="81" t="b">
        <v>0</v>
      </c>
      <c r="J109" s="81"/>
      <c r="K109" s="80"/>
      <c r="L109" s="82"/>
      <c r="M109" s="80"/>
      <c r="N109" s="83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</row>
    <row r="110">
      <c r="A110" s="74"/>
      <c r="B110" s="52"/>
      <c r="C110" s="52"/>
      <c r="D110" s="52"/>
      <c r="E110" s="52" t="s">
        <v>820</v>
      </c>
      <c r="F110" s="85" t="s">
        <v>821</v>
      </c>
      <c r="G110" s="75">
        <v>7.13</v>
      </c>
      <c r="H110" s="56">
        <v>45941.0</v>
      </c>
      <c r="I110" s="56" t="b">
        <v>0</v>
      </c>
      <c r="J110" s="56"/>
      <c r="K110" s="75"/>
      <c r="L110" s="76" t="str">
        <f t="shared" ref="L110:L159" si="21">IF(ISBLANK(J110),"",J110-H110)</f>
        <v/>
      </c>
      <c r="M110" s="75" t="str">
        <f t="shared" ref="M110:M159" si="22">IF(K110="","",IF(K110-G110&lt;0,"",K110-G110))</f>
        <v/>
      </c>
      <c r="N110" s="77" t="str">
        <f t="shared" ref="N110:N159" si="23">IF(K110="","",IF(K110/G110&lt;0,"",K110/G110))</f>
        <v/>
      </c>
    </row>
    <row r="111">
      <c r="A111" s="74"/>
      <c r="B111" s="52"/>
      <c r="C111" s="52"/>
      <c r="D111" s="52"/>
      <c r="E111" s="52" t="s">
        <v>822</v>
      </c>
      <c r="F111" s="85" t="s">
        <v>823</v>
      </c>
      <c r="G111" s="75">
        <v>7.13</v>
      </c>
      <c r="H111" s="56">
        <v>45941.0</v>
      </c>
      <c r="I111" s="56" t="b">
        <v>0</v>
      </c>
      <c r="J111" s="56"/>
      <c r="K111" s="75"/>
      <c r="L111" s="76" t="str">
        <f t="shared" si="21"/>
        <v/>
      </c>
      <c r="M111" s="75" t="str">
        <f t="shared" si="22"/>
        <v/>
      </c>
      <c r="N111" s="77" t="str">
        <f t="shared" si="23"/>
        <v/>
      </c>
    </row>
    <row r="112">
      <c r="A112" s="74"/>
      <c r="B112" s="52"/>
      <c r="C112" s="52"/>
      <c r="D112" s="52"/>
      <c r="E112" s="52" t="s">
        <v>824</v>
      </c>
      <c r="F112" s="85" t="s">
        <v>825</v>
      </c>
      <c r="G112" s="75">
        <v>7.13</v>
      </c>
      <c r="H112" s="56">
        <v>45942.0</v>
      </c>
      <c r="I112" s="56" t="b">
        <v>0</v>
      </c>
      <c r="J112" s="56"/>
      <c r="K112" s="75"/>
      <c r="L112" s="76" t="str">
        <f t="shared" si="21"/>
        <v/>
      </c>
      <c r="M112" s="75" t="str">
        <f t="shared" si="22"/>
        <v/>
      </c>
      <c r="N112" s="77" t="str">
        <f t="shared" si="23"/>
        <v/>
      </c>
    </row>
    <row r="113">
      <c r="A113" s="74"/>
      <c r="B113" s="52"/>
      <c r="C113" s="52"/>
      <c r="D113" s="52"/>
      <c r="E113" s="52" t="s">
        <v>826</v>
      </c>
      <c r="F113" s="85" t="s">
        <v>827</v>
      </c>
      <c r="G113" s="75">
        <v>7.13</v>
      </c>
      <c r="H113" s="56">
        <v>45942.0</v>
      </c>
      <c r="I113" s="56" t="b">
        <v>0</v>
      </c>
      <c r="J113" s="56"/>
      <c r="K113" s="75"/>
      <c r="L113" s="76" t="str">
        <f t="shared" si="21"/>
        <v/>
      </c>
      <c r="M113" s="75" t="str">
        <f t="shared" si="22"/>
        <v/>
      </c>
      <c r="N113" s="77" t="str">
        <f t="shared" si="23"/>
        <v/>
      </c>
    </row>
    <row r="114">
      <c r="A114" s="74"/>
      <c r="B114" s="52"/>
      <c r="C114" s="52"/>
      <c r="D114" s="52"/>
      <c r="E114" s="52" t="s">
        <v>828</v>
      </c>
      <c r="F114" s="85" t="s">
        <v>829</v>
      </c>
      <c r="G114" s="75">
        <v>7.13</v>
      </c>
      <c r="H114" s="56">
        <v>45943.0</v>
      </c>
      <c r="I114" s="56" t="b">
        <v>0</v>
      </c>
      <c r="J114" s="56"/>
      <c r="K114" s="75"/>
      <c r="L114" s="76" t="str">
        <f t="shared" si="21"/>
        <v/>
      </c>
      <c r="M114" s="75" t="str">
        <f t="shared" si="22"/>
        <v/>
      </c>
      <c r="N114" s="77" t="str">
        <f t="shared" si="23"/>
        <v/>
      </c>
    </row>
    <row r="115">
      <c r="A115" s="74"/>
      <c r="B115" s="52"/>
      <c r="C115" s="52"/>
      <c r="D115" s="52"/>
      <c r="E115" s="52" t="s">
        <v>830</v>
      </c>
      <c r="F115" s="85" t="s">
        <v>831</v>
      </c>
      <c r="G115" s="75">
        <v>7.13</v>
      </c>
      <c r="H115" s="56">
        <v>45943.0</v>
      </c>
      <c r="I115" s="56" t="b">
        <v>0</v>
      </c>
      <c r="J115" s="56"/>
      <c r="K115" s="75"/>
      <c r="L115" s="76" t="str">
        <f t="shared" si="21"/>
        <v/>
      </c>
      <c r="M115" s="75" t="str">
        <f t="shared" si="22"/>
        <v/>
      </c>
      <c r="N115" s="77" t="str">
        <f t="shared" si="23"/>
        <v/>
      </c>
    </row>
    <row r="116">
      <c r="A116" s="74"/>
      <c r="B116" s="52"/>
      <c r="C116" s="52"/>
      <c r="D116" s="52"/>
      <c r="E116" s="52" t="s">
        <v>832</v>
      </c>
      <c r="F116" s="85" t="s">
        <v>833</v>
      </c>
      <c r="G116" s="75">
        <v>7.13</v>
      </c>
      <c r="H116" s="56">
        <v>45943.0</v>
      </c>
      <c r="I116" s="56" t="b">
        <v>0</v>
      </c>
      <c r="J116" s="56"/>
      <c r="K116" s="75"/>
      <c r="L116" s="76" t="str">
        <f t="shared" si="21"/>
        <v/>
      </c>
      <c r="M116" s="75" t="str">
        <f t="shared" si="22"/>
        <v/>
      </c>
      <c r="N116" s="77" t="str">
        <f t="shared" si="23"/>
        <v/>
      </c>
    </row>
    <row r="117">
      <c r="A117" s="74"/>
      <c r="B117" s="52"/>
      <c r="C117" s="52"/>
      <c r="D117" s="52"/>
      <c r="E117" s="52" t="s">
        <v>834</v>
      </c>
      <c r="F117" s="85" t="s">
        <v>835</v>
      </c>
      <c r="G117" s="75">
        <v>7.13</v>
      </c>
      <c r="H117" s="56">
        <v>45944.0</v>
      </c>
      <c r="I117" s="56" t="b">
        <v>0</v>
      </c>
      <c r="J117" s="56"/>
      <c r="K117" s="75"/>
      <c r="L117" s="76" t="str">
        <f t="shared" si="21"/>
        <v/>
      </c>
      <c r="M117" s="75" t="str">
        <f t="shared" si="22"/>
        <v/>
      </c>
      <c r="N117" s="77" t="str">
        <f t="shared" si="23"/>
        <v/>
      </c>
    </row>
    <row r="118">
      <c r="A118" s="74"/>
      <c r="B118" s="52"/>
      <c r="C118" s="52"/>
      <c r="D118" s="52"/>
      <c r="E118" s="52" t="s">
        <v>836</v>
      </c>
      <c r="F118" s="85" t="s">
        <v>837</v>
      </c>
      <c r="G118" s="75">
        <v>7.13</v>
      </c>
      <c r="H118" s="56">
        <v>45944.0</v>
      </c>
      <c r="I118" s="56" t="b">
        <v>0</v>
      </c>
      <c r="J118" s="56"/>
      <c r="K118" s="75"/>
      <c r="L118" s="76" t="str">
        <f t="shared" si="21"/>
        <v/>
      </c>
      <c r="M118" s="75" t="str">
        <f t="shared" si="22"/>
        <v/>
      </c>
      <c r="N118" s="77" t="str">
        <f t="shared" si="23"/>
        <v/>
      </c>
    </row>
    <row r="119">
      <c r="A119" s="74"/>
      <c r="B119" s="52"/>
      <c r="C119" s="52"/>
      <c r="D119" s="52"/>
      <c r="E119" s="52" t="s">
        <v>838</v>
      </c>
      <c r="F119" s="85" t="s">
        <v>839</v>
      </c>
      <c r="G119" s="75">
        <v>7.13</v>
      </c>
      <c r="H119" s="56">
        <v>45944.0</v>
      </c>
      <c r="I119" s="56" t="b">
        <v>0</v>
      </c>
      <c r="J119" s="56"/>
      <c r="K119" s="75"/>
      <c r="L119" s="76" t="str">
        <f t="shared" si="21"/>
        <v/>
      </c>
      <c r="M119" s="75" t="str">
        <f t="shared" si="22"/>
        <v/>
      </c>
      <c r="N119" s="77" t="str">
        <f t="shared" si="23"/>
        <v/>
      </c>
    </row>
    <row r="120">
      <c r="A120" s="74"/>
      <c r="B120" s="52"/>
      <c r="C120" s="52"/>
      <c r="D120" s="52"/>
      <c r="E120" s="52" t="s">
        <v>840</v>
      </c>
      <c r="F120" s="85" t="s">
        <v>841</v>
      </c>
      <c r="G120" s="75">
        <v>7.13</v>
      </c>
      <c r="H120" s="56">
        <v>45945.0</v>
      </c>
      <c r="I120" s="56" t="b">
        <v>0</v>
      </c>
      <c r="J120" s="56"/>
      <c r="K120" s="75"/>
      <c r="L120" s="76" t="str">
        <f t="shared" si="21"/>
        <v/>
      </c>
      <c r="M120" s="75" t="str">
        <f t="shared" si="22"/>
        <v/>
      </c>
      <c r="N120" s="77" t="str">
        <f t="shared" si="23"/>
        <v/>
      </c>
    </row>
    <row r="121">
      <c r="A121" s="74"/>
      <c r="B121" s="52"/>
      <c r="C121" s="52"/>
      <c r="D121" s="52"/>
      <c r="E121" s="52" t="s">
        <v>842</v>
      </c>
      <c r="F121" s="85" t="s">
        <v>843</v>
      </c>
      <c r="G121" s="75">
        <v>7.13</v>
      </c>
      <c r="H121" s="56">
        <v>45945.0</v>
      </c>
      <c r="I121" s="56" t="b">
        <v>0</v>
      </c>
      <c r="J121" s="56"/>
      <c r="K121" s="75"/>
      <c r="L121" s="76" t="str">
        <f t="shared" si="21"/>
        <v/>
      </c>
      <c r="M121" s="75" t="str">
        <f t="shared" si="22"/>
        <v/>
      </c>
      <c r="N121" s="77" t="str">
        <f t="shared" si="23"/>
        <v/>
      </c>
    </row>
    <row r="122">
      <c r="A122" s="74"/>
      <c r="B122" s="52"/>
      <c r="C122" s="52"/>
      <c r="D122" s="52"/>
      <c r="E122" s="52" t="s">
        <v>844</v>
      </c>
      <c r="F122" s="85" t="s">
        <v>845</v>
      </c>
      <c r="G122" s="75">
        <v>7.13</v>
      </c>
      <c r="H122" s="56">
        <v>45945.0</v>
      </c>
      <c r="I122" s="56" t="b">
        <v>0</v>
      </c>
      <c r="J122" s="56"/>
      <c r="K122" s="75"/>
      <c r="L122" s="76" t="str">
        <f t="shared" si="21"/>
        <v/>
      </c>
      <c r="M122" s="75" t="str">
        <f t="shared" si="22"/>
        <v/>
      </c>
      <c r="N122" s="77" t="str">
        <f t="shared" si="23"/>
        <v/>
      </c>
    </row>
    <row r="123">
      <c r="A123" s="74"/>
      <c r="B123" s="52"/>
      <c r="C123" s="52"/>
      <c r="D123" s="52"/>
      <c r="E123" s="52" t="s">
        <v>846</v>
      </c>
      <c r="F123" s="85" t="s">
        <v>847</v>
      </c>
      <c r="G123" s="75">
        <v>7.13</v>
      </c>
      <c r="H123" s="56">
        <v>45946.0</v>
      </c>
      <c r="I123" s="56" t="b">
        <v>0</v>
      </c>
      <c r="J123" s="56"/>
      <c r="K123" s="75"/>
      <c r="L123" s="76" t="str">
        <f t="shared" si="21"/>
        <v/>
      </c>
      <c r="M123" s="75" t="str">
        <f t="shared" si="22"/>
        <v/>
      </c>
      <c r="N123" s="77" t="str">
        <f t="shared" si="23"/>
        <v/>
      </c>
    </row>
    <row r="124">
      <c r="A124" s="74"/>
      <c r="B124" s="52"/>
      <c r="C124" s="52"/>
      <c r="D124" s="52"/>
      <c r="E124" s="52" t="s">
        <v>848</v>
      </c>
      <c r="F124" s="85" t="s">
        <v>849</v>
      </c>
      <c r="G124" s="75">
        <v>7.13</v>
      </c>
      <c r="H124" s="56">
        <v>45946.0</v>
      </c>
      <c r="I124" s="56" t="b">
        <v>0</v>
      </c>
      <c r="J124" s="56"/>
      <c r="K124" s="75"/>
      <c r="L124" s="76" t="str">
        <f t="shared" si="21"/>
        <v/>
      </c>
      <c r="M124" s="75" t="str">
        <f t="shared" si="22"/>
        <v/>
      </c>
      <c r="N124" s="77" t="str">
        <f t="shared" si="23"/>
        <v/>
      </c>
    </row>
    <row r="125">
      <c r="A125" s="74"/>
      <c r="B125" s="52"/>
      <c r="C125" s="52"/>
      <c r="D125" s="52"/>
      <c r="E125" s="52" t="s">
        <v>850</v>
      </c>
      <c r="F125" s="85" t="s">
        <v>851</v>
      </c>
      <c r="G125" s="75">
        <v>7.13</v>
      </c>
      <c r="H125" s="56">
        <v>45946.0</v>
      </c>
      <c r="I125" s="56" t="b">
        <v>0</v>
      </c>
      <c r="J125" s="56"/>
      <c r="K125" s="75"/>
      <c r="L125" s="76" t="str">
        <f t="shared" si="21"/>
        <v/>
      </c>
      <c r="M125" s="75" t="str">
        <f t="shared" si="22"/>
        <v/>
      </c>
      <c r="N125" s="77" t="str">
        <f t="shared" si="23"/>
        <v/>
      </c>
    </row>
    <row r="126">
      <c r="A126" s="74"/>
      <c r="B126" s="52"/>
      <c r="C126" s="52"/>
      <c r="D126" s="52"/>
      <c r="E126" s="52" t="s">
        <v>852</v>
      </c>
      <c r="F126" s="85" t="s">
        <v>853</v>
      </c>
      <c r="G126" s="75">
        <v>7.13</v>
      </c>
      <c r="H126" s="56">
        <v>45946.0</v>
      </c>
      <c r="I126" s="56" t="b">
        <v>0</v>
      </c>
      <c r="J126" s="56"/>
      <c r="K126" s="75"/>
      <c r="L126" s="76" t="str">
        <f t="shared" si="21"/>
        <v/>
      </c>
      <c r="M126" s="75" t="str">
        <f t="shared" si="22"/>
        <v/>
      </c>
      <c r="N126" s="77" t="str">
        <f t="shared" si="23"/>
        <v/>
      </c>
    </row>
    <row r="127">
      <c r="A127" s="74"/>
      <c r="B127" s="52"/>
      <c r="C127" s="52"/>
      <c r="D127" s="52"/>
      <c r="E127" s="52" t="s">
        <v>854</v>
      </c>
      <c r="F127" s="85" t="s">
        <v>855</v>
      </c>
      <c r="G127" s="75">
        <v>7.13</v>
      </c>
      <c r="H127" s="56">
        <v>45947.0</v>
      </c>
      <c r="I127" s="56" t="b">
        <v>0</v>
      </c>
      <c r="J127" s="56"/>
      <c r="K127" s="75"/>
      <c r="L127" s="76" t="str">
        <f t="shared" si="21"/>
        <v/>
      </c>
      <c r="M127" s="75" t="str">
        <f t="shared" si="22"/>
        <v/>
      </c>
      <c r="N127" s="77" t="str">
        <f t="shared" si="23"/>
        <v/>
      </c>
    </row>
    <row r="128">
      <c r="A128" s="74"/>
      <c r="B128" s="52"/>
      <c r="C128" s="52"/>
      <c r="D128" s="52"/>
      <c r="E128" s="52" t="s">
        <v>856</v>
      </c>
      <c r="F128" s="85" t="s">
        <v>857</v>
      </c>
      <c r="G128" s="75">
        <v>7.13</v>
      </c>
      <c r="H128" s="56">
        <v>45947.0</v>
      </c>
      <c r="I128" s="56" t="b">
        <v>0</v>
      </c>
      <c r="J128" s="56"/>
      <c r="K128" s="75"/>
      <c r="L128" s="76" t="str">
        <f t="shared" si="21"/>
        <v/>
      </c>
      <c r="M128" s="75" t="str">
        <f t="shared" si="22"/>
        <v/>
      </c>
      <c r="N128" s="77" t="str">
        <f t="shared" si="23"/>
        <v/>
      </c>
    </row>
    <row r="129">
      <c r="A129" s="74"/>
      <c r="B129" s="52"/>
      <c r="C129" s="52"/>
      <c r="D129" s="52"/>
      <c r="E129" s="52" t="s">
        <v>858</v>
      </c>
      <c r="F129" s="85" t="s">
        <v>859</v>
      </c>
      <c r="G129" s="75">
        <v>7.13</v>
      </c>
      <c r="H129" s="56">
        <v>45947.0</v>
      </c>
      <c r="I129" s="56" t="b">
        <v>0</v>
      </c>
      <c r="J129" s="56"/>
      <c r="K129" s="75"/>
      <c r="L129" s="76" t="str">
        <f t="shared" si="21"/>
        <v/>
      </c>
      <c r="M129" s="75" t="str">
        <f t="shared" si="22"/>
        <v/>
      </c>
      <c r="N129" s="77" t="str">
        <f t="shared" si="23"/>
        <v/>
      </c>
    </row>
    <row r="130">
      <c r="A130" s="74"/>
      <c r="B130" s="52"/>
      <c r="C130" s="52"/>
      <c r="D130" s="52"/>
      <c r="E130" s="52" t="s">
        <v>860</v>
      </c>
      <c r="F130" s="85" t="s">
        <v>861</v>
      </c>
      <c r="G130" s="75">
        <v>7.13</v>
      </c>
      <c r="H130" s="56">
        <v>45948.0</v>
      </c>
      <c r="I130" s="56" t="b">
        <v>0</v>
      </c>
      <c r="J130" s="56"/>
      <c r="K130" s="75"/>
      <c r="L130" s="76" t="str">
        <f t="shared" si="21"/>
        <v/>
      </c>
      <c r="M130" s="75" t="str">
        <f t="shared" si="22"/>
        <v/>
      </c>
      <c r="N130" s="77" t="str">
        <f t="shared" si="23"/>
        <v/>
      </c>
    </row>
    <row r="131">
      <c r="A131" s="74"/>
      <c r="B131" s="52"/>
      <c r="C131" s="52"/>
      <c r="D131" s="52"/>
      <c r="E131" s="52" t="s">
        <v>862</v>
      </c>
      <c r="F131" s="85" t="s">
        <v>863</v>
      </c>
      <c r="G131" s="75">
        <v>7.13</v>
      </c>
      <c r="H131" s="56">
        <v>45948.0</v>
      </c>
      <c r="I131" s="56" t="b">
        <v>0</v>
      </c>
      <c r="J131" s="56"/>
      <c r="K131" s="75"/>
      <c r="L131" s="76" t="str">
        <f t="shared" si="21"/>
        <v/>
      </c>
      <c r="M131" s="75" t="str">
        <f t="shared" si="22"/>
        <v/>
      </c>
      <c r="N131" s="77" t="str">
        <f t="shared" si="23"/>
        <v/>
      </c>
    </row>
    <row r="132">
      <c r="A132" s="74"/>
      <c r="B132" s="52"/>
      <c r="C132" s="52"/>
      <c r="D132" s="52"/>
      <c r="E132" s="52" t="s">
        <v>864</v>
      </c>
      <c r="F132" s="85" t="s">
        <v>865</v>
      </c>
      <c r="G132" s="75">
        <v>7.13</v>
      </c>
      <c r="H132" s="56">
        <v>45948.0</v>
      </c>
      <c r="I132" s="56" t="b">
        <v>0</v>
      </c>
      <c r="J132" s="56"/>
      <c r="K132" s="75"/>
      <c r="L132" s="76" t="str">
        <f t="shared" si="21"/>
        <v/>
      </c>
      <c r="M132" s="75" t="str">
        <f t="shared" si="22"/>
        <v/>
      </c>
      <c r="N132" s="77" t="str">
        <f t="shared" si="23"/>
        <v/>
      </c>
    </row>
    <row r="133">
      <c r="A133" s="74"/>
      <c r="B133" s="52"/>
      <c r="C133" s="52"/>
      <c r="D133" s="52"/>
      <c r="E133" s="52" t="s">
        <v>866</v>
      </c>
      <c r="F133" s="85" t="s">
        <v>867</v>
      </c>
      <c r="G133" s="75">
        <v>7.13</v>
      </c>
      <c r="H133" s="56">
        <v>45949.0</v>
      </c>
      <c r="I133" s="56" t="b">
        <v>0</v>
      </c>
      <c r="J133" s="56"/>
      <c r="K133" s="75"/>
      <c r="L133" s="76" t="str">
        <f t="shared" si="21"/>
        <v/>
      </c>
      <c r="M133" s="75" t="str">
        <f t="shared" si="22"/>
        <v/>
      </c>
      <c r="N133" s="77" t="str">
        <f t="shared" si="23"/>
        <v/>
      </c>
    </row>
    <row r="134">
      <c r="A134" s="74"/>
      <c r="B134" s="52"/>
      <c r="C134" s="52"/>
      <c r="D134" s="52"/>
      <c r="E134" s="52" t="s">
        <v>868</v>
      </c>
      <c r="F134" s="85" t="s">
        <v>869</v>
      </c>
      <c r="G134" s="75">
        <v>7.13</v>
      </c>
      <c r="H134" s="56">
        <v>45949.0</v>
      </c>
      <c r="I134" s="56" t="b">
        <v>0</v>
      </c>
      <c r="J134" s="56"/>
      <c r="K134" s="75"/>
      <c r="L134" s="76" t="str">
        <f t="shared" si="21"/>
        <v/>
      </c>
      <c r="M134" s="75" t="str">
        <f t="shared" si="22"/>
        <v/>
      </c>
      <c r="N134" s="77" t="str">
        <f t="shared" si="23"/>
        <v/>
      </c>
    </row>
    <row r="135">
      <c r="A135" s="74"/>
      <c r="B135" s="52"/>
      <c r="C135" s="52"/>
      <c r="D135" s="52"/>
      <c r="E135" s="52" t="s">
        <v>870</v>
      </c>
      <c r="F135" s="85" t="s">
        <v>871</v>
      </c>
      <c r="G135" s="75">
        <v>7.13</v>
      </c>
      <c r="H135" s="56">
        <v>45949.0</v>
      </c>
      <c r="I135" s="56" t="b">
        <v>0</v>
      </c>
      <c r="J135" s="56"/>
      <c r="K135" s="75"/>
      <c r="L135" s="76" t="str">
        <f t="shared" si="21"/>
        <v/>
      </c>
      <c r="M135" s="75" t="str">
        <f t="shared" si="22"/>
        <v/>
      </c>
      <c r="N135" s="77" t="str">
        <f t="shared" si="23"/>
        <v/>
      </c>
    </row>
    <row r="136">
      <c r="A136" s="74"/>
      <c r="B136" s="52"/>
      <c r="C136" s="52"/>
      <c r="D136" s="52"/>
      <c r="E136" s="52" t="s">
        <v>872</v>
      </c>
      <c r="F136" s="85" t="s">
        <v>873</v>
      </c>
      <c r="G136" s="75">
        <v>7.13</v>
      </c>
      <c r="H136" s="56">
        <v>45949.0</v>
      </c>
      <c r="I136" s="56" t="b">
        <v>0</v>
      </c>
      <c r="J136" s="56"/>
      <c r="K136" s="75"/>
      <c r="L136" s="76" t="str">
        <f t="shared" si="21"/>
        <v/>
      </c>
      <c r="M136" s="75" t="str">
        <f t="shared" si="22"/>
        <v/>
      </c>
      <c r="N136" s="77" t="str">
        <f t="shared" si="23"/>
        <v/>
      </c>
    </row>
    <row r="137">
      <c r="A137" s="74"/>
      <c r="B137" s="52"/>
      <c r="C137" s="52"/>
      <c r="D137" s="52"/>
      <c r="E137" s="52" t="s">
        <v>874</v>
      </c>
      <c r="F137" s="85" t="s">
        <v>875</v>
      </c>
      <c r="G137" s="75">
        <v>7.13</v>
      </c>
      <c r="H137" s="56">
        <v>45949.0</v>
      </c>
      <c r="I137" s="56" t="b">
        <v>0</v>
      </c>
      <c r="J137" s="56"/>
      <c r="K137" s="75"/>
      <c r="L137" s="76" t="str">
        <f t="shared" si="21"/>
        <v/>
      </c>
      <c r="M137" s="75" t="str">
        <f t="shared" si="22"/>
        <v/>
      </c>
      <c r="N137" s="77" t="str">
        <f t="shared" si="23"/>
        <v/>
      </c>
    </row>
    <row r="138">
      <c r="A138" s="74"/>
      <c r="B138" s="52"/>
      <c r="C138" s="52"/>
      <c r="D138" s="52"/>
      <c r="E138" s="52" t="s">
        <v>876</v>
      </c>
      <c r="F138" s="85" t="s">
        <v>877</v>
      </c>
      <c r="G138" s="75">
        <v>7.13</v>
      </c>
      <c r="H138" s="56">
        <v>45950.0</v>
      </c>
      <c r="I138" s="56" t="b">
        <v>0</v>
      </c>
      <c r="J138" s="56"/>
      <c r="K138" s="75"/>
      <c r="L138" s="76" t="str">
        <f t="shared" si="21"/>
        <v/>
      </c>
      <c r="M138" s="75" t="str">
        <f t="shared" si="22"/>
        <v/>
      </c>
      <c r="N138" s="77" t="str">
        <f t="shared" si="23"/>
        <v/>
      </c>
    </row>
    <row r="139">
      <c r="A139" s="74"/>
      <c r="B139" s="52"/>
      <c r="C139" s="52"/>
      <c r="D139" s="52"/>
      <c r="E139" s="52" t="s">
        <v>878</v>
      </c>
      <c r="F139" s="85" t="s">
        <v>879</v>
      </c>
      <c r="G139" s="75">
        <v>7.13</v>
      </c>
      <c r="H139" s="56">
        <v>45950.0</v>
      </c>
      <c r="I139" s="56" t="b">
        <v>0</v>
      </c>
      <c r="J139" s="56"/>
      <c r="K139" s="75"/>
      <c r="L139" s="76" t="str">
        <f t="shared" si="21"/>
        <v/>
      </c>
      <c r="M139" s="75" t="str">
        <f t="shared" si="22"/>
        <v/>
      </c>
      <c r="N139" s="77" t="str">
        <f t="shared" si="23"/>
        <v/>
      </c>
    </row>
    <row r="140">
      <c r="A140" s="74"/>
      <c r="B140" s="52"/>
      <c r="C140" s="52"/>
      <c r="D140" s="52"/>
      <c r="E140" s="52" t="s">
        <v>880</v>
      </c>
      <c r="F140" s="85" t="s">
        <v>881</v>
      </c>
      <c r="G140" s="75">
        <v>7.13</v>
      </c>
      <c r="H140" s="56">
        <v>45950.0</v>
      </c>
      <c r="I140" s="56" t="b">
        <v>0</v>
      </c>
      <c r="J140" s="56"/>
      <c r="K140" s="75"/>
      <c r="L140" s="76" t="str">
        <f t="shared" si="21"/>
        <v/>
      </c>
      <c r="M140" s="75" t="str">
        <f t="shared" si="22"/>
        <v/>
      </c>
      <c r="N140" s="77" t="str">
        <f t="shared" si="23"/>
        <v/>
      </c>
    </row>
    <row r="141">
      <c r="A141" s="74"/>
      <c r="B141" s="52"/>
      <c r="C141" s="52"/>
      <c r="D141" s="52"/>
      <c r="E141" s="52" t="s">
        <v>882</v>
      </c>
      <c r="F141" s="85" t="s">
        <v>883</v>
      </c>
      <c r="G141" s="75">
        <v>7.13</v>
      </c>
      <c r="H141" s="56">
        <v>45951.0</v>
      </c>
      <c r="I141" s="56" t="b">
        <v>0</v>
      </c>
      <c r="J141" s="56"/>
      <c r="K141" s="75"/>
      <c r="L141" s="76" t="str">
        <f t="shared" si="21"/>
        <v/>
      </c>
      <c r="M141" s="75" t="str">
        <f t="shared" si="22"/>
        <v/>
      </c>
      <c r="N141" s="77" t="str">
        <f t="shared" si="23"/>
        <v/>
      </c>
    </row>
    <row r="142">
      <c r="A142" s="74"/>
      <c r="B142" s="52"/>
      <c r="C142" s="52"/>
      <c r="D142" s="52"/>
      <c r="E142" s="52" t="s">
        <v>884</v>
      </c>
      <c r="F142" s="85" t="s">
        <v>885</v>
      </c>
      <c r="G142" s="75">
        <v>7.13</v>
      </c>
      <c r="H142" s="56">
        <v>45951.0</v>
      </c>
      <c r="I142" s="56" t="b">
        <v>0</v>
      </c>
      <c r="J142" s="56"/>
      <c r="K142" s="75"/>
      <c r="L142" s="76" t="str">
        <f t="shared" si="21"/>
        <v/>
      </c>
      <c r="M142" s="75" t="str">
        <f t="shared" si="22"/>
        <v/>
      </c>
      <c r="N142" s="77" t="str">
        <f t="shared" si="23"/>
        <v/>
      </c>
    </row>
    <row r="143">
      <c r="A143" s="74"/>
      <c r="B143" s="52"/>
      <c r="C143" s="52"/>
      <c r="D143" s="52"/>
      <c r="E143" s="52" t="s">
        <v>886</v>
      </c>
      <c r="F143" s="85" t="s">
        <v>887</v>
      </c>
      <c r="G143" s="75">
        <v>7.13</v>
      </c>
      <c r="H143" s="56">
        <v>45951.0</v>
      </c>
      <c r="I143" s="56" t="b">
        <v>0</v>
      </c>
      <c r="J143" s="56"/>
      <c r="K143" s="75"/>
      <c r="L143" s="76" t="str">
        <f t="shared" si="21"/>
        <v/>
      </c>
      <c r="M143" s="75" t="str">
        <f t="shared" si="22"/>
        <v/>
      </c>
      <c r="N143" s="77" t="str">
        <f t="shared" si="23"/>
        <v/>
      </c>
    </row>
    <row r="144">
      <c r="A144" s="74"/>
      <c r="B144" s="52"/>
      <c r="C144" s="52"/>
      <c r="D144" s="52"/>
      <c r="E144" s="52" t="s">
        <v>888</v>
      </c>
      <c r="F144" s="85" t="s">
        <v>889</v>
      </c>
      <c r="G144" s="75">
        <v>7.13</v>
      </c>
      <c r="H144" s="56">
        <v>45951.0</v>
      </c>
      <c r="I144" s="56" t="b">
        <v>0</v>
      </c>
      <c r="J144" s="56"/>
      <c r="K144" s="75"/>
      <c r="L144" s="76" t="str">
        <f t="shared" si="21"/>
        <v/>
      </c>
      <c r="M144" s="75" t="str">
        <f t="shared" si="22"/>
        <v/>
      </c>
      <c r="N144" s="77" t="str">
        <f t="shared" si="23"/>
        <v/>
      </c>
    </row>
    <row r="145">
      <c r="A145" s="74"/>
      <c r="B145" s="52"/>
      <c r="C145" s="52"/>
      <c r="D145" s="52"/>
      <c r="E145" s="52" t="s">
        <v>890</v>
      </c>
      <c r="F145" s="85" t="s">
        <v>891</v>
      </c>
      <c r="G145" s="75">
        <v>7.13</v>
      </c>
      <c r="H145" s="56">
        <v>45951.0</v>
      </c>
      <c r="I145" s="56" t="b">
        <v>0</v>
      </c>
      <c r="J145" s="56"/>
      <c r="K145" s="75"/>
      <c r="L145" s="76" t="str">
        <f t="shared" si="21"/>
        <v/>
      </c>
      <c r="M145" s="75" t="str">
        <f t="shared" si="22"/>
        <v/>
      </c>
      <c r="N145" s="77" t="str">
        <f t="shared" si="23"/>
        <v/>
      </c>
    </row>
    <row r="146">
      <c r="A146" s="74"/>
      <c r="B146" s="52"/>
      <c r="C146" s="52"/>
      <c r="D146" s="52"/>
      <c r="E146" s="52" t="s">
        <v>892</v>
      </c>
      <c r="F146" s="85" t="s">
        <v>893</v>
      </c>
      <c r="G146" s="75">
        <v>7.13</v>
      </c>
      <c r="H146" s="56">
        <v>45952.0</v>
      </c>
      <c r="I146" s="56" t="b">
        <v>0</v>
      </c>
      <c r="J146" s="56"/>
      <c r="K146" s="75"/>
      <c r="L146" s="76" t="str">
        <f t="shared" si="21"/>
        <v/>
      </c>
      <c r="M146" s="75" t="str">
        <f t="shared" si="22"/>
        <v/>
      </c>
      <c r="N146" s="77" t="str">
        <f t="shared" si="23"/>
        <v/>
      </c>
    </row>
    <row r="147">
      <c r="A147" s="74"/>
      <c r="B147" s="52"/>
      <c r="C147" s="52"/>
      <c r="D147" s="52"/>
      <c r="E147" s="52" t="s">
        <v>894</v>
      </c>
      <c r="F147" s="85" t="s">
        <v>895</v>
      </c>
      <c r="G147" s="75">
        <v>7.13</v>
      </c>
      <c r="H147" s="56">
        <v>45952.0</v>
      </c>
      <c r="I147" s="56" t="b">
        <v>0</v>
      </c>
      <c r="J147" s="56"/>
      <c r="K147" s="75"/>
      <c r="L147" s="76" t="str">
        <f t="shared" si="21"/>
        <v/>
      </c>
      <c r="M147" s="75" t="str">
        <f t="shared" si="22"/>
        <v/>
      </c>
      <c r="N147" s="77" t="str">
        <f t="shared" si="23"/>
        <v/>
      </c>
    </row>
    <row r="148">
      <c r="A148" s="74"/>
      <c r="B148" s="52"/>
      <c r="C148" s="52"/>
      <c r="D148" s="52"/>
      <c r="E148" s="52" t="s">
        <v>896</v>
      </c>
      <c r="F148" s="85" t="s">
        <v>897</v>
      </c>
      <c r="G148" s="75">
        <v>7.13</v>
      </c>
      <c r="H148" s="56">
        <v>45952.0</v>
      </c>
      <c r="I148" s="56" t="b">
        <v>0</v>
      </c>
      <c r="J148" s="56"/>
      <c r="K148" s="75"/>
      <c r="L148" s="76" t="str">
        <f t="shared" si="21"/>
        <v/>
      </c>
      <c r="M148" s="75" t="str">
        <f t="shared" si="22"/>
        <v/>
      </c>
      <c r="N148" s="77" t="str">
        <f t="shared" si="23"/>
        <v/>
      </c>
    </row>
    <row r="149">
      <c r="A149" s="74"/>
      <c r="B149" s="52"/>
      <c r="C149" s="52"/>
      <c r="D149" s="52"/>
      <c r="E149" s="52" t="s">
        <v>898</v>
      </c>
      <c r="F149" s="85" t="s">
        <v>899</v>
      </c>
      <c r="G149" s="75">
        <v>7.13</v>
      </c>
      <c r="H149" s="56">
        <v>45952.0</v>
      </c>
      <c r="I149" s="56" t="b">
        <v>0</v>
      </c>
      <c r="J149" s="56"/>
      <c r="K149" s="75"/>
      <c r="L149" s="76" t="str">
        <f t="shared" si="21"/>
        <v/>
      </c>
      <c r="M149" s="75" t="str">
        <f t="shared" si="22"/>
        <v/>
      </c>
      <c r="N149" s="77" t="str">
        <f t="shared" si="23"/>
        <v/>
      </c>
    </row>
    <row r="150">
      <c r="A150" s="74"/>
      <c r="B150" s="52"/>
      <c r="C150" s="52"/>
      <c r="D150" s="52"/>
      <c r="E150" s="52" t="s">
        <v>900</v>
      </c>
      <c r="F150" s="85" t="s">
        <v>901</v>
      </c>
      <c r="G150" s="75">
        <v>7.13</v>
      </c>
      <c r="H150" s="56">
        <v>45952.0</v>
      </c>
      <c r="I150" s="56" t="b">
        <v>0</v>
      </c>
      <c r="J150" s="56"/>
      <c r="K150" s="75"/>
      <c r="L150" s="76" t="str">
        <f t="shared" si="21"/>
        <v/>
      </c>
      <c r="M150" s="75" t="str">
        <f t="shared" si="22"/>
        <v/>
      </c>
      <c r="N150" s="77" t="str">
        <f t="shared" si="23"/>
        <v/>
      </c>
    </row>
    <row r="151">
      <c r="A151" s="74"/>
      <c r="B151" s="52"/>
      <c r="C151" s="52"/>
      <c r="D151" s="52"/>
      <c r="E151" s="52" t="s">
        <v>902</v>
      </c>
      <c r="F151" s="85" t="s">
        <v>903</v>
      </c>
      <c r="G151" s="75">
        <v>7.13</v>
      </c>
      <c r="H151" s="56">
        <v>45952.0</v>
      </c>
      <c r="I151" s="56" t="b">
        <v>0</v>
      </c>
      <c r="J151" s="56"/>
      <c r="K151" s="75"/>
      <c r="L151" s="76" t="str">
        <f t="shared" si="21"/>
        <v/>
      </c>
      <c r="M151" s="75" t="str">
        <f t="shared" si="22"/>
        <v/>
      </c>
      <c r="N151" s="77" t="str">
        <f t="shared" si="23"/>
        <v/>
      </c>
    </row>
    <row r="152">
      <c r="A152" s="74"/>
      <c r="B152" s="52"/>
      <c r="C152" s="52"/>
      <c r="D152" s="52"/>
      <c r="E152" s="52" t="s">
        <v>904</v>
      </c>
      <c r="F152" s="85" t="s">
        <v>905</v>
      </c>
      <c r="G152" s="75">
        <v>7.13</v>
      </c>
      <c r="H152" s="56">
        <v>45953.0</v>
      </c>
      <c r="I152" s="56" t="b">
        <v>0</v>
      </c>
      <c r="J152" s="56"/>
      <c r="K152" s="75"/>
      <c r="L152" s="76" t="str">
        <f t="shared" si="21"/>
        <v/>
      </c>
      <c r="M152" s="75" t="str">
        <f t="shared" si="22"/>
        <v/>
      </c>
      <c r="N152" s="77" t="str">
        <f t="shared" si="23"/>
        <v/>
      </c>
    </row>
    <row r="153">
      <c r="A153" s="74"/>
      <c r="B153" s="52"/>
      <c r="C153" s="52"/>
      <c r="D153" s="52"/>
      <c r="E153" s="52" t="s">
        <v>906</v>
      </c>
      <c r="F153" s="85" t="s">
        <v>907</v>
      </c>
      <c r="G153" s="75">
        <v>7.13</v>
      </c>
      <c r="H153" s="56">
        <v>45953.0</v>
      </c>
      <c r="I153" s="56" t="b">
        <v>0</v>
      </c>
      <c r="J153" s="56"/>
      <c r="K153" s="75"/>
      <c r="L153" s="76" t="str">
        <f t="shared" si="21"/>
        <v/>
      </c>
      <c r="M153" s="75" t="str">
        <f t="shared" si="22"/>
        <v/>
      </c>
      <c r="N153" s="77" t="str">
        <f t="shared" si="23"/>
        <v/>
      </c>
    </row>
    <row r="154">
      <c r="A154" s="74"/>
      <c r="B154" s="52"/>
      <c r="C154" s="52"/>
      <c r="D154" s="52"/>
      <c r="E154" s="52" t="s">
        <v>908</v>
      </c>
      <c r="F154" s="85" t="s">
        <v>909</v>
      </c>
      <c r="G154" s="75">
        <v>7.13</v>
      </c>
      <c r="H154" s="56">
        <v>45953.0</v>
      </c>
      <c r="I154" s="56" t="b">
        <v>0</v>
      </c>
      <c r="J154" s="56"/>
      <c r="K154" s="75"/>
      <c r="L154" s="76" t="str">
        <f t="shared" si="21"/>
        <v/>
      </c>
      <c r="M154" s="75" t="str">
        <f t="shared" si="22"/>
        <v/>
      </c>
      <c r="N154" s="77" t="str">
        <f t="shared" si="23"/>
        <v/>
      </c>
    </row>
    <row r="155">
      <c r="A155" s="74"/>
      <c r="B155" s="52"/>
      <c r="C155" s="52"/>
      <c r="D155" s="52"/>
      <c r="E155" s="52" t="s">
        <v>910</v>
      </c>
      <c r="F155" s="85" t="s">
        <v>911</v>
      </c>
      <c r="G155" s="75">
        <v>7.13</v>
      </c>
      <c r="H155" s="56">
        <v>45954.0</v>
      </c>
      <c r="I155" s="56" t="b">
        <v>0</v>
      </c>
      <c r="J155" s="56"/>
      <c r="K155" s="75"/>
      <c r="L155" s="76" t="str">
        <f t="shared" si="21"/>
        <v/>
      </c>
      <c r="M155" s="75" t="str">
        <f t="shared" si="22"/>
        <v/>
      </c>
      <c r="N155" s="77" t="str">
        <f t="shared" si="23"/>
        <v/>
      </c>
    </row>
    <row r="156">
      <c r="A156" s="74"/>
      <c r="B156" s="52"/>
      <c r="C156" s="52"/>
      <c r="D156" s="52"/>
      <c r="E156" s="52" t="s">
        <v>912</v>
      </c>
      <c r="F156" s="85" t="s">
        <v>913</v>
      </c>
      <c r="G156" s="75">
        <v>7.13</v>
      </c>
      <c r="H156" s="56">
        <v>45954.0</v>
      </c>
      <c r="I156" s="56" t="b">
        <v>0</v>
      </c>
      <c r="J156" s="56"/>
      <c r="K156" s="75"/>
      <c r="L156" s="76" t="str">
        <f t="shared" si="21"/>
        <v/>
      </c>
      <c r="M156" s="75" t="str">
        <f t="shared" si="22"/>
        <v/>
      </c>
      <c r="N156" s="77" t="str">
        <f t="shared" si="23"/>
        <v/>
      </c>
    </row>
    <row r="157">
      <c r="A157" s="74"/>
      <c r="B157" s="52"/>
      <c r="C157" s="52"/>
      <c r="D157" s="52"/>
      <c r="E157" s="52" t="s">
        <v>914</v>
      </c>
      <c r="F157" s="85" t="s">
        <v>915</v>
      </c>
      <c r="G157" s="75">
        <v>7.13</v>
      </c>
      <c r="H157" s="56">
        <v>45954.0</v>
      </c>
      <c r="I157" s="56" t="b">
        <v>0</v>
      </c>
      <c r="J157" s="56"/>
      <c r="K157" s="75"/>
      <c r="L157" s="76" t="str">
        <f t="shared" si="21"/>
        <v/>
      </c>
      <c r="M157" s="75" t="str">
        <f t="shared" si="22"/>
        <v/>
      </c>
      <c r="N157" s="77" t="str">
        <f t="shared" si="23"/>
        <v/>
      </c>
    </row>
    <row r="158">
      <c r="A158" s="74"/>
      <c r="B158" s="52"/>
      <c r="C158" s="52"/>
      <c r="D158" s="52"/>
      <c r="E158" s="52" t="s">
        <v>916</v>
      </c>
      <c r="F158" s="85" t="s">
        <v>917</v>
      </c>
      <c r="G158" s="75">
        <v>7.13</v>
      </c>
      <c r="H158" s="56">
        <v>45954.0</v>
      </c>
      <c r="I158" s="56" t="b">
        <v>0</v>
      </c>
      <c r="J158" s="56"/>
      <c r="K158" s="75"/>
      <c r="L158" s="76" t="str">
        <f t="shared" si="21"/>
        <v/>
      </c>
      <c r="M158" s="75" t="str">
        <f t="shared" si="22"/>
        <v/>
      </c>
      <c r="N158" s="77" t="str">
        <f t="shared" si="23"/>
        <v/>
      </c>
    </row>
    <row r="159">
      <c r="A159" s="74"/>
      <c r="B159" s="52"/>
      <c r="C159" s="52"/>
      <c r="D159" s="52"/>
      <c r="E159" s="52" t="s">
        <v>918</v>
      </c>
      <c r="F159" s="85" t="s">
        <v>919</v>
      </c>
      <c r="G159" s="75">
        <v>7.13</v>
      </c>
      <c r="H159" s="56">
        <v>45954.0</v>
      </c>
      <c r="I159" s="56" t="b">
        <v>0</v>
      </c>
      <c r="J159" s="56"/>
      <c r="K159" s="75"/>
      <c r="L159" s="76" t="str">
        <f t="shared" si="21"/>
        <v/>
      </c>
      <c r="M159" s="75" t="str">
        <f t="shared" si="22"/>
        <v/>
      </c>
      <c r="N159" s="77" t="str">
        <f t="shared" si="23"/>
        <v/>
      </c>
    </row>
    <row r="160">
      <c r="A160" s="78"/>
      <c r="B160" s="79"/>
      <c r="C160" s="79"/>
      <c r="D160" s="79"/>
      <c r="E160" s="79"/>
      <c r="F160" s="75"/>
      <c r="G160" s="75"/>
      <c r="H160" s="56"/>
      <c r="I160" s="56" t="b">
        <v>0</v>
      </c>
      <c r="J160" s="56"/>
      <c r="K160" s="75"/>
      <c r="L160" s="76"/>
      <c r="M160" s="75"/>
      <c r="N160" s="77"/>
    </row>
    <row r="161">
      <c r="A161" s="74"/>
      <c r="B161" s="52"/>
      <c r="C161" s="52"/>
      <c r="D161" s="52"/>
      <c r="E161" s="52" t="s">
        <v>920</v>
      </c>
      <c r="F161" s="85" t="s">
        <v>921</v>
      </c>
      <c r="G161" s="75">
        <v>4.04</v>
      </c>
      <c r="H161" s="56">
        <v>45954.0</v>
      </c>
      <c r="I161" s="56" t="b">
        <v>0</v>
      </c>
      <c r="J161" s="56"/>
      <c r="K161" s="75"/>
      <c r="L161" s="76" t="str">
        <f t="shared" ref="L161:L194" si="24">IF(ISBLANK(J161),"",J161-H161)</f>
        <v/>
      </c>
      <c r="M161" s="75" t="str">
        <f t="shared" ref="M161:M194" si="25">IF(K161="","",IF(K161-G161&lt;0,"",K161-G161))</f>
        <v/>
      </c>
      <c r="N161" s="77" t="str">
        <f t="shared" ref="N161:N194" si="26">IF(K161="","",IF(K161/G161&lt;0,"",K161/G161))</f>
        <v/>
      </c>
    </row>
    <row r="162">
      <c r="A162" s="74"/>
      <c r="B162" s="52"/>
      <c r="C162" s="52"/>
      <c r="D162" s="52"/>
      <c r="E162" s="52" t="s">
        <v>922</v>
      </c>
      <c r="F162" s="85" t="s">
        <v>923</v>
      </c>
      <c r="G162" s="75">
        <v>4.04</v>
      </c>
      <c r="H162" s="56">
        <v>45954.0</v>
      </c>
      <c r="I162" s="56" t="b">
        <v>0</v>
      </c>
      <c r="J162" s="56"/>
      <c r="K162" s="75"/>
      <c r="L162" s="76" t="str">
        <f t="shared" si="24"/>
        <v/>
      </c>
      <c r="M162" s="75" t="str">
        <f t="shared" si="25"/>
        <v/>
      </c>
      <c r="N162" s="77" t="str">
        <f t="shared" si="26"/>
        <v/>
      </c>
    </row>
    <row r="163">
      <c r="A163" s="74"/>
      <c r="B163" s="52"/>
      <c r="C163" s="52"/>
      <c r="D163" s="52"/>
      <c r="E163" s="52" t="s">
        <v>924</v>
      </c>
      <c r="F163" s="85" t="s">
        <v>925</v>
      </c>
      <c r="G163" s="75">
        <v>4.04</v>
      </c>
      <c r="H163" s="56">
        <v>45954.0</v>
      </c>
      <c r="I163" s="56" t="b">
        <v>0</v>
      </c>
      <c r="J163" s="56"/>
      <c r="K163" s="75"/>
      <c r="L163" s="76" t="str">
        <f t="shared" si="24"/>
        <v/>
      </c>
      <c r="M163" s="75" t="str">
        <f t="shared" si="25"/>
        <v/>
      </c>
      <c r="N163" s="77" t="str">
        <f t="shared" si="26"/>
        <v/>
      </c>
    </row>
    <row r="164">
      <c r="A164" s="74"/>
      <c r="B164" s="52"/>
      <c r="C164" s="52"/>
      <c r="D164" s="52"/>
      <c r="E164" s="52" t="s">
        <v>926</v>
      </c>
      <c r="F164" s="85" t="s">
        <v>927</v>
      </c>
      <c r="G164" s="75">
        <v>4.04</v>
      </c>
      <c r="H164" s="56">
        <v>45955.0</v>
      </c>
      <c r="I164" s="56" t="b">
        <v>0</v>
      </c>
      <c r="J164" s="56"/>
      <c r="K164" s="75"/>
      <c r="L164" s="76" t="str">
        <f t="shared" si="24"/>
        <v/>
      </c>
      <c r="M164" s="75" t="str">
        <f t="shared" si="25"/>
        <v/>
      </c>
      <c r="N164" s="77" t="str">
        <f t="shared" si="26"/>
        <v/>
      </c>
    </row>
    <row r="165">
      <c r="A165" s="74"/>
      <c r="B165" s="52"/>
      <c r="C165" s="52"/>
      <c r="D165" s="52"/>
      <c r="E165" s="52" t="s">
        <v>928</v>
      </c>
      <c r="F165" s="85" t="s">
        <v>929</v>
      </c>
      <c r="G165" s="75">
        <v>4.04</v>
      </c>
      <c r="H165" s="56">
        <v>45955.0</v>
      </c>
      <c r="I165" s="56" t="b">
        <v>0</v>
      </c>
      <c r="J165" s="56"/>
      <c r="K165" s="75"/>
      <c r="L165" s="76" t="str">
        <f t="shared" si="24"/>
        <v/>
      </c>
      <c r="M165" s="75" t="str">
        <f t="shared" si="25"/>
        <v/>
      </c>
      <c r="N165" s="77" t="str">
        <f t="shared" si="26"/>
        <v/>
      </c>
    </row>
    <row r="166">
      <c r="A166" s="74"/>
      <c r="B166" s="52"/>
      <c r="C166" s="52"/>
      <c r="D166" s="52"/>
      <c r="E166" s="52" t="s">
        <v>930</v>
      </c>
      <c r="F166" s="85" t="s">
        <v>931</v>
      </c>
      <c r="G166" s="75">
        <v>4.04</v>
      </c>
      <c r="H166" s="56">
        <v>45955.0</v>
      </c>
      <c r="I166" s="56" t="b">
        <v>0</v>
      </c>
      <c r="J166" s="56"/>
      <c r="K166" s="75"/>
      <c r="L166" s="76" t="str">
        <f t="shared" si="24"/>
        <v/>
      </c>
      <c r="M166" s="75" t="str">
        <f t="shared" si="25"/>
        <v/>
      </c>
      <c r="N166" s="77" t="str">
        <f t="shared" si="26"/>
        <v/>
      </c>
    </row>
    <row r="167">
      <c r="A167" s="74"/>
      <c r="B167" s="52"/>
      <c r="C167" s="52"/>
      <c r="D167" s="52"/>
      <c r="E167" s="52" t="s">
        <v>932</v>
      </c>
      <c r="F167" s="85" t="s">
        <v>933</v>
      </c>
      <c r="G167" s="75">
        <v>4.04</v>
      </c>
      <c r="H167" s="56">
        <v>45955.0</v>
      </c>
      <c r="I167" s="56" t="b">
        <v>0</v>
      </c>
      <c r="J167" s="56"/>
      <c r="K167" s="75"/>
      <c r="L167" s="76" t="str">
        <f t="shared" si="24"/>
        <v/>
      </c>
      <c r="M167" s="75" t="str">
        <f t="shared" si="25"/>
        <v/>
      </c>
      <c r="N167" s="77" t="str">
        <f t="shared" si="26"/>
        <v/>
      </c>
    </row>
    <row r="168">
      <c r="A168" s="74"/>
      <c r="B168" s="52"/>
      <c r="C168" s="52"/>
      <c r="D168" s="52"/>
      <c r="E168" s="52" t="s">
        <v>934</v>
      </c>
      <c r="F168" s="85" t="s">
        <v>935</v>
      </c>
      <c r="G168" s="75">
        <v>4.04</v>
      </c>
      <c r="H168" s="56">
        <v>45955.0</v>
      </c>
      <c r="I168" s="56" t="b">
        <v>0</v>
      </c>
      <c r="J168" s="56"/>
      <c r="K168" s="75"/>
      <c r="L168" s="76" t="str">
        <f t="shared" si="24"/>
        <v/>
      </c>
      <c r="M168" s="75" t="str">
        <f t="shared" si="25"/>
        <v/>
      </c>
      <c r="N168" s="77" t="str">
        <f t="shared" si="26"/>
        <v/>
      </c>
    </row>
    <row r="169">
      <c r="A169" s="74"/>
      <c r="B169" s="52"/>
      <c r="C169" s="52"/>
      <c r="D169" s="52"/>
      <c r="E169" s="52" t="s">
        <v>936</v>
      </c>
      <c r="F169" s="85" t="s">
        <v>937</v>
      </c>
      <c r="G169" s="75">
        <v>4.04</v>
      </c>
      <c r="H169" s="56">
        <v>45955.0</v>
      </c>
      <c r="I169" s="56" t="b">
        <v>0</v>
      </c>
      <c r="J169" s="56"/>
      <c r="K169" s="75"/>
      <c r="L169" s="76" t="str">
        <f t="shared" si="24"/>
        <v/>
      </c>
      <c r="M169" s="75" t="str">
        <f t="shared" si="25"/>
        <v/>
      </c>
      <c r="N169" s="77" t="str">
        <f t="shared" si="26"/>
        <v/>
      </c>
    </row>
    <row r="170">
      <c r="A170" s="74"/>
      <c r="B170" s="52"/>
      <c r="C170" s="52"/>
      <c r="D170" s="52"/>
      <c r="E170" s="52" t="s">
        <v>938</v>
      </c>
      <c r="F170" s="85" t="s">
        <v>939</v>
      </c>
      <c r="G170" s="75">
        <v>4.04</v>
      </c>
      <c r="H170" s="56">
        <v>45955.0</v>
      </c>
      <c r="I170" s="56" t="b">
        <v>0</v>
      </c>
      <c r="J170" s="56"/>
      <c r="K170" s="75"/>
      <c r="L170" s="76" t="str">
        <f t="shared" si="24"/>
        <v/>
      </c>
      <c r="M170" s="75" t="str">
        <f t="shared" si="25"/>
        <v/>
      </c>
      <c r="N170" s="77" t="str">
        <f t="shared" si="26"/>
        <v/>
      </c>
    </row>
    <row r="171">
      <c r="A171" s="74"/>
      <c r="B171" s="52"/>
      <c r="C171" s="52"/>
      <c r="D171" s="52"/>
      <c r="E171" s="52" t="s">
        <v>940</v>
      </c>
      <c r="F171" s="85" t="s">
        <v>941</v>
      </c>
      <c r="G171" s="75">
        <v>4.04</v>
      </c>
      <c r="H171" s="56">
        <v>45956.0</v>
      </c>
      <c r="I171" s="56" t="b">
        <v>0</v>
      </c>
      <c r="J171" s="56"/>
      <c r="K171" s="75"/>
      <c r="L171" s="76" t="str">
        <f t="shared" si="24"/>
        <v/>
      </c>
      <c r="M171" s="75" t="str">
        <f t="shared" si="25"/>
        <v/>
      </c>
      <c r="N171" s="77" t="str">
        <f t="shared" si="26"/>
        <v/>
      </c>
    </row>
    <row r="172">
      <c r="A172" s="74"/>
      <c r="B172" s="52"/>
      <c r="C172" s="52"/>
      <c r="D172" s="52"/>
      <c r="E172" s="52" t="s">
        <v>942</v>
      </c>
      <c r="F172" s="85" t="s">
        <v>943</v>
      </c>
      <c r="G172" s="75">
        <v>4.04</v>
      </c>
      <c r="H172" s="56">
        <v>45956.0</v>
      </c>
      <c r="I172" s="56" t="b">
        <v>0</v>
      </c>
      <c r="J172" s="56"/>
      <c r="K172" s="75"/>
      <c r="L172" s="76" t="str">
        <f t="shared" si="24"/>
        <v/>
      </c>
      <c r="M172" s="75" t="str">
        <f t="shared" si="25"/>
        <v/>
      </c>
      <c r="N172" s="77" t="str">
        <f t="shared" si="26"/>
        <v/>
      </c>
    </row>
    <row r="173">
      <c r="A173" s="74"/>
      <c r="B173" s="52"/>
      <c r="C173" s="52"/>
      <c r="D173" s="52"/>
      <c r="E173" s="52" t="s">
        <v>944</v>
      </c>
      <c r="F173" s="85" t="s">
        <v>945</v>
      </c>
      <c r="G173" s="75">
        <v>4.04</v>
      </c>
      <c r="H173" s="56">
        <v>45956.0</v>
      </c>
      <c r="I173" s="56" t="b">
        <v>0</v>
      </c>
      <c r="J173" s="56"/>
      <c r="K173" s="75"/>
      <c r="L173" s="76" t="str">
        <f t="shared" si="24"/>
        <v/>
      </c>
      <c r="M173" s="75" t="str">
        <f t="shared" si="25"/>
        <v/>
      </c>
      <c r="N173" s="77" t="str">
        <f t="shared" si="26"/>
        <v/>
      </c>
    </row>
    <row r="174">
      <c r="A174" s="74"/>
      <c r="B174" s="52"/>
      <c r="C174" s="52"/>
      <c r="D174" s="52"/>
      <c r="E174" s="52" t="s">
        <v>946</v>
      </c>
      <c r="F174" s="85" t="s">
        <v>947</v>
      </c>
      <c r="G174" s="75">
        <v>4.04</v>
      </c>
      <c r="H174" s="56">
        <v>45956.0</v>
      </c>
      <c r="I174" s="56" t="b">
        <v>0</v>
      </c>
      <c r="J174" s="56"/>
      <c r="K174" s="75"/>
      <c r="L174" s="76" t="str">
        <f t="shared" si="24"/>
        <v/>
      </c>
      <c r="M174" s="75" t="str">
        <f t="shared" si="25"/>
        <v/>
      </c>
      <c r="N174" s="77" t="str">
        <f t="shared" si="26"/>
        <v/>
      </c>
    </row>
    <row r="175">
      <c r="A175" s="74"/>
      <c r="B175" s="52"/>
      <c r="C175" s="52"/>
      <c r="D175" s="52"/>
      <c r="E175" s="52" t="s">
        <v>948</v>
      </c>
      <c r="F175" s="85" t="s">
        <v>949</v>
      </c>
      <c r="G175" s="75">
        <v>4.04</v>
      </c>
      <c r="H175" s="56">
        <v>45956.0</v>
      </c>
      <c r="I175" s="56" t="b">
        <v>0</v>
      </c>
      <c r="J175" s="56"/>
      <c r="K175" s="75"/>
      <c r="L175" s="76" t="str">
        <f t="shared" si="24"/>
        <v/>
      </c>
      <c r="M175" s="75" t="str">
        <f t="shared" si="25"/>
        <v/>
      </c>
      <c r="N175" s="77" t="str">
        <f t="shared" si="26"/>
        <v/>
      </c>
    </row>
    <row r="176">
      <c r="A176" s="74"/>
      <c r="B176" s="52"/>
      <c r="C176" s="52"/>
      <c r="D176" s="52"/>
      <c r="E176" s="52" t="s">
        <v>950</v>
      </c>
      <c r="F176" s="85" t="s">
        <v>951</v>
      </c>
      <c r="G176" s="75">
        <v>4.04</v>
      </c>
      <c r="H176" s="56">
        <v>45956.0</v>
      </c>
      <c r="I176" s="56" t="b">
        <v>0</v>
      </c>
      <c r="J176" s="56"/>
      <c r="K176" s="75"/>
      <c r="L176" s="76" t="str">
        <f t="shared" si="24"/>
        <v/>
      </c>
      <c r="M176" s="75" t="str">
        <f t="shared" si="25"/>
        <v/>
      </c>
      <c r="N176" s="77" t="str">
        <f t="shared" si="26"/>
        <v/>
      </c>
    </row>
    <row r="177">
      <c r="A177" s="74"/>
      <c r="B177" s="52"/>
      <c r="C177" s="52"/>
      <c r="D177" s="52"/>
      <c r="E177" s="52" t="s">
        <v>952</v>
      </c>
      <c r="F177" s="85" t="s">
        <v>953</v>
      </c>
      <c r="G177" s="75">
        <v>4.04</v>
      </c>
      <c r="H177" s="56">
        <v>45957.0</v>
      </c>
      <c r="I177" s="56" t="b">
        <v>0</v>
      </c>
      <c r="J177" s="56"/>
      <c r="K177" s="75"/>
      <c r="L177" s="76" t="str">
        <f t="shared" si="24"/>
        <v/>
      </c>
      <c r="M177" s="75" t="str">
        <f t="shared" si="25"/>
        <v/>
      </c>
      <c r="N177" s="77" t="str">
        <f t="shared" si="26"/>
        <v/>
      </c>
    </row>
    <row r="178">
      <c r="A178" s="74"/>
      <c r="B178" s="52"/>
      <c r="C178" s="52"/>
      <c r="D178" s="52"/>
      <c r="E178" s="52" t="s">
        <v>954</v>
      </c>
      <c r="F178" s="85" t="s">
        <v>955</v>
      </c>
      <c r="G178" s="75">
        <v>4.04</v>
      </c>
      <c r="H178" s="56">
        <v>45957.0</v>
      </c>
      <c r="I178" s="56" t="b">
        <v>0</v>
      </c>
      <c r="J178" s="56"/>
      <c r="K178" s="75"/>
      <c r="L178" s="76" t="str">
        <f t="shared" si="24"/>
        <v/>
      </c>
      <c r="M178" s="75" t="str">
        <f t="shared" si="25"/>
        <v/>
      </c>
      <c r="N178" s="77" t="str">
        <f t="shared" si="26"/>
        <v/>
      </c>
    </row>
    <row r="179">
      <c r="A179" s="74"/>
      <c r="B179" s="52"/>
      <c r="C179" s="52"/>
      <c r="D179" s="52"/>
      <c r="E179" s="52" t="s">
        <v>956</v>
      </c>
      <c r="F179" s="85" t="s">
        <v>957</v>
      </c>
      <c r="G179" s="75">
        <v>4.04</v>
      </c>
      <c r="H179" s="56">
        <v>45957.0</v>
      </c>
      <c r="I179" s="56" t="b">
        <v>0</v>
      </c>
      <c r="J179" s="56"/>
      <c r="K179" s="75"/>
      <c r="L179" s="76" t="str">
        <f t="shared" si="24"/>
        <v/>
      </c>
      <c r="M179" s="75" t="str">
        <f t="shared" si="25"/>
        <v/>
      </c>
      <c r="N179" s="77" t="str">
        <f t="shared" si="26"/>
        <v/>
      </c>
    </row>
    <row r="180">
      <c r="A180" s="74"/>
      <c r="B180" s="52"/>
      <c r="C180" s="52"/>
      <c r="D180" s="52"/>
      <c r="E180" s="52" t="s">
        <v>958</v>
      </c>
      <c r="F180" s="85" t="s">
        <v>959</v>
      </c>
      <c r="G180" s="75">
        <v>4.04</v>
      </c>
      <c r="H180" s="56">
        <v>45957.0</v>
      </c>
      <c r="I180" s="56" t="b">
        <v>0</v>
      </c>
      <c r="J180" s="56"/>
      <c r="K180" s="75"/>
      <c r="L180" s="76" t="str">
        <f t="shared" si="24"/>
        <v/>
      </c>
      <c r="M180" s="75" t="str">
        <f t="shared" si="25"/>
        <v/>
      </c>
      <c r="N180" s="77" t="str">
        <f t="shared" si="26"/>
        <v/>
      </c>
    </row>
    <row r="181">
      <c r="A181" s="74"/>
      <c r="B181" s="52"/>
      <c r="C181" s="52"/>
      <c r="D181" s="52"/>
      <c r="E181" s="52" t="s">
        <v>960</v>
      </c>
      <c r="F181" s="85" t="s">
        <v>961</v>
      </c>
      <c r="G181" s="75">
        <v>4.04</v>
      </c>
      <c r="H181" s="56">
        <v>45957.0</v>
      </c>
      <c r="I181" s="56" t="b">
        <v>0</v>
      </c>
      <c r="J181" s="56"/>
      <c r="K181" s="75"/>
      <c r="L181" s="76" t="str">
        <f t="shared" si="24"/>
        <v/>
      </c>
      <c r="M181" s="75" t="str">
        <f t="shared" si="25"/>
        <v/>
      </c>
      <c r="N181" s="77" t="str">
        <f t="shared" si="26"/>
        <v/>
      </c>
    </row>
    <row r="182">
      <c r="A182" s="74"/>
      <c r="B182" s="52"/>
      <c r="C182" s="52"/>
      <c r="D182" s="52"/>
      <c r="E182" s="52" t="s">
        <v>962</v>
      </c>
      <c r="F182" s="85" t="s">
        <v>963</v>
      </c>
      <c r="G182" s="75">
        <v>4.04</v>
      </c>
      <c r="H182" s="56">
        <v>45958.0</v>
      </c>
      <c r="I182" s="56" t="b">
        <v>0</v>
      </c>
      <c r="J182" s="56"/>
      <c r="K182" s="75"/>
      <c r="L182" s="76" t="str">
        <f t="shared" si="24"/>
        <v/>
      </c>
      <c r="M182" s="75" t="str">
        <f t="shared" si="25"/>
        <v/>
      </c>
      <c r="N182" s="77" t="str">
        <f t="shared" si="26"/>
        <v/>
      </c>
    </row>
    <row r="183">
      <c r="A183" s="74"/>
      <c r="B183" s="52"/>
      <c r="C183" s="52"/>
      <c r="D183" s="52"/>
      <c r="E183" s="52" t="s">
        <v>964</v>
      </c>
      <c r="F183" s="85" t="s">
        <v>965</v>
      </c>
      <c r="G183" s="75">
        <v>4.04</v>
      </c>
      <c r="H183" s="56">
        <v>45958.0</v>
      </c>
      <c r="I183" s="56" t="b">
        <v>0</v>
      </c>
      <c r="J183" s="56"/>
      <c r="K183" s="75"/>
      <c r="L183" s="76" t="str">
        <f t="shared" si="24"/>
        <v/>
      </c>
      <c r="M183" s="75" t="str">
        <f t="shared" si="25"/>
        <v/>
      </c>
      <c r="N183" s="77" t="str">
        <f t="shared" si="26"/>
        <v/>
      </c>
    </row>
    <row r="184">
      <c r="A184" s="74"/>
      <c r="B184" s="52"/>
      <c r="C184" s="52"/>
      <c r="D184" s="52"/>
      <c r="E184" s="52" t="s">
        <v>966</v>
      </c>
      <c r="F184" s="85" t="s">
        <v>967</v>
      </c>
      <c r="G184" s="75">
        <v>4.04</v>
      </c>
      <c r="H184" s="56">
        <v>45958.0</v>
      </c>
      <c r="I184" s="56" t="b">
        <v>0</v>
      </c>
      <c r="J184" s="56"/>
      <c r="K184" s="75"/>
      <c r="L184" s="76" t="str">
        <f t="shared" si="24"/>
        <v/>
      </c>
      <c r="M184" s="75" t="str">
        <f t="shared" si="25"/>
        <v/>
      </c>
      <c r="N184" s="77" t="str">
        <f t="shared" si="26"/>
        <v/>
      </c>
    </row>
    <row r="185">
      <c r="A185" s="74"/>
      <c r="B185" s="52"/>
      <c r="C185" s="52"/>
      <c r="D185" s="52"/>
      <c r="E185" s="52" t="s">
        <v>968</v>
      </c>
      <c r="F185" s="85" t="s">
        <v>969</v>
      </c>
      <c r="G185" s="75">
        <v>4.04</v>
      </c>
      <c r="H185" s="56">
        <v>45958.0</v>
      </c>
      <c r="I185" s="56" t="b">
        <v>0</v>
      </c>
      <c r="J185" s="56"/>
      <c r="K185" s="75"/>
      <c r="L185" s="76" t="str">
        <f t="shared" si="24"/>
        <v/>
      </c>
      <c r="M185" s="75" t="str">
        <f t="shared" si="25"/>
        <v/>
      </c>
      <c r="N185" s="77" t="str">
        <f t="shared" si="26"/>
        <v/>
      </c>
    </row>
    <row r="186">
      <c r="A186" s="74"/>
      <c r="B186" s="52"/>
      <c r="C186" s="52"/>
      <c r="D186" s="52"/>
      <c r="E186" s="52" t="s">
        <v>970</v>
      </c>
      <c r="F186" s="85" t="s">
        <v>971</v>
      </c>
      <c r="G186" s="75">
        <v>4.04</v>
      </c>
      <c r="H186" s="56">
        <v>45959.0</v>
      </c>
      <c r="I186" s="56" t="b">
        <v>0</v>
      </c>
      <c r="J186" s="56"/>
      <c r="K186" s="75"/>
      <c r="L186" s="76" t="str">
        <f t="shared" si="24"/>
        <v/>
      </c>
      <c r="M186" s="75" t="str">
        <f t="shared" si="25"/>
        <v/>
      </c>
      <c r="N186" s="77" t="str">
        <f t="shared" si="26"/>
        <v/>
      </c>
    </row>
    <row r="187">
      <c r="A187" s="74"/>
      <c r="B187" s="52"/>
      <c r="C187" s="52"/>
      <c r="D187" s="52"/>
      <c r="E187" s="52" t="s">
        <v>972</v>
      </c>
      <c r="F187" s="85" t="s">
        <v>973</v>
      </c>
      <c r="G187" s="75">
        <v>4.04</v>
      </c>
      <c r="H187" s="56">
        <v>45959.0</v>
      </c>
      <c r="I187" s="56" t="b">
        <v>0</v>
      </c>
      <c r="J187" s="56"/>
      <c r="K187" s="75"/>
      <c r="L187" s="76" t="str">
        <f t="shared" si="24"/>
        <v/>
      </c>
      <c r="M187" s="75" t="str">
        <f t="shared" si="25"/>
        <v/>
      </c>
      <c r="N187" s="77" t="str">
        <f t="shared" si="26"/>
        <v/>
      </c>
    </row>
    <row r="188">
      <c r="A188" s="74"/>
      <c r="B188" s="52"/>
      <c r="C188" s="52"/>
      <c r="D188" s="52"/>
      <c r="E188" s="52" t="s">
        <v>974</v>
      </c>
      <c r="F188" s="85" t="s">
        <v>975</v>
      </c>
      <c r="G188" s="75">
        <v>4.04</v>
      </c>
      <c r="H188" s="56">
        <v>45959.0</v>
      </c>
      <c r="I188" s="56" t="b">
        <v>0</v>
      </c>
      <c r="J188" s="56"/>
      <c r="K188" s="75"/>
      <c r="L188" s="76" t="str">
        <f t="shared" si="24"/>
        <v/>
      </c>
      <c r="M188" s="75" t="str">
        <f t="shared" si="25"/>
        <v/>
      </c>
      <c r="N188" s="77" t="str">
        <f t="shared" si="26"/>
        <v/>
      </c>
    </row>
    <row r="189">
      <c r="A189" s="74"/>
      <c r="B189" s="52"/>
      <c r="C189" s="52"/>
      <c r="D189" s="52"/>
      <c r="E189" s="52" t="s">
        <v>976</v>
      </c>
      <c r="F189" s="85" t="s">
        <v>977</v>
      </c>
      <c r="G189" s="75">
        <v>4.04</v>
      </c>
      <c r="H189" s="56">
        <v>45959.0</v>
      </c>
      <c r="I189" s="56" t="b">
        <v>0</v>
      </c>
      <c r="J189" s="56"/>
      <c r="K189" s="75"/>
      <c r="L189" s="76" t="str">
        <f t="shared" si="24"/>
        <v/>
      </c>
      <c r="M189" s="75" t="str">
        <f t="shared" si="25"/>
        <v/>
      </c>
      <c r="N189" s="77" t="str">
        <f t="shared" si="26"/>
        <v/>
      </c>
    </row>
    <row r="190">
      <c r="A190" s="74"/>
      <c r="B190" s="52"/>
      <c r="C190" s="52"/>
      <c r="D190" s="52"/>
      <c r="E190" s="52" t="s">
        <v>978</v>
      </c>
      <c r="F190" s="85" t="s">
        <v>979</v>
      </c>
      <c r="G190" s="75">
        <v>4.04</v>
      </c>
      <c r="H190" s="56">
        <v>45959.0</v>
      </c>
      <c r="I190" s="56" t="b">
        <v>0</v>
      </c>
      <c r="J190" s="56"/>
      <c r="K190" s="75"/>
      <c r="L190" s="76" t="str">
        <f t="shared" si="24"/>
        <v/>
      </c>
      <c r="M190" s="75" t="str">
        <f t="shared" si="25"/>
        <v/>
      </c>
      <c r="N190" s="77" t="str">
        <f t="shared" si="26"/>
        <v/>
      </c>
    </row>
    <row r="191">
      <c r="A191" s="74"/>
      <c r="B191" s="52"/>
      <c r="C191" s="52"/>
      <c r="D191" s="52"/>
      <c r="E191" s="52" t="s">
        <v>980</v>
      </c>
      <c r="F191" s="85" t="s">
        <v>981</v>
      </c>
      <c r="G191" s="75">
        <v>4.04</v>
      </c>
      <c r="H191" s="56">
        <v>45959.0</v>
      </c>
      <c r="I191" s="56" t="b">
        <v>0</v>
      </c>
      <c r="J191" s="56"/>
      <c r="K191" s="75"/>
      <c r="L191" s="76" t="str">
        <f t="shared" si="24"/>
        <v/>
      </c>
      <c r="M191" s="75" t="str">
        <f t="shared" si="25"/>
        <v/>
      </c>
      <c r="N191" s="77" t="str">
        <f t="shared" si="26"/>
        <v/>
      </c>
    </row>
    <row r="192">
      <c r="A192" s="74"/>
      <c r="B192" s="52"/>
      <c r="C192" s="52"/>
      <c r="D192" s="52"/>
      <c r="E192" s="52" t="s">
        <v>982</v>
      </c>
      <c r="F192" s="85" t="s">
        <v>983</v>
      </c>
      <c r="G192" s="75">
        <v>4.04</v>
      </c>
      <c r="H192" s="56">
        <v>45960.0</v>
      </c>
      <c r="I192" s="56" t="b">
        <v>0</v>
      </c>
      <c r="J192" s="56"/>
      <c r="K192" s="75"/>
      <c r="L192" s="76" t="str">
        <f t="shared" si="24"/>
        <v/>
      </c>
      <c r="M192" s="75" t="str">
        <f t="shared" si="25"/>
        <v/>
      </c>
      <c r="N192" s="77" t="str">
        <f t="shared" si="26"/>
        <v/>
      </c>
    </row>
    <row r="193">
      <c r="A193" s="74"/>
      <c r="B193" s="52"/>
      <c r="C193" s="52"/>
      <c r="D193" s="52"/>
      <c r="E193" s="52" t="s">
        <v>984</v>
      </c>
      <c r="F193" s="85" t="s">
        <v>985</v>
      </c>
      <c r="G193" s="75">
        <v>4.04</v>
      </c>
      <c r="H193" s="56">
        <v>45960.0</v>
      </c>
      <c r="I193" s="56" t="b">
        <v>0</v>
      </c>
      <c r="J193" s="56"/>
      <c r="K193" s="75"/>
      <c r="L193" s="76" t="str">
        <f t="shared" si="24"/>
        <v/>
      </c>
      <c r="M193" s="75" t="str">
        <f t="shared" si="25"/>
        <v/>
      </c>
      <c r="N193" s="77" t="str">
        <f t="shared" si="26"/>
        <v/>
      </c>
    </row>
    <row r="194">
      <c r="A194" s="74"/>
      <c r="B194" s="52"/>
      <c r="C194" s="52"/>
      <c r="D194" s="52"/>
      <c r="E194" s="52" t="s">
        <v>986</v>
      </c>
      <c r="F194" s="85" t="s">
        <v>987</v>
      </c>
      <c r="G194" s="75">
        <v>4.04</v>
      </c>
      <c r="H194" s="56">
        <v>45960.0</v>
      </c>
      <c r="I194" s="56" t="b">
        <v>0</v>
      </c>
      <c r="J194" s="56"/>
      <c r="K194" s="75"/>
      <c r="L194" s="76" t="str">
        <f t="shared" si="24"/>
        <v/>
      </c>
      <c r="M194" s="75" t="str">
        <f t="shared" si="25"/>
        <v/>
      </c>
      <c r="N194" s="77" t="str">
        <f t="shared" si="26"/>
        <v/>
      </c>
    </row>
    <row r="195">
      <c r="A195" s="78"/>
      <c r="B195" s="79"/>
      <c r="C195" s="79"/>
      <c r="D195" s="79"/>
      <c r="E195" s="79"/>
      <c r="F195" s="80"/>
      <c r="G195" s="80"/>
      <c r="H195" s="81"/>
      <c r="I195" s="81" t="b">
        <v>0</v>
      </c>
      <c r="J195" s="81"/>
      <c r="K195" s="80"/>
      <c r="L195" s="82"/>
      <c r="M195" s="80"/>
      <c r="N195" s="83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</row>
    <row r="196">
      <c r="A196" s="74"/>
      <c r="B196" s="52"/>
      <c r="C196" s="52"/>
      <c r="D196" s="52"/>
      <c r="E196" s="52" t="s">
        <v>988</v>
      </c>
      <c r="F196" s="85" t="s">
        <v>989</v>
      </c>
      <c r="G196" s="75">
        <v>7.09</v>
      </c>
      <c r="H196" s="56">
        <v>45960.0</v>
      </c>
      <c r="I196" s="56" t="b">
        <v>0</v>
      </c>
      <c r="J196" s="56"/>
      <c r="K196" s="75"/>
      <c r="L196" s="76" t="str">
        <f t="shared" ref="L196:L294" si="27">IF(ISBLANK(J196),"",J196-H196)</f>
        <v/>
      </c>
      <c r="M196" s="75" t="str">
        <f t="shared" ref="M196:M294" si="28">IF(K196="","",IF(K196-G196&lt;0,"",K196-G196))</f>
        <v/>
      </c>
      <c r="N196" s="77" t="str">
        <f t="shared" ref="N196:N294" si="29">IF(K196="","",IF(K196/G196&lt;0,"",K196/G196))</f>
        <v/>
      </c>
    </row>
    <row r="197">
      <c r="A197" s="74"/>
      <c r="B197" s="52"/>
      <c r="C197" s="52"/>
      <c r="D197" s="52"/>
      <c r="E197" s="52" t="s">
        <v>990</v>
      </c>
      <c r="F197" s="85" t="s">
        <v>991</v>
      </c>
      <c r="G197" s="75">
        <v>7.09</v>
      </c>
      <c r="H197" s="56">
        <v>45960.0</v>
      </c>
      <c r="I197" s="56" t="b">
        <v>0</v>
      </c>
      <c r="J197" s="56"/>
      <c r="K197" s="75"/>
      <c r="L197" s="76" t="str">
        <f t="shared" si="27"/>
        <v/>
      </c>
      <c r="M197" s="75" t="str">
        <f t="shared" si="28"/>
        <v/>
      </c>
      <c r="N197" s="77" t="str">
        <f t="shared" si="29"/>
        <v/>
      </c>
    </row>
    <row r="198">
      <c r="A198" s="74"/>
      <c r="B198" s="52"/>
      <c r="C198" s="52"/>
      <c r="D198" s="52"/>
      <c r="E198" s="52" t="s">
        <v>992</v>
      </c>
      <c r="F198" s="85" t="s">
        <v>993</v>
      </c>
      <c r="G198" s="75">
        <v>7.09</v>
      </c>
      <c r="H198" s="56">
        <v>45960.0</v>
      </c>
      <c r="I198" s="56" t="b">
        <v>0</v>
      </c>
      <c r="J198" s="56"/>
      <c r="K198" s="75"/>
      <c r="L198" s="76" t="str">
        <f t="shared" si="27"/>
        <v/>
      </c>
      <c r="M198" s="75" t="str">
        <f t="shared" si="28"/>
        <v/>
      </c>
      <c r="N198" s="77" t="str">
        <f t="shared" si="29"/>
        <v/>
      </c>
    </row>
    <row r="199">
      <c r="A199" s="74"/>
      <c r="B199" s="52"/>
      <c r="C199" s="52"/>
      <c r="D199" s="52"/>
      <c r="E199" s="52" t="s">
        <v>994</v>
      </c>
      <c r="F199" s="85" t="s">
        <v>995</v>
      </c>
      <c r="G199" s="75">
        <v>7.09</v>
      </c>
      <c r="H199" s="56">
        <v>45960.0</v>
      </c>
      <c r="I199" s="56" t="b">
        <v>0</v>
      </c>
      <c r="J199" s="56"/>
      <c r="K199" s="75"/>
      <c r="L199" s="76" t="str">
        <f t="shared" si="27"/>
        <v/>
      </c>
      <c r="M199" s="75" t="str">
        <f t="shared" si="28"/>
        <v/>
      </c>
      <c r="N199" s="77" t="str">
        <f t="shared" si="29"/>
        <v/>
      </c>
    </row>
    <row r="200">
      <c r="A200" s="74"/>
      <c r="B200" s="52"/>
      <c r="C200" s="52"/>
      <c r="D200" s="52"/>
      <c r="E200" s="52" t="s">
        <v>996</v>
      </c>
      <c r="F200" s="85" t="s">
        <v>997</v>
      </c>
      <c r="G200" s="75">
        <v>7.09</v>
      </c>
      <c r="H200" s="56">
        <v>45960.0</v>
      </c>
      <c r="I200" s="56" t="b">
        <v>0</v>
      </c>
      <c r="J200" s="56"/>
      <c r="K200" s="75"/>
      <c r="L200" s="76" t="str">
        <f t="shared" si="27"/>
        <v/>
      </c>
      <c r="M200" s="75" t="str">
        <f t="shared" si="28"/>
        <v/>
      </c>
      <c r="N200" s="77" t="str">
        <f t="shared" si="29"/>
        <v/>
      </c>
    </row>
    <row r="201">
      <c r="A201" s="74"/>
      <c r="B201" s="52"/>
      <c r="C201" s="52"/>
      <c r="D201" s="52"/>
      <c r="E201" s="52" t="s">
        <v>998</v>
      </c>
      <c r="F201" s="85" t="s">
        <v>999</v>
      </c>
      <c r="G201" s="75">
        <v>7.09</v>
      </c>
      <c r="H201" s="56">
        <v>45960.0</v>
      </c>
      <c r="I201" s="56" t="b">
        <v>0</v>
      </c>
      <c r="J201" s="56"/>
      <c r="K201" s="75"/>
      <c r="L201" s="76" t="str">
        <f t="shared" si="27"/>
        <v/>
      </c>
      <c r="M201" s="75" t="str">
        <f t="shared" si="28"/>
        <v/>
      </c>
      <c r="N201" s="77" t="str">
        <f t="shared" si="29"/>
        <v/>
      </c>
    </row>
    <row r="202">
      <c r="A202" s="74"/>
      <c r="B202" s="52"/>
      <c r="C202" s="52"/>
      <c r="D202" s="52"/>
      <c r="E202" s="52" t="s">
        <v>1000</v>
      </c>
      <c r="F202" s="85" t="s">
        <v>1001</v>
      </c>
      <c r="G202" s="75">
        <v>7.09</v>
      </c>
      <c r="H202" s="56">
        <v>45960.0</v>
      </c>
      <c r="I202" s="56" t="b">
        <v>0</v>
      </c>
      <c r="J202" s="56"/>
      <c r="K202" s="75"/>
      <c r="L202" s="76" t="str">
        <f t="shared" si="27"/>
        <v/>
      </c>
      <c r="M202" s="75" t="str">
        <f t="shared" si="28"/>
        <v/>
      </c>
      <c r="N202" s="77" t="str">
        <f t="shared" si="29"/>
        <v/>
      </c>
    </row>
    <row r="203">
      <c r="A203" s="74"/>
      <c r="B203" s="52"/>
      <c r="C203" s="52"/>
      <c r="D203" s="52"/>
      <c r="E203" s="52" t="s">
        <v>1002</v>
      </c>
      <c r="F203" s="85" t="s">
        <v>1003</v>
      </c>
      <c r="G203" s="75">
        <v>7.09</v>
      </c>
      <c r="H203" s="56">
        <v>45961.0</v>
      </c>
      <c r="I203" s="56" t="b">
        <v>0</v>
      </c>
      <c r="J203" s="56"/>
      <c r="K203" s="75"/>
      <c r="L203" s="76" t="str">
        <f t="shared" si="27"/>
        <v/>
      </c>
      <c r="M203" s="75" t="str">
        <f t="shared" si="28"/>
        <v/>
      </c>
      <c r="N203" s="77" t="str">
        <f t="shared" si="29"/>
        <v/>
      </c>
    </row>
    <row r="204">
      <c r="A204" s="74"/>
      <c r="B204" s="52"/>
      <c r="C204" s="52"/>
      <c r="D204" s="52"/>
      <c r="E204" s="52" t="s">
        <v>1004</v>
      </c>
      <c r="F204" s="85" t="s">
        <v>1005</v>
      </c>
      <c r="G204" s="75">
        <v>7.09</v>
      </c>
      <c r="H204" s="56">
        <v>45961.0</v>
      </c>
      <c r="I204" s="56" t="b">
        <v>0</v>
      </c>
      <c r="J204" s="56"/>
      <c r="K204" s="75"/>
      <c r="L204" s="76" t="str">
        <f t="shared" si="27"/>
        <v/>
      </c>
      <c r="M204" s="75" t="str">
        <f t="shared" si="28"/>
        <v/>
      </c>
      <c r="N204" s="77" t="str">
        <f t="shared" si="29"/>
        <v/>
      </c>
    </row>
    <row r="205">
      <c r="A205" s="74"/>
      <c r="B205" s="52"/>
      <c r="C205" s="52"/>
      <c r="D205" s="52"/>
      <c r="E205" s="52" t="s">
        <v>1006</v>
      </c>
      <c r="F205" s="85" t="s">
        <v>1007</v>
      </c>
      <c r="G205" s="75">
        <v>7.09</v>
      </c>
      <c r="H205" s="56">
        <v>45961.0</v>
      </c>
      <c r="I205" s="56" t="b">
        <v>0</v>
      </c>
      <c r="J205" s="56"/>
      <c r="K205" s="75"/>
      <c r="L205" s="76" t="str">
        <f t="shared" si="27"/>
        <v/>
      </c>
      <c r="M205" s="75" t="str">
        <f t="shared" si="28"/>
        <v/>
      </c>
      <c r="N205" s="77" t="str">
        <f t="shared" si="29"/>
        <v/>
      </c>
    </row>
    <row r="206">
      <c r="A206" s="74"/>
      <c r="B206" s="52"/>
      <c r="C206" s="52"/>
      <c r="D206" s="52"/>
      <c r="E206" s="52" t="s">
        <v>1008</v>
      </c>
      <c r="F206" s="85" t="s">
        <v>1009</v>
      </c>
      <c r="G206" s="75">
        <v>7.09</v>
      </c>
      <c r="H206" s="56">
        <v>45961.0</v>
      </c>
      <c r="I206" s="56" t="b">
        <v>0</v>
      </c>
      <c r="J206" s="56"/>
      <c r="K206" s="75"/>
      <c r="L206" s="76" t="str">
        <f t="shared" si="27"/>
        <v/>
      </c>
      <c r="M206" s="75" t="str">
        <f t="shared" si="28"/>
        <v/>
      </c>
      <c r="N206" s="77" t="str">
        <f t="shared" si="29"/>
        <v/>
      </c>
    </row>
    <row r="207">
      <c r="A207" s="74"/>
      <c r="B207" s="52"/>
      <c r="C207" s="52"/>
      <c r="D207" s="52"/>
      <c r="E207" s="52" t="s">
        <v>1010</v>
      </c>
      <c r="F207" s="85" t="s">
        <v>1011</v>
      </c>
      <c r="G207" s="75">
        <v>7.09</v>
      </c>
      <c r="H207" s="56">
        <v>45961.0</v>
      </c>
      <c r="I207" s="56" t="b">
        <v>0</v>
      </c>
      <c r="J207" s="56"/>
      <c r="K207" s="75"/>
      <c r="L207" s="76" t="str">
        <f t="shared" si="27"/>
        <v/>
      </c>
      <c r="M207" s="75" t="str">
        <f t="shared" si="28"/>
        <v/>
      </c>
      <c r="N207" s="77" t="str">
        <f t="shared" si="29"/>
        <v/>
      </c>
    </row>
    <row r="208">
      <c r="A208" s="74"/>
      <c r="B208" s="52"/>
      <c r="C208" s="52"/>
      <c r="D208" s="52"/>
      <c r="E208" s="52" t="s">
        <v>1012</v>
      </c>
      <c r="F208" s="85" t="s">
        <v>1013</v>
      </c>
      <c r="G208" s="75">
        <v>7.09</v>
      </c>
      <c r="H208" s="56">
        <v>45961.0</v>
      </c>
      <c r="I208" s="56" t="b">
        <v>0</v>
      </c>
      <c r="J208" s="56"/>
      <c r="K208" s="75"/>
      <c r="L208" s="76" t="str">
        <f t="shared" si="27"/>
        <v/>
      </c>
      <c r="M208" s="75" t="str">
        <f t="shared" si="28"/>
        <v/>
      </c>
      <c r="N208" s="77" t="str">
        <f t="shared" si="29"/>
        <v/>
      </c>
    </row>
    <row r="209">
      <c r="A209" s="74"/>
      <c r="B209" s="52"/>
      <c r="C209" s="52"/>
      <c r="D209" s="52"/>
      <c r="E209" s="52" t="s">
        <v>1014</v>
      </c>
      <c r="F209" s="85" t="s">
        <v>1015</v>
      </c>
      <c r="G209" s="75">
        <v>7.09</v>
      </c>
      <c r="H209" s="56">
        <v>45961.0</v>
      </c>
      <c r="I209" s="56" t="b">
        <v>0</v>
      </c>
      <c r="J209" s="56"/>
      <c r="K209" s="75"/>
      <c r="L209" s="76" t="str">
        <f t="shared" si="27"/>
        <v/>
      </c>
      <c r="M209" s="75" t="str">
        <f t="shared" si="28"/>
        <v/>
      </c>
      <c r="N209" s="77" t="str">
        <f t="shared" si="29"/>
        <v/>
      </c>
    </row>
    <row r="210">
      <c r="A210" s="74"/>
      <c r="B210" s="52"/>
      <c r="C210" s="52"/>
      <c r="D210" s="52"/>
      <c r="E210" s="52" t="s">
        <v>1016</v>
      </c>
      <c r="F210" s="85" t="s">
        <v>1017</v>
      </c>
      <c r="G210" s="75">
        <v>7.09</v>
      </c>
      <c r="H210" s="56">
        <v>45961.0</v>
      </c>
      <c r="I210" s="56" t="b">
        <v>0</v>
      </c>
      <c r="J210" s="56"/>
      <c r="K210" s="75"/>
      <c r="L210" s="76" t="str">
        <f t="shared" si="27"/>
        <v/>
      </c>
      <c r="M210" s="75" t="str">
        <f t="shared" si="28"/>
        <v/>
      </c>
      <c r="N210" s="77" t="str">
        <f t="shared" si="29"/>
        <v/>
      </c>
    </row>
    <row r="211">
      <c r="A211" s="74"/>
      <c r="B211" s="52"/>
      <c r="C211" s="52"/>
      <c r="D211" s="52"/>
      <c r="E211" s="52" t="s">
        <v>1018</v>
      </c>
      <c r="F211" s="85" t="s">
        <v>1019</v>
      </c>
      <c r="G211" s="75">
        <v>7.09</v>
      </c>
      <c r="H211" s="56">
        <v>45961.0</v>
      </c>
      <c r="I211" s="56" t="b">
        <v>0</v>
      </c>
      <c r="J211" s="56"/>
      <c r="K211" s="75"/>
      <c r="L211" s="76" t="str">
        <f t="shared" si="27"/>
        <v/>
      </c>
      <c r="M211" s="75" t="str">
        <f t="shared" si="28"/>
        <v/>
      </c>
      <c r="N211" s="77" t="str">
        <f t="shared" si="29"/>
        <v/>
      </c>
    </row>
    <row r="212">
      <c r="A212" s="74"/>
      <c r="B212" s="52"/>
      <c r="C212" s="52"/>
      <c r="D212" s="52"/>
      <c r="E212" s="52" t="s">
        <v>1020</v>
      </c>
      <c r="F212" s="85" t="s">
        <v>1021</v>
      </c>
      <c r="G212" s="75">
        <v>7.09</v>
      </c>
      <c r="H212" s="56">
        <v>45961.0</v>
      </c>
      <c r="I212" s="56" t="b">
        <v>0</v>
      </c>
      <c r="J212" s="56"/>
      <c r="K212" s="75"/>
      <c r="L212" s="76" t="str">
        <f t="shared" si="27"/>
        <v/>
      </c>
      <c r="M212" s="75" t="str">
        <f t="shared" si="28"/>
        <v/>
      </c>
      <c r="N212" s="77" t="str">
        <f t="shared" si="29"/>
        <v/>
      </c>
    </row>
    <row r="213">
      <c r="A213" s="74"/>
      <c r="B213" s="52"/>
      <c r="C213" s="52"/>
      <c r="D213" s="52"/>
      <c r="E213" s="52" t="s">
        <v>1022</v>
      </c>
      <c r="F213" s="85" t="s">
        <v>1023</v>
      </c>
      <c r="G213" s="75">
        <v>7.09</v>
      </c>
      <c r="H213" s="56">
        <v>45962.0</v>
      </c>
      <c r="I213" s="56" t="b">
        <v>0</v>
      </c>
      <c r="J213" s="56"/>
      <c r="K213" s="75"/>
      <c r="L213" s="76" t="str">
        <f t="shared" si="27"/>
        <v/>
      </c>
      <c r="M213" s="75" t="str">
        <f t="shared" si="28"/>
        <v/>
      </c>
      <c r="N213" s="77" t="str">
        <f t="shared" si="29"/>
        <v/>
      </c>
    </row>
    <row r="214">
      <c r="A214" s="74"/>
      <c r="B214" s="52"/>
      <c r="C214" s="52"/>
      <c r="D214" s="52"/>
      <c r="E214" s="52" t="s">
        <v>1024</v>
      </c>
      <c r="F214" s="85" t="s">
        <v>1025</v>
      </c>
      <c r="G214" s="75">
        <v>7.09</v>
      </c>
      <c r="H214" s="56">
        <v>45962.0</v>
      </c>
      <c r="I214" s="56" t="b">
        <v>0</v>
      </c>
      <c r="J214" s="56"/>
      <c r="K214" s="75"/>
      <c r="L214" s="76" t="str">
        <f t="shared" si="27"/>
        <v/>
      </c>
      <c r="M214" s="75" t="str">
        <f t="shared" si="28"/>
        <v/>
      </c>
      <c r="N214" s="77" t="str">
        <f t="shared" si="29"/>
        <v/>
      </c>
    </row>
    <row r="215">
      <c r="A215" s="74"/>
      <c r="B215" s="52"/>
      <c r="C215" s="52"/>
      <c r="D215" s="52"/>
      <c r="E215" s="52" t="s">
        <v>1026</v>
      </c>
      <c r="F215" s="85" t="s">
        <v>1027</v>
      </c>
      <c r="G215" s="75">
        <v>7.09</v>
      </c>
      <c r="H215" s="56">
        <v>45962.0</v>
      </c>
      <c r="I215" s="56" t="b">
        <v>0</v>
      </c>
      <c r="J215" s="56"/>
      <c r="K215" s="75"/>
      <c r="L215" s="76" t="str">
        <f t="shared" si="27"/>
        <v/>
      </c>
      <c r="M215" s="75" t="str">
        <f t="shared" si="28"/>
        <v/>
      </c>
      <c r="N215" s="77" t="str">
        <f t="shared" si="29"/>
        <v/>
      </c>
    </row>
    <row r="216">
      <c r="A216" s="74"/>
      <c r="B216" s="52"/>
      <c r="C216" s="52"/>
      <c r="D216" s="52"/>
      <c r="E216" s="52" t="s">
        <v>1028</v>
      </c>
      <c r="F216" s="85" t="s">
        <v>1029</v>
      </c>
      <c r="G216" s="75">
        <v>7.09</v>
      </c>
      <c r="H216" s="56">
        <v>45962.0</v>
      </c>
      <c r="I216" s="56" t="b">
        <v>0</v>
      </c>
      <c r="J216" s="56"/>
      <c r="K216" s="75"/>
      <c r="L216" s="76" t="str">
        <f t="shared" si="27"/>
        <v/>
      </c>
      <c r="M216" s="75" t="str">
        <f t="shared" si="28"/>
        <v/>
      </c>
      <c r="N216" s="77" t="str">
        <f t="shared" si="29"/>
        <v/>
      </c>
    </row>
    <row r="217">
      <c r="A217" s="74"/>
      <c r="B217" s="52"/>
      <c r="C217" s="52"/>
      <c r="D217" s="52"/>
      <c r="E217" s="52" t="s">
        <v>1030</v>
      </c>
      <c r="F217" s="85" t="s">
        <v>1031</v>
      </c>
      <c r="G217" s="75">
        <v>7.09</v>
      </c>
      <c r="H217" s="56">
        <v>45962.0</v>
      </c>
      <c r="I217" s="56" t="b">
        <v>0</v>
      </c>
      <c r="J217" s="56"/>
      <c r="K217" s="75"/>
      <c r="L217" s="76" t="str">
        <f t="shared" si="27"/>
        <v/>
      </c>
      <c r="M217" s="75" t="str">
        <f t="shared" si="28"/>
        <v/>
      </c>
      <c r="N217" s="77" t="str">
        <f t="shared" si="29"/>
        <v/>
      </c>
    </row>
    <row r="218">
      <c r="A218" s="74"/>
      <c r="B218" s="52"/>
      <c r="C218" s="52"/>
      <c r="D218" s="52"/>
      <c r="E218" s="52" t="s">
        <v>1032</v>
      </c>
      <c r="F218" s="85" t="s">
        <v>1033</v>
      </c>
      <c r="G218" s="75">
        <v>7.09</v>
      </c>
      <c r="H218" s="56">
        <v>45962.0</v>
      </c>
      <c r="I218" s="56" t="b">
        <v>0</v>
      </c>
      <c r="J218" s="56"/>
      <c r="K218" s="75"/>
      <c r="L218" s="76" t="str">
        <f t="shared" si="27"/>
        <v/>
      </c>
      <c r="M218" s="75" t="str">
        <f t="shared" si="28"/>
        <v/>
      </c>
      <c r="N218" s="77" t="str">
        <f t="shared" si="29"/>
        <v/>
      </c>
    </row>
    <row r="219">
      <c r="A219" s="74"/>
      <c r="B219" s="52"/>
      <c r="C219" s="52"/>
      <c r="D219" s="52"/>
      <c r="E219" s="52" t="s">
        <v>1034</v>
      </c>
      <c r="F219" s="85" t="s">
        <v>1035</v>
      </c>
      <c r="G219" s="75">
        <v>7.09</v>
      </c>
      <c r="H219" s="56">
        <v>45962.0</v>
      </c>
      <c r="I219" s="56" t="b">
        <v>0</v>
      </c>
      <c r="J219" s="56"/>
      <c r="K219" s="75"/>
      <c r="L219" s="76" t="str">
        <f t="shared" si="27"/>
        <v/>
      </c>
      <c r="M219" s="75" t="str">
        <f t="shared" si="28"/>
        <v/>
      </c>
      <c r="N219" s="77" t="str">
        <f t="shared" si="29"/>
        <v/>
      </c>
    </row>
    <row r="220">
      <c r="A220" s="74"/>
      <c r="B220" s="52"/>
      <c r="C220" s="52"/>
      <c r="D220" s="52"/>
      <c r="E220" s="52" t="s">
        <v>1036</v>
      </c>
      <c r="F220" s="85" t="s">
        <v>1037</v>
      </c>
      <c r="G220" s="75">
        <v>7.09</v>
      </c>
      <c r="H220" s="56">
        <v>45962.0</v>
      </c>
      <c r="I220" s="56" t="b">
        <v>0</v>
      </c>
      <c r="J220" s="56"/>
      <c r="K220" s="75"/>
      <c r="L220" s="76" t="str">
        <f t="shared" si="27"/>
        <v/>
      </c>
      <c r="M220" s="75" t="str">
        <f t="shared" si="28"/>
        <v/>
      </c>
      <c r="N220" s="77" t="str">
        <f t="shared" si="29"/>
        <v/>
      </c>
    </row>
    <row r="221">
      <c r="A221" s="74"/>
      <c r="B221" s="52"/>
      <c r="C221" s="52"/>
      <c r="D221" s="52"/>
      <c r="E221" s="52" t="s">
        <v>1038</v>
      </c>
      <c r="F221" s="85" t="s">
        <v>1039</v>
      </c>
      <c r="G221" s="75">
        <v>7.09</v>
      </c>
      <c r="H221" s="56">
        <v>45962.0</v>
      </c>
      <c r="I221" s="56" t="b">
        <v>0</v>
      </c>
      <c r="J221" s="56"/>
      <c r="K221" s="75"/>
      <c r="L221" s="76" t="str">
        <f t="shared" si="27"/>
        <v/>
      </c>
      <c r="M221" s="75" t="str">
        <f t="shared" si="28"/>
        <v/>
      </c>
      <c r="N221" s="77" t="str">
        <f t="shared" si="29"/>
        <v/>
      </c>
    </row>
    <row r="222">
      <c r="A222" s="74"/>
      <c r="B222" s="52"/>
      <c r="C222" s="52"/>
      <c r="D222" s="52"/>
      <c r="E222" s="52" t="s">
        <v>1040</v>
      </c>
      <c r="F222" s="85" t="s">
        <v>1041</v>
      </c>
      <c r="G222" s="75">
        <v>7.09</v>
      </c>
      <c r="H222" s="56">
        <v>45962.0</v>
      </c>
      <c r="I222" s="56" t="b">
        <v>0</v>
      </c>
      <c r="J222" s="56"/>
      <c r="K222" s="75"/>
      <c r="L222" s="76" t="str">
        <f t="shared" si="27"/>
        <v/>
      </c>
      <c r="M222" s="75" t="str">
        <f t="shared" si="28"/>
        <v/>
      </c>
      <c r="N222" s="77" t="str">
        <f t="shared" si="29"/>
        <v/>
      </c>
    </row>
    <row r="223">
      <c r="A223" s="74"/>
      <c r="B223" s="52"/>
      <c r="C223" s="52"/>
      <c r="D223" s="52"/>
      <c r="E223" s="52" t="s">
        <v>1042</v>
      </c>
      <c r="F223" s="85" t="s">
        <v>1043</v>
      </c>
      <c r="G223" s="75">
        <v>7.09</v>
      </c>
      <c r="H223" s="56">
        <v>45963.0</v>
      </c>
      <c r="I223" s="56" t="b">
        <v>0</v>
      </c>
      <c r="J223" s="56"/>
      <c r="K223" s="75"/>
      <c r="L223" s="76" t="str">
        <f t="shared" si="27"/>
        <v/>
      </c>
      <c r="M223" s="75" t="str">
        <f t="shared" si="28"/>
        <v/>
      </c>
      <c r="N223" s="77" t="str">
        <f t="shared" si="29"/>
        <v/>
      </c>
    </row>
    <row r="224">
      <c r="A224" s="74"/>
      <c r="B224" s="52"/>
      <c r="C224" s="52"/>
      <c r="D224" s="52"/>
      <c r="E224" s="52" t="s">
        <v>1044</v>
      </c>
      <c r="F224" s="85" t="s">
        <v>1045</v>
      </c>
      <c r="G224" s="75">
        <v>7.09</v>
      </c>
      <c r="H224" s="56">
        <v>45963.0</v>
      </c>
      <c r="I224" s="56" t="b">
        <v>0</v>
      </c>
      <c r="J224" s="56"/>
      <c r="K224" s="75"/>
      <c r="L224" s="76" t="str">
        <f t="shared" si="27"/>
        <v/>
      </c>
      <c r="M224" s="75" t="str">
        <f t="shared" si="28"/>
        <v/>
      </c>
      <c r="N224" s="77" t="str">
        <f t="shared" si="29"/>
        <v/>
      </c>
    </row>
    <row r="225">
      <c r="A225" s="74"/>
      <c r="B225" s="52"/>
      <c r="C225" s="52"/>
      <c r="D225" s="52"/>
      <c r="E225" s="52" t="s">
        <v>1046</v>
      </c>
      <c r="F225" s="85" t="s">
        <v>1047</v>
      </c>
      <c r="G225" s="75">
        <v>7.09</v>
      </c>
      <c r="H225" s="56">
        <v>45963.0</v>
      </c>
      <c r="I225" s="56" t="b">
        <v>0</v>
      </c>
      <c r="J225" s="56"/>
      <c r="K225" s="75"/>
      <c r="L225" s="76" t="str">
        <f t="shared" si="27"/>
        <v/>
      </c>
      <c r="M225" s="75" t="str">
        <f t="shared" si="28"/>
        <v/>
      </c>
      <c r="N225" s="77" t="str">
        <f t="shared" si="29"/>
        <v/>
      </c>
    </row>
    <row r="226">
      <c r="A226" s="74"/>
      <c r="B226" s="52"/>
      <c r="C226" s="52"/>
      <c r="D226" s="52"/>
      <c r="E226" s="52" t="s">
        <v>1048</v>
      </c>
      <c r="F226" s="85" t="s">
        <v>1049</v>
      </c>
      <c r="G226" s="75">
        <v>7.09</v>
      </c>
      <c r="H226" s="56">
        <v>45963.0</v>
      </c>
      <c r="I226" s="56" t="b">
        <v>0</v>
      </c>
      <c r="J226" s="56"/>
      <c r="K226" s="75"/>
      <c r="L226" s="76" t="str">
        <f t="shared" si="27"/>
        <v/>
      </c>
      <c r="M226" s="75" t="str">
        <f t="shared" si="28"/>
        <v/>
      </c>
      <c r="N226" s="77" t="str">
        <f t="shared" si="29"/>
        <v/>
      </c>
    </row>
    <row r="227">
      <c r="A227" s="74"/>
      <c r="B227" s="52"/>
      <c r="C227" s="52"/>
      <c r="D227" s="52"/>
      <c r="E227" s="52" t="s">
        <v>1050</v>
      </c>
      <c r="F227" s="85" t="s">
        <v>1051</v>
      </c>
      <c r="G227" s="75">
        <v>7.09</v>
      </c>
      <c r="H227" s="56">
        <v>45963.0</v>
      </c>
      <c r="I227" s="56" t="b">
        <v>0</v>
      </c>
      <c r="J227" s="56"/>
      <c r="K227" s="75"/>
      <c r="L227" s="76" t="str">
        <f t="shared" si="27"/>
        <v/>
      </c>
      <c r="M227" s="75" t="str">
        <f t="shared" si="28"/>
        <v/>
      </c>
      <c r="N227" s="77" t="str">
        <f t="shared" si="29"/>
        <v/>
      </c>
    </row>
    <row r="228">
      <c r="A228" s="74"/>
      <c r="B228" s="52"/>
      <c r="C228" s="52"/>
      <c r="D228" s="52"/>
      <c r="E228" s="52" t="s">
        <v>1052</v>
      </c>
      <c r="F228" s="85" t="s">
        <v>1053</v>
      </c>
      <c r="G228" s="75">
        <v>7.09</v>
      </c>
      <c r="H228" s="56">
        <v>45963.0</v>
      </c>
      <c r="I228" s="56" t="b">
        <v>0</v>
      </c>
      <c r="J228" s="56"/>
      <c r="K228" s="75"/>
      <c r="L228" s="76" t="str">
        <f t="shared" si="27"/>
        <v/>
      </c>
      <c r="M228" s="75" t="str">
        <f t="shared" si="28"/>
        <v/>
      </c>
      <c r="N228" s="77" t="str">
        <f t="shared" si="29"/>
        <v/>
      </c>
    </row>
    <row r="229">
      <c r="A229" s="74"/>
      <c r="B229" s="52"/>
      <c r="C229" s="52"/>
      <c r="D229" s="52"/>
      <c r="E229" s="52" t="s">
        <v>1054</v>
      </c>
      <c r="F229" s="85" t="s">
        <v>1055</v>
      </c>
      <c r="G229" s="75">
        <v>7.09</v>
      </c>
      <c r="H229" s="56">
        <v>45963.0</v>
      </c>
      <c r="I229" s="56" t="b">
        <v>0</v>
      </c>
      <c r="J229" s="56"/>
      <c r="K229" s="75"/>
      <c r="L229" s="76" t="str">
        <f t="shared" si="27"/>
        <v/>
      </c>
      <c r="M229" s="75" t="str">
        <f t="shared" si="28"/>
        <v/>
      </c>
      <c r="N229" s="77" t="str">
        <f t="shared" si="29"/>
        <v/>
      </c>
    </row>
    <row r="230">
      <c r="A230" s="74"/>
      <c r="B230" s="52"/>
      <c r="C230" s="52"/>
      <c r="D230" s="52"/>
      <c r="E230" s="52" t="s">
        <v>1056</v>
      </c>
      <c r="F230" s="85" t="s">
        <v>1057</v>
      </c>
      <c r="G230" s="75">
        <v>7.09</v>
      </c>
      <c r="H230" s="56">
        <v>45963.0</v>
      </c>
      <c r="I230" s="56" t="b">
        <v>0</v>
      </c>
      <c r="J230" s="56"/>
      <c r="K230" s="75"/>
      <c r="L230" s="76" t="str">
        <f t="shared" si="27"/>
        <v/>
      </c>
      <c r="M230" s="75" t="str">
        <f t="shared" si="28"/>
        <v/>
      </c>
      <c r="N230" s="77" t="str">
        <f t="shared" si="29"/>
        <v/>
      </c>
    </row>
    <row r="231">
      <c r="A231" s="74"/>
      <c r="B231" s="52"/>
      <c r="C231" s="52"/>
      <c r="D231" s="52"/>
      <c r="E231" s="52" t="s">
        <v>1058</v>
      </c>
      <c r="F231" s="85" t="s">
        <v>1059</v>
      </c>
      <c r="G231" s="75">
        <v>7.09</v>
      </c>
      <c r="H231" s="56">
        <v>45963.0</v>
      </c>
      <c r="I231" s="56" t="b">
        <v>0</v>
      </c>
      <c r="J231" s="56"/>
      <c r="K231" s="75"/>
      <c r="L231" s="76" t="str">
        <f t="shared" si="27"/>
        <v/>
      </c>
      <c r="M231" s="75" t="str">
        <f t="shared" si="28"/>
        <v/>
      </c>
      <c r="N231" s="77" t="str">
        <f t="shared" si="29"/>
        <v/>
      </c>
    </row>
    <row r="232">
      <c r="A232" s="74"/>
      <c r="B232" s="52"/>
      <c r="C232" s="52"/>
      <c r="D232" s="52"/>
      <c r="E232" s="52" t="s">
        <v>1060</v>
      </c>
      <c r="F232" s="85" t="s">
        <v>1061</v>
      </c>
      <c r="G232" s="75">
        <v>7.09</v>
      </c>
      <c r="H232" s="56">
        <v>45963.0</v>
      </c>
      <c r="I232" s="56" t="b">
        <v>0</v>
      </c>
      <c r="J232" s="56"/>
      <c r="K232" s="75"/>
      <c r="L232" s="76" t="str">
        <f t="shared" si="27"/>
        <v/>
      </c>
      <c r="M232" s="75" t="str">
        <f t="shared" si="28"/>
        <v/>
      </c>
      <c r="N232" s="77" t="str">
        <f t="shared" si="29"/>
        <v/>
      </c>
    </row>
    <row r="233">
      <c r="A233" s="74"/>
      <c r="B233" s="52"/>
      <c r="C233" s="52"/>
      <c r="D233" s="52"/>
      <c r="E233" s="52" t="s">
        <v>1062</v>
      </c>
      <c r="F233" s="85" t="s">
        <v>1063</v>
      </c>
      <c r="G233" s="75">
        <v>7.09</v>
      </c>
      <c r="H233" s="56">
        <v>45963.0</v>
      </c>
      <c r="I233" s="56" t="b">
        <v>0</v>
      </c>
      <c r="J233" s="56"/>
      <c r="K233" s="75"/>
      <c r="L233" s="76" t="str">
        <f t="shared" si="27"/>
        <v/>
      </c>
      <c r="M233" s="75" t="str">
        <f t="shared" si="28"/>
        <v/>
      </c>
      <c r="N233" s="77" t="str">
        <f t="shared" si="29"/>
        <v/>
      </c>
    </row>
    <row r="234">
      <c r="A234" s="74"/>
      <c r="B234" s="52"/>
      <c r="C234" s="52"/>
      <c r="D234" s="52"/>
      <c r="E234" s="52" t="s">
        <v>1064</v>
      </c>
      <c r="F234" s="85" t="s">
        <v>1065</v>
      </c>
      <c r="G234" s="75">
        <v>7.09</v>
      </c>
      <c r="H234" s="56">
        <v>45964.0</v>
      </c>
      <c r="I234" s="56" t="b">
        <v>0</v>
      </c>
      <c r="J234" s="56"/>
      <c r="K234" s="75"/>
      <c r="L234" s="76" t="str">
        <f t="shared" si="27"/>
        <v/>
      </c>
      <c r="M234" s="75" t="str">
        <f t="shared" si="28"/>
        <v/>
      </c>
      <c r="N234" s="77" t="str">
        <f t="shared" si="29"/>
        <v/>
      </c>
    </row>
    <row r="235">
      <c r="A235" s="74"/>
      <c r="B235" s="52"/>
      <c r="C235" s="52"/>
      <c r="D235" s="52"/>
      <c r="E235" s="52" t="s">
        <v>1066</v>
      </c>
      <c r="F235" s="85" t="s">
        <v>1067</v>
      </c>
      <c r="G235" s="75">
        <v>7.09</v>
      </c>
      <c r="H235" s="56">
        <v>45964.0</v>
      </c>
      <c r="I235" s="56" t="b">
        <v>0</v>
      </c>
      <c r="J235" s="56"/>
      <c r="K235" s="75"/>
      <c r="L235" s="76" t="str">
        <f t="shared" si="27"/>
        <v/>
      </c>
      <c r="M235" s="75" t="str">
        <f t="shared" si="28"/>
        <v/>
      </c>
      <c r="N235" s="77" t="str">
        <f t="shared" si="29"/>
        <v/>
      </c>
    </row>
    <row r="236">
      <c r="A236" s="74"/>
      <c r="B236" s="52"/>
      <c r="C236" s="52"/>
      <c r="D236" s="52"/>
      <c r="E236" s="52" t="s">
        <v>1068</v>
      </c>
      <c r="F236" s="85" t="s">
        <v>1069</v>
      </c>
      <c r="G236" s="75">
        <v>7.09</v>
      </c>
      <c r="H236" s="56">
        <v>45968.0</v>
      </c>
      <c r="I236" s="56" t="b">
        <v>0</v>
      </c>
      <c r="J236" s="56"/>
      <c r="K236" s="75"/>
      <c r="L236" s="76" t="str">
        <f t="shared" si="27"/>
        <v/>
      </c>
      <c r="M236" s="75" t="str">
        <f t="shared" si="28"/>
        <v/>
      </c>
      <c r="N236" s="77" t="str">
        <f t="shared" si="29"/>
        <v/>
      </c>
    </row>
    <row r="237">
      <c r="A237" s="74"/>
      <c r="B237" s="52"/>
      <c r="C237" s="52"/>
      <c r="D237" s="52"/>
      <c r="E237" s="52" t="s">
        <v>1070</v>
      </c>
      <c r="F237" s="85" t="s">
        <v>1071</v>
      </c>
      <c r="G237" s="75">
        <v>7.09</v>
      </c>
      <c r="H237" s="56">
        <v>45968.0</v>
      </c>
      <c r="I237" s="56" t="b">
        <v>0</v>
      </c>
      <c r="J237" s="56"/>
      <c r="K237" s="75"/>
      <c r="L237" s="76" t="str">
        <f t="shared" si="27"/>
        <v/>
      </c>
      <c r="M237" s="75" t="str">
        <f t="shared" si="28"/>
        <v/>
      </c>
      <c r="N237" s="77" t="str">
        <f t="shared" si="29"/>
        <v/>
      </c>
    </row>
    <row r="238">
      <c r="A238" s="74"/>
      <c r="B238" s="52"/>
      <c r="C238" s="52"/>
      <c r="D238" s="52"/>
      <c r="E238" s="52" t="s">
        <v>1072</v>
      </c>
      <c r="F238" s="85" t="s">
        <v>1073</v>
      </c>
      <c r="G238" s="75">
        <v>7.09</v>
      </c>
      <c r="H238" s="56">
        <v>45968.0</v>
      </c>
      <c r="I238" s="56" t="b">
        <v>0</v>
      </c>
      <c r="J238" s="56"/>
      <c r="K238" s="75"/>
      <c r="L238" s="76" t="str">
        <f t="shared" si="27"/>
        <v/>
      </c>
      <c r="M238" s="75" t="str">
        <f t="shared" si="28"/>
        <v/>
      </c>
      <c r="N238" s="77" t="str">
        <f t="shared" si="29"/>
        <v/>
      </c>
    </row>
    <row r="239">
      <c r="A239" s="74"/>
      <c r="B239" s="52"/>
      <c r="C239" s="52"/>
      <c r="D239" s="52"/>
      <c r="E239" s="52" t="s">
        <v>1074</v>
      </c>
      <c r="F239" s="85" t="s">
        <v>1075</v>
      </c>
      <c r="G239" s="75">
        <v>7.09</v>
      </c>
      <c r="H239" s="56">
        <v>45968.0</v>
      </c>
      <c r="I239" s="56" t="b">
        <v>0</v>
      </c>
      <c r="J239" s="56"/>
      <c r="K239" s="75"/>
      <c r="L239" s="76" t="str">
        <f t="shared" si="27"/>
        <v/>
      </c>
      <c r="M239" s="75" t="str">
        <f t="shared" si="28"/>
        <v/>
      </c>
      <c r="N239" s="77" t="str">
        <f t="shared" si="29"/>
        <v/>
      </c>
    </row>
    <row r="240">
      <c r="A240" s="74"/>
      <c r="B240" s="52"/>
      <c r="C240" s="52"/>
      <c r="D240" s="52"/>
      <c r="E240" s="52" t="s">
        <v>1076</v>
      </c>
      <c r="F240" s="85" t="s">
        <v>1077</v>
      </c>
      <c r="G240" s="75">
        <v>7.09</v>
      </c>
      <c r="H240" s="56">
        <v>45968.0</v>
      </c>
      <c r="I240" s="56" t="b">
        <v>0</v>
      </c>
      <c r="J240" s="56"/>
      <c r="K240" s="75"/>
      <c r="L240" s="76" t="str">
        <f t="shared" si="27"/>
        <v/>
      </c>
      <c r="M240" s="75" t="str">
        <f t="shared" si="28"/>
        <v/>
      </c>
      <c r="N240" s="77" t="str">
        <f t="shared" si="29"/>
        <v/>
      </c>
    </row>
    <row r="241">
      <c r="A241" s="74"/>
      <c r="B241" s="52"/>
      <c r="C241" s="52"/>
      <c r="D241" s="52"/>
      <c r="E241" s="52" t="s">
        <v>1078</v>
      </c>
      <c r="F241" s="85" t="s">
        <v>1079</v>
      </c>
      <c r="G241" s="75">
        <v>7.09</v>
      </c>
      <c r="H241" s="56">
        <v>45968.0</v>
      </c>
      <c r="I241" s="56" t="b">
        <v>0</v>
      </c>
      <c r="J241" s="56"/>
      <c r="K241" s="75"/>
      <c r="L241" s="76" t="str">
        <f t="shared" si="27"/>
        <v/>
      </c>
      <c r="M241" s="75" t="str">
        <f t="shared" si="28"/>
        <v/>
      </c>
      <c r="N241" s="77" t="str">
        <f t="shared" si="29"/>
        <v/>
      </c>
    </row>
    <row r="242">
      <c r="A242" s="74"/>
      <c r="B242" s="52"/>
      <c r="C242" s="52"/>
      <c r="D242" s="52"/>
      <c r="E242" s="52" t="s">
        <v>1080</v>
      </c>
      <c r="F242" s="85" t="s">
        <v>1081</v>
      </c>
      <c r="G242" s="75">
        <v>7.09</v>
      </c>
      <c r="H242" s="56">
        <v>45968.0</v>
      </c>
      <c r="I242" s="56" t="b">
        <v>0</v>
      </c>
      <c r="J242" s="56"/>
      <c r="K242" s="75"/>
      <c r="L242" s="76" t="str">
        <f t="shared" si="27"/>
        <v/>
      </c>
      <c r="M242" s="75" t="str">
        <f t="shared" si="28"/>
        <v/>
      </c>
      <c r="N242" s="77" t="str">
        <f t="shared" si="29"/>
        <v/>
      </c>
    </row>
    <row r="243">
      <c r="A243" s="74"/>
      <c r="B243" s="52"/>
      <c r="C243" s="52"/>
      <c r="D243" s="52"/>
      <c r="E243" s="52" t="s">
        <v>1082</v>
      </c>
      <c r="F243" s="85" t="s">
        <v>1083</v>
      </c>
      <c r="G243" s="75">
        <v>7.09</v>
      </c>
      <c r="H243" s="56">
        <v>45969.0</v>
      </c>
      <c r="I243" s="56" t="b">
        <v>0</v>
      </c>
      <c r="J243" s="56"/>
      <c r="K243" s="75"/>
      <c r="L243" s="76" t="str">
        <f t="shared" si="27"/>
        <v/>
      </c>
      <c r="M243" s="75" t="str">
        <f t="shared" si="28"/>
        <v/>
      </c>
      <c r="N243" s="77" t="str">
        <f t="shared" si="29"/>
        <v/>
      </c>
    </row>
    <row r="244">
      <c r="A244" s="74"/>
      <c r="B244" s="52"/>
      <c r="C244" s="52"/>
      <c r="D244" s="52"/>
      <c r="E244" s="52" t="s">
        <v>1084</v>
      </c>
      <c r="F244" s="85" t="s">
        <v>1085</v>
      </c>
      <c r="G244" s="75">
        <v>7.09</v>
      </c>
      <c r="H244" s="56">
        <v>45969.0</v>
      </c>
      <c r="I244" s="56" t="b">
        <v>0</v>
      </c>
      <c r="J244" s="56"/>
      <c r="K244" s="75"/>
      <c r="L244" s="76" t="str">
        <f t="shared" si="27"/>
        <v/>
      </c>
      <c r="M244" s="75" t="str">
        <f t="shared" si="28"/>
        <v/>
      </c>
      <c r="N244" s="77" t="str">
        <f t="shared" si="29"/>
        <v/>
      </c>
    </row>
    <row r="245">
      <c r="A245" s="74"/>
      <c r="B245" s="52"/>
      <c r="C245" s="52"/>
      <c r="D245" s="52"/>
      <c r="E245" s="52" t="s">
        <v>1086</v>
      </c>
      <c r="F245" s="85" t="s">
        <v>1087</v>
      </c>
      <c r="G245" s="75">
        <v>7.09</v>
      </c>
      <c r="H245" s="56">
        <v>45969.0</v>
      </c>
      <c r="I245" s="56" t="b">
        <v>0</v>
      </c>
      <c r="J245" s="56"/>
      <c r="K245" s="75"/>
      <c r="L245" s="76" t="str">
        <f t="shared" si="27"/>
        <v/>
      </c>
      <c r="M245" s="75" t="str">
        <f t="shared" si="28"/>
        <v/>
      </c>
      <c r="N245" s="77" t="str">
        <f t="shared" si="29"/>
        <v/>
      </c>
    </row>
    <row r="246">
      <c r="A246" s="74"/>
      <c r="B246" s="52"/>
      <c r="C246" s="52"/>
      <c r="D246" s="52"/>
      <c r="E246" s="52" t="s">
        <v>1088</v>
      </c>
      <c r="F246" s="85" t="s">
        <v>1089</v>
      </c>
      <c r="G246" s="75">
        <v>7.09</v>
      </c>
      <c r="H246" s="56">
        <v>45969.0</v>
      </c>
      <c r="I246" s="56" t="b">
        <v>0</v>
      </c>
      <c r="J246" s="56"/>
      <c r="K246" s="75"/>
      <c r="L246" s="76" t="str">
        <f t="shared" si="27"/>
        <v/>
      </c>
      <c r="M246" s="75" t="str">
        <f t="shared" si="28"/>
        <v/>
      </c>
      <c r="N246" s="77" t="str">
        <f t="shared" si="29"/>
        <v/>
      </c>
    </row>
    <row r="247">
      <c r="A247" s="74"/>
      <c r="B247" s="52"/>
      <c r="C247" s="52"/>
      <c r="D247" s="52"/>
      <c r="E247" s="52" t="s">
        <v>1090</v>
      </c>
      <c r="F247" s="85" t="s">
        <v>1091</v>
      </c>
      <c r="G247" s="75">
        <v>7.09</v>
      </c>
      <c r="H247" s="56">
        <v>45969.0</v>
      </c>
      <c r="I247" s="56" t="b">
        <v>0</v>
      </c>
      <c r="J247" s="56"/>
      <c r="K247" s="75"/>
      <c r="L247" s="76" t="str">
        <f t="shared" si="27"/>
        <v/>
      </c>
      <c r="M247" s="75" t="str">
        <f t="shared" si="28"/>
        <v/>
      </c>
      <c r="N247" s="77" t="str">
        <f t="shared" si="29"/>
        <v/>
      </c>
    </row>
    <row r="248">
      <c r="A248" s="74"/>
      <c r="B248" s="52"/>
      <c r="C248" s="52"/>
      <c r="D248" s="52"/>
      <c r="E248" s="52" t="s">
        <v>1092</v>
      </c>
      <c r="F248" s="85" t="s">
        <v>1093</v>
      </c>
      <c r="G248" s="75">
        <v>7.09</v>
      </c>
      <c r="H248" s="56">
        <v>45969.0</v>
      </c>
      <c r="I248" s="56" t="b">
        <v>0</v>
      </c>
      <c r="J248" s="56"/>
      <c r="K248" s="75"/>
      <c r="L248" s="76" t="str">
        <f t="shared" si="27"/>
        <v/>
      </c>
      <c r="M248" s="75" t="str">
        <f t="shared" si="28"/>
        <v/>
      </c>
      <c r="N248" s="77" t="str">
        <f t="shared" si="29"/>
        <v/>
      </c>
    </row>
    <row r="249">
      <c r="A249" s="74"/>
      <c r="B249" s="52"/>
      <c r="C249" s="52"/>
      <c r="D249" s="52"/>
      <c r="E249" s="52" t="s">
        <v>1094</v>
      </c>
      <c r="F249" s="85" t="s">
        <v>1095</v>
      </c>
      <c r="G249" s="75">
        <v>7.09</v>
      </c>
      <c r="H249" s="56">
        <v>45969.0</v>
      </c>
      <c r="I249" s="56" t="b">
        <v>0</v>
      </c>
      <c r="J249" s="56"/>
      <c r="K249" s="75"/>
      <c r="L249" s="76" t="str">
        <f t="shared" si="27"/>
        <v/>
      </c>
      <c r="M249" s="75" t="str">
        <f t="shared" si="28"/>
        <v/>
      </c>
      <c r="N249" s="77" t="str">
        <f t="shared" si="29"/>
        <v/>
      </c>
    </row>
    <row r="250">
      <c r="A250" s="74"/>
      <c r="B250" s="52"/>
      <c r="C250" s="52"/>
      <c r="D250" s="52"/>
      <c r="E250" s="52" t="s">
        <v>1096</v>
      </c>
      <c r="F250" s="85" t="s">
        <v>1097</v>
      </c>
      <c r="G250" s="75">
        <v>7.09</v>
      </c>
      <c r="H250" s="56">
        <v>45969.0</v>
      </c>
      <c r="I250" s="56" t="b">
        <v>0</v>
      </c>
      <c r="J250" s="56"/>
      <c r="K250" s="75"/>
      <c r="L250" s="76" t="str">
        <f t="shared" si="27"/>
        <v/>
      </c>
      <c r="M250" s="75" t="str">
        <f t="shared" si="28"/>
        <v/>
      </c>
      <c r="N250" s="77" t="str">
        <f t="shared" si="29"/>
        <v/>
      </c>
    </row>
    <row r="251">
      <c r="A251" s="74"/>
      <c r="B251" s="52"/>
      <c r="C251" s="52"/>
      <c r="D251" s="52"/>
      <c r="E251" s="52" t="s">
        <v>1098</v>
      </c>
      <c r="F251" s="85" t="s">
        <v>1099</v>
      </c>
      <c r="G251" s="75">
        <v>7.09</v>
      </c>
      <c r="H251" s="56">
        <v>45969.0</v>
      </c>
      <c r="I251" s="56" t="b">
        <v>0</v>
      </c>
      <c r="J251" s="56"/>
      <c r="K251" s="75"/>
      <c r="L251" s="76" t="str">
        <f t="shared" si="27"/>
        <v/>
      </c>
      <c r="M251" s="75" t="str">
        <f t="shared" si="28"/>
        <v/>
      </c>
      <c r="N251" s="77" t="str">
        <f t="shared" si="29"/>
        <v/>
      </c>
    </row>
    <row r="252">
      <c r="A252" s="74"/>
      <c r="B252" s="52"/>
      <c r="C252" s="52"/>
      <c r="D252" s="52"/>
      <c r="E252" s="52" t="s">
        <v>1100</v>
      </c>
      <c r="F252" s="85" t="s">
        <v>1101</v>
      </c>
      <c r="G252" s="75">
        <v>7.09</v>
      </c>
      <c r="H252" s="56">
        <v>45969.0</v>
      </c>
      <c r="I252" s="56" t="b">
        <v>0</v>
      </c>
      <c r="J252" s="56"/>
      <c r="K252" s="75"/>
      <c r="L252" s="76" t="str">
        <f t="shared" si="27"/>
        <v/>
      </c>
      <c r="M252" s="75" t="str">
        <f t="shared" si="28"/>
        <v/>
      </c>
      <c r="N252" s="77" t="str">
        <f t="shared" si="29"/>
        <v/>
      </c>
    </row>
    <row r="253">
      <c r="A253" s="74"/>
      <c r="B253" s="52"/>
      <c r="C253" s="52"/>
      <c r="D253" s="52"/>
      <c r="E253" s="52" t="s">
        <v>1102</v>
      </c>
      <c r="F253" s="85" t="s">
        <v>1103</v>
      </c>
      <c r="G253" s="75">
        <v>7.09</v>
      </c>
      <c r="H253" s="56">
        <v>45970.0</v>
      </c>
      <c r="I253" s="56" t="b">
        <v>0</v>
      </c>
      <c r="J253" s="56"/>
      <c r="K253" s="75"/>
      <c r="L253" s="76" t="str">
        <f t="shared" si="27"/>
        <v/>
      </c>
      <c r="M253" s="75" t="str">
        <f t="shared" si="28"/>
        <v/>
      </c>
      <c r="N253" s="77" t="str">
        <f t="shared" si="29"/>
        <v/>
      </c>
    </row>
    <row r="254">
      <c r="A254" s="74"/>
      <c r="B254" s="52"/>
      <c r="C254" s="52"/>
      <c r="D254" s="52"/>
      <c r="E254" s="52" t="s">
        <v>1104</v>
      </c>
      <c r="F254" s="85" t="s">
        <v>1105</v>
      </c>
      <c r="G254" s="75">
        <v>7.09</v>
      </c>
      <c r="H254" s="56">
        <v>45970.0</v>
      </c>
      <c r="I254" s="56" t="b">
        <v>0</v>
      </c>
      <c r="J254" s="56"/>
      <c r="K254" s="75"/>
      <c r="L254" s="76" t="str">
        <f t="shared" si="27"/>
        <v/>
      </c>
      <c r="M254" s="75" t="str">
        <f t="shared" si="28"/>
        <v/>
      </c>
      <c r="N254" s="77" t="str">
        <f t="shared" si="29"/>
        <v/>
      </c>
    </row>
    <row r="255">
      <c r="A255" s="74"/>
      <c r="B255" s="52"/>
      <c r="C255" s="52"/>
      <c r="D255" s="52"/>
      <c r="E255" s="52" t="s">
        <v>1106</v>
      </c>
      <c r="F255" s="85" t="s">
        <v>1107</v>
      </c>
      <c r="G255" s="75">
        <v>7.09</v>
      </c>
      <c r="H255" s="56">
        <v>45970.0</v>
      </c>
      <c r="I255" s="56" t="b">
        <v>0</v>
      </c>
      <c r="J255" s="56"/>
      <c r="K255" s="75"/>
      <c r="L255" s="76" t="str">
        <f t="shared" si="27"/>
        <v/>
      </c>
      <c r="M255" s="75" t="str">
        <f t="shared" si="28"/>
        <v/>
      </c>
      <c r="N255" s="77" t="str">
        <f t="shared" si="29"/>
        <v/>
      </c>
    </row>
    <row r="256">
      <c r="A256" s="74"/>
      <c r="B256" s="52"/>
      <c r="C256" s="52"/>
      <c r="D256" s="52"/>
      <c r="E256" s="52" t="s">
        <v>1108</v>
      </c>
      <c r="F256" s="85" t="s">
        <v>1109</v>
      </c>
      <c r="G256" s="75">
        <v>7.09</v>
      </c>
      <c r="H256" s="56">
        <v>45970.0</v>
      </c>
      <c r="I256" s="56" t="b">
        <v>0</v>
      </c>
      <c r="J256" s="56"/>
      <c r="K256" s="75"/>
      <c r="L256" s="76" t="str">
        <f t="shared" si="27"/>
        <v/>
      </c>
      <c r="M256" s="75" t="str">
        <f t="shared" si="28"/>
        <v/>
      </c>
      <c r="N256" s="77" t="str">
        <f t="shared" si="29"/>
        <v/>
      </c>
    </row>
    <row r="257">
      <c r="A257" s="74"/>
      <c r="B257" s="52"/>
      <c r="C257" s="52"/>
      <c r="D257" s="52"/>
      <c r="E257" s="52" t="s">
        <v>1110</v>
      </c>
      <c r="F257" s="85" t="s">
        <v>1111</v>
      </c>
      <c r="G257" s="75">
        <v>7.09</v>
      </c>
      <c r="H257" s="56">
        <v>45970.0</v>
      </c>
      <c r="I257" s="56" t="b">
        <v>0</v>
      </c>
      <c r="J257" s="56"/>
      <c r="K257" s="75"/>
      <c r="L257" s="76" t="str">
        <f t="shared" si="27"/>
        <v/>
      </c>
      <c r="M257" s="75" t="str">
        <f t="shared" si="28"/>
        <v/>
      </c>
      <c r="N257" s="77" t="str">
        <f t="shared" si="29"/>
        <v/>
      </c>
    </row>
    <row r="258">
      <c r="A258" s="74"/>
      <c r="B258" s="52"/>
      <c r="C258" s="52"/>
      <c r="D258" s="52"/>
      <c r="E258" s="52" t="s">
        <v>1112</v>
      </c>
      <c r="F258" s="85" t="s">
        <v>1113</v>
      </c>
      <c r="G258" s="75">
        <v>7.09</v>
      </c>
      <c r="H258" s="56">
        <v>45970.0</v>
      </c>
      <c r="I258" s="56" t="b">
        <v>0</v>
      </c>
      <c r="J258" s="56"/>
      <c r="K258" s="75"/>
      <c r="L258" s="76" t="str">
        <f t="shared" si="27"/>
        <v/>
      </c>
      <c r="M258" s="75" t="str">
        <f t="shared" si="28"/>
        <v/>
      </c>
      <c r="N258" s="77" t="str">
        <f t="shared" si="29"/>
        <v/>
      </c>
    </row>
    <row r="259">
      <c r="A259" s="74"/>
      <c r="B259" s="52"/>
      <c r="C259" s="52"/>
      <c r="D259" s="52"/>
      <c r="E259" s="52" t="s">
        <v>1114</v>
      </c>
      <c r="F259" s="85" t="s">
        <v>1115</v>
      </c>
      <c r="G259" s="75">
        <v>7.09</v>
      </c>
      <c r="H259" s="56">
        <v>45970.0</v>
      </c>
      <c r="I259" s="56" t="b">
        <v>0</v>
      </c>
      <c r="J259" s="56"/>
      <c r="K259" s="75"/>
      <c r="L259" s="76" t="str">
        <f t="shared" si="27"/>
        <v/>
      </c>
      <c r="M259" s="75" t="str">
        <f t="shared" si="28"/>
        <v/>
      </c>
      <c r="N259" s="77" t="str">
        <f t="shared" si="29"/>
        <v/>
      </c>
    </row>
    <row r="260">
      <c r="A260" s="74"/>
      <c r="B260" s="52"/>
      <c r="C260" s="52"/>
      <c r="D260" s="52"/>
      <c r="E260" s="52" t="s">
        <v>1116</v>
      </c>
      <c r="F260" s="85" t="s">
        <v>1117</v>
      </c>
      <c r="G260" s="75">
        <v>7.09</v>
      </c>
      <c r="H260" s="56">
        <v>45970.0</v>
      </c>
      <c r="I260" s="56" t="b">
        <v>0</v>
      </c>
      <c r="J260" s="56"/>
      <c r="K260" s="75"/>
      <c r="L260" s="76" t="str">
        <f t="shared" si="27"/>
        <v/>
      </c>
      <c r="M260" s="75" t="str">
        <f t="shared" si="28"/>
        <v/>
      </c>
      <c r="N260" s="77" t="str">
        <f t="shared" si="29"/>
        <v/>
      </c>
    </row>
    <row r="261">
      <c r="A261" s="74"/>
      <c r="B261" s="52"/>
      <c r="C261" s="52"/>
      <c r="D261" s="52"/>
      <c r="E261" s="52" t="s">
        <v>1118</v>
      </c>
      <c r="F261" s="85" t="s">
        <v>1119</v>
      </c>
      <c r="G261" s="75">
        <v>7.09</v>
      </c>
      <c r="H261" s="56">
        <v>45970.0</v>
      </c>
      <c r="I261" s="56" t="b">
        <v>0</v>
      </c>
      <c r="J261" s="56"/>
      <c r="K261" s="75"/>
      <c r="L261" s="76" t="str">
        <f t="shared" si="27"/>
        <v/>
      </c>
      <c r="M261" s="75" t="str">
        <f t="shared" si="28"/>
        <v/>
      </c>
      <c r="N261" s="77" t="str">
        <f t="shared" si="29"/>
        <v/>
      </c>
    </row>
    <row r="262">
      <c r="A262" s="74"/>
      <c r="B262" s="52"/>
      <c r="C262" s="52"/>
      <c r="D262" s="52"/>
      <c r="E262" s="52" t="s">
        <v>1120</v>
      </c>
      <c r="F262" s="85" t="s">
        <v>1121</v>
      </c>
      <c r="G262" s="75">
        <v>7.09</v>
      </c>
      <c r="H262" s="56">
        <v>45970.0</v>
      </c>
      <c r="I262" s="56" t="b">
        <v>0</v>
      </c>
      <c r="J262" s="56"/>
      <c r="K262" s="75"/>
      <c r="L262" s="76" t="str">
        <f t="shared" si="27"/>
        <v/>
      </c>
      <c r="M262" s="75" t="str">
        <f t="shared" si="28"/>
        <v/>
      </c>
      <c r="N262" s="77" t="str">
        <f t="shared" si="29"/>
        <v/>
      </c>
    </row>
    <row r="263">
      <c r="A263" s="74"/>
      <c r="B263" s="52"/>
      <c r="C263" s="52"/>
      <c r="D263" s="52"/>
      <c r="E263" s="52" t="s">
        <v>1122</v>
      </c>
      <c r="F263" s="85" t="s">
        <v>1123</v>
      </c>
      <c r="G263" s="75">
        <v>7.09</v>
      </c>
      <c r="H263" s="56">
        <v>45971.0</v>
      </c>
      <c r="I263" s="56" t="b">
        <v>0</v>
      </c>
      <c r="J263" s="56"/>
      <c r="K263" s="75"/>
      <c r="L263" s="76" t="str">
        <f t="shared" si="27"/>
        <v/>
      </c>
      <c r="M263" s="75" t="str">
        <f t="shared" si="28"/>
        <v/>
      </c>
      <c r="N263" s="77" t="str">
        <f t="shared" si="29"/>
        <v/>
      </c>
    </row>
    <row r="264">
      <c r="A264" s="74"/>
      <c r="B264" s="52"/>
      <c r="C264" s="52"/>
      <c r="D264" s="52"/>
      <c r="E264" s="52" t="s">
        <v>1124</v>
      </c>
      <c r="F264" s="85" t="s">
        <v>1125</v>
      </c>
      <c r="G264" s="75">
        <v>7.09</v>
      </c>
      <c r="H264" s="56">
        <v>45971.0</v>
      </c>
      <c r="I264" s="56" t="b">
        <v>0</v>
      </c>
      <c r="J264" s="56"/>
      <c r="K264" s="75"/>
      <c r="L264" s="76" t="str">
        <f t="shared" si="27"/>
        <v/>
      </c>
      <c r="M264" s="75" t="str">
        <f t="shared" si="28"/>
        <v/>
      </c>
      <c r="N264" s="77" t="str">
        <f t="shared" si="29"/>
        <v/>
      </c>
    </row>
    <row r="265">
      <c r="A265" s="74"/>
      <c r="B265" s="52"/>
      <c r="C265" s="52"/>
      <c r="D265" s="52"/>
      <c r="E265" s="52" t="s">
        <v>1126</v>
      </c>
      <c r="F265" s="85" t="s">
        <v>1127</v>
      </c>
      <c r="G265" s="75">
        <v>7.09</v>
      </c>
      <c r="H265" s="56">
        <v>45971.0</v>
      </c>
      <c r="I265" s="56" t="b">
        <v>0</v>
      </c>
      <c r="J265" s="56"/>
      <c r="K265" s="75"/>
      <c r="L265" s="76" t="str">
        <f t="shared" si="27"/>
        <v/>
      </c>
      <c r="M265" s="75" t="str">
        <f t="shared" si="28"/>
        <v/>
      </c>
      <c r="N265" s="77" t="str">
        <f t="shared" si="29"/>
        <v/>
      </c>
    </row>
    <row r="266">
      <c r="A266" s="74"/>
      <c r="B266" s="52"/>
      <c r="C266" s="52"/>
      <c r="D266" s="52"/>
      <c r="E266" s="52" t="s">
        <v>1128</v>
      </c>
      <c r="F266" s="85" t="s">
        <v>1129</v>
      </c>
      <c r="G266" s="75">
        <v>7.09</v>
      </c>
      <c r="H266" s="56">
        <v>45971.0</v>
      </c>
      <c r="I266" s="56" t="b">
        <v>0</v>
      </c>
      <c r="J266" s="56"/>
      <c r="K266" s="75"/>
      <c r="L266" s="76" t="str">
        <f t="shared" si="27"/>
        <v/>
      </c>
      <c r="M266" s="75" t="str">
        <f t="shared" si="28"/>
        <v/>
      </c>
      <c r="N266" s="77" t="str">
        <f t="shared" si="29"/>
        <v/>
      </c>
    </row>
    <row r="267">
      <c r="A267" s="74"/>
      <c r="B267" s="52"/>
      <c r="C267" s="52"/>
      <c r="D267" s="52"/>
      <c r="E267" s="52" t="s">
        <v>1130</v>
      </c>
      <c r="F267" s="85" t="s">
        <v>1131</v>
      </c>
      <c r="G267" s="75">
        <v>7.09</v>
      </c>
      <c r="H267" s="56">
        <v>45971.0</v>
      </c>
      <c r="I267" s="56" t="b">
        <v>0</v>
      </c>
      <c r="J267" s="56"/>
      <c r="K267" s="75"/>
      <c r="L267" s="76" t="str">
        <f t="shared" si="27"/>
        <v/>
      </c>
      <c r="M267" s="75" t="str">
        <f t="shared" si="28"/>
        <v/>
      </c>
      <c r="N267" s="77" t="str">
        <f t="shared" si="29"/>
        <v/>
      </c>
    </row>
    <row r="268">
      <c r="A268" s="74"/>
      <c r="B268" s="52"/>
      <c r="C268" s="52"/>
      <c r="D268" s="52"/>
      <c r="E268" s="52" t="s">
        <v>1132</v>
      </c>
      <c r="F268" s="85" t="s">
        <v>1133</v>
      </c>
      <c r="G268" s="75">
        <v>7.09</v>
      </c>
      <c r="H268" s="56">
        <v>45971.0</v>
      </c>
      <c r="I268" s="56" t="b">
        <v>0</v>
      </c>
      <c r="J268" s="56"/>
      <c r="K268" s="75"/>
      <c r="L268" s="76" t="str">
        <f t="shared" si="27"/>
        <v/>
      </c>
      <c r="M268" s="75" t="str">
        <f t="shared" si="28"/>
        <v/>
      </c>
      <c r="N268" s="77" t="str">
        <f t="shared" si="29"/>
        <v/>
      </c>
    </row>
    <row r="269">
      <c r="A269" s="74"/>
      <c r="B269" s="52"/>
      <c r="C269" s="52"/>
      <c r="D269" s="52"/>
      <c r="E269" s="52" t="s">
        <v>1134</v>
      </c>
      <c r="F269" s="85" t="s">
        <v>1135</v>
      </c>
      <c r="G269" s="75">
        <v>7.09</v>
      </c>
      <c r="H269" s="56">
        <v>45971.0</v>
      </c>
      <c r="I269" s="56" t="b">
        <v>0</v>
      </c>
      <c r="J269" s="56"/>
      <c r="K269" s="75"/>
      <c r="L269" s="76" t="str">
        <f t="shared" si="27"/>
        <v/>
      </c>
      <c r="M269" s="75" t="str">
        <f t="shared" si="28"/>
        <v/>
      </c>
      <c r="N269" s="77" t="str">
        <f t="shared" si="29"/>
        <v/>
      </c>
    </row>
    <row r="270">
      <c r="A270" s="74"/>
      <c r="B270" s="52"/>
      <c r="C270" s="52"/>
      <c r="D270" s="52"/>
      <c r="E270" s="52" t="s">
        <v>1136</v>
      </c>
      <c r="F270" s="85" t="s">
        <v>1137</v>
      </c>
      <c r="G270" s="75">
        <v>7.09</v>
      </c>
      <c r="H270" s="56">
        <v>45971.0</v>
      </c>
      <c r="I270" s="56" t="b">
        <v>0</v>
      </c>
      <c r="J270" s="56"/>
      <c r="K270" s="75"/>
      <c r="L270" s="76" t="str">
        <f t="shared" si="27"/>
        <v/>
      </c>
      <c r="M270" s="75" t="str">
        <f t="shared" si="28"/>
        <v/>
      </c>
      <c r="N270" s="77" t="str">
        <f t="shared" si="29"/>
        <v/>
      </c>
    </row>
    <row r="271">
      <c r="A271" s="74"/>
      <c r="B271" s="52"/>
      <c r="C271" s="52"/>
      <c r="D271" s="52"/>
      <c r="E271" s="52" t="s">
        <v>1138</v>
      </c>
      <c r="F271" s="85" t="s">
        <v>1139</v>
      </c>
      <c r="G271" s="75">
        <v>7.09</v>
      </c>
      <c r="H271" s="56">
        <v>45971.0</v>
      </c>
      <c r="I271" s="56" t="b">
        <v>0</v>
      </c>
      <c r="J271" s="56"/>
      <c r="K271" s="75"/>
      <c r="L271" s="76" t="str">
        <f t="shared" si="27"/>
        <v/>
      </c>
      <c r="M271" s="75" t="str">
        <f t="shared" si="28"/>
        <v/>
      </c>
      <c r="N271" s="77" t="str">
        <f t="shared" si="29"/>
        <v/>
      </c>
    </row>
    <row r="272">
      <c r="A272" s="74"/>
      <c r="B272" s="52"/>
      <c r="C272" s="52"/>
      <c r="D272" s="52"/>
      <c r="E272" s="52" t="s">
        <v>1140</v>
      </c>
      <c r="F272" s="85" t="s">
        <v>1141</v>
      </c>
      <c r="G272" s="75">
        <v>7.09</v>
      </c>
      <c r="H272" s="56">
        <v>45971.0</v>
      </c>
      <c r="I272" s="56" t="b">
        <v>0</v>
      </c>
      <c r="J272" s="56"/>
      <c r="K272" s="75"/>
      <c r="L272" s="76" t="str">
        <f t="shared" si="27"/>
        <v/>
      </c>
      <c r="M272" s="75" t="str">
        <f t="shared" si="28"/>
        <v/>
      </c>
      <c r="N272" s="77" t="str">
        <f t="shared" si="29"/>
        <v/>
      </c>
    </row>
    <row r="273">
      <c r="A273" s="74"/>
      <c r="B273" s="52"/>
      <c r="C273" s="52"/>
      <c r="D273" s="52"/>
      <c r="E273" s="52" t="s">
        <v>1142</v>
      </c>
      <c r="F273" s="85" t="s">
        <v>1143</v>
      </c>
      <c r="G273" s="75">
        <v>7.09</v>
      </c>
      <c r="H273" s="56">
        <v>45972.0</v>
      </c>
      <c r="I273" s="56" t="b">
        <v>0</v>
      </c>
      <c r="J273" s="56"/>
      <c r="K273" s="75"/>
      <c r="L273" s="76" t="str">
        <f t="shared" si="27"/>
        <v/>
      </c>
      <c r="M273" s="75" t="str">
        <f t="shared" si="28"/>
        <v/>
      </c>
      <c r="N273" s="77" t="str">
        <f t="shared" si="29"/>
        <v/>
      </c>
    </row>
    <row r="274">
      <c r="A274" s="74"/>
      <c r="B274" s="52"/>
      <c r="C274" s="52"/>
      <c r="D274" s="52"/>
      <c r="E274" s="52" t="s">
        <v>1144</v>
      </c>
      <c r="F274" s="85" t="s">
        <v>1145</v>
      </c>
      <c r="G274" s="75">
        <v>7.09</v>
      </c>
      <c r="H274" s="56">
        <v>45972.0</v>
      </c>
      <c r="I274" s="56" t="b">
        <v>0</v>
      </c>
      <c r="J274" s="56"/>
      <c r="K274" s="75"/>
      <c r="L274" s="76" t="str">
        <f t="shared" si="27"/>
        <v/>
      </c>
      <c r="M274" s="75" t="str">
        <f t="shared" si="28"/>
        <v/>
      </c>
      <c r="N274" s="77" t="str">
        <f t="shared" si="29"/>
        <v/>
      </c>
    </row>
    <row r="275">
      <c r="A275" s="74"/>
      <c r="B275" s="52"/>
      <c r="C275" s="52"/>
      <c r="D275" s="52"/>
      <c r="E275" s="52" t="s">
        <v>1146</v>
      </c>
      <c r="F275" s="85" t="s">
        <v>1147</v>
      </c>
      <c r="G275" s="75">
        <v>7.09</v>
      </c>
      <c r="H275" s="56">
        <v>45972.0</v>
      </c>
      <c r="I275" s="56" t="b">
        <v>0</v>
      </c>
      <c r="J275" s="56"/>
      <c r="K275" s="75"/>
      <c r="L275" s="76" t="str">
        <f t="shared" si="27"/>
        <v/>
      </c>
      <c r="M275" s="75" t="str">
        <f t="shared" si="28"/>
        <v/>
      </c>
      <c r="N275" s="77" t="str">
        <f t="shared" si="29"/>
        <v/>
      </c>
    </row>
    <row r="276">
      <c r="A276" s="74"/>
      <c r="B276" s="52"/>
      <c r="C276" s="52"/>
      <c r="D276" s="52"/>
      <c r="E276" s="52" t="s">
        <v>1148</v>
      </c>
      <c r="F276" s="85" t="s">
        <v>1149</v>
      </c>
      <c r="G276" s="75">
        <v>7.09</v>
      </c>
      <c r="H276" s="56">
        <v>45972.0</v>
      </c>
      <c r="I276" s="56" t="b">
        <v>0</v>
      </c>
      <c r="J276" s="56"/>
      <c r="K276" s="75"/>
      <c r="L276" s="76" t="str">
        <f t="shared" si="27"/>
        <v/>
      </c>
      <c r="M276" s="75" t="str">
        <f t="shared" si="28"/>
        <v/>
      </c>
      <c r="N276" s="77" t="str">
        <f t="shared" si="29"/>
        <v/>
      </c>
    </row>
    <row r="277">
      <c r="A277" s="74"/>
      <c r="B277" s="52"/>
      <c r="C277" s="52"/>
      <c r="D277" s="52"/>
      <c r="E277" s="52" t="s">
        <v>1150</v>
      </c>
      <c r="F277" s="85" t="s">
        <v>1151</v>
      </c>
      <c r="G277" s="75">
        <v>7.09</v>
      </c>
      <c r="H277" s="56">
        <v>45972.0</v>
      </c>
      <c r="I277" s="56" t="b">
        <v>0</v>
      </c>
      <c r="J277" s="56"/>
      <c r="K277" s="75"/>
      <c r="L277" s="76" t="str">
        <f t="shared" si="27"/>
        <v/>
      </c>
      <c r="M277" s="75" t="str">
        <f t="shared" si="28"/>
        <v/>
      </c>
      <c r="N277" s="77" t="str">
        <f t="shared" si="29"/>
        <v/>
      </c>
    </row>
    <row r="278">
      <c r="A278" s="74"/>
      <c r="B278" s="52"/>
      <c r="C278" s="52"/>
      <c r="D278" s="52"/>
      <c r="E278" s="52" t="s">
        <v>1152</v>
      </c>
      <c r="F278" s="85" t="s">
        <v>1153</v>
      </c>
      <c r="G278" s="75">
        <v>7.09</v>
      </c>
      <c r="H278" s="56">
        <v>45972.0</v>
      </c>
      <c r="I278" s="56" t="b">
        <v>0</v>
      </c>
      <c r="J278" s="56"/>
      <c r="K278" s="75"/>
      <c r="L278" s="76" t="str">
        <f t="shared" si="27"/>
        <v/>
      </c>
      <c r="M278" s="75" t="str">
        <f t="shared" si="28"/>
        <v/>
      </c>
      <c r="N278" s="77" t="str">
        <f t="shared" si="29"/>
        <v/>
      </c>
    </row>
    <row r="279">
      <c r="A279" s="74"/>
      <c r="B279" s="52"/>
      <c r="C279" s="52"/>
      <c r="D279" s="52"/>
      <c r="E279" s="52" t="s">
        <v>1154</v>
      </c>
      <c r="F279" s="85" t="s">
        <v>1155</v>
      </c>
      <c r="G279" s="75">
        <v>7.09</v>
      </c>
      <c r="H279" s="56">
        <v>45972.0</v>
      </c>
      <c r="I279" s="56" t="b">
        <v>0</v>
      </c>
      <c r="J279" s="56"/>
      <c r="K279" s="75"/>
      <c r="L279" s="76" t="str">
        <f t="shared" si="27"/>
        <v/>
      </c>
      <c r="M279" s="75" t="str">
        <f t="shared" si="28"/>
        <v/>
      </c>
      <c r="N279" s="77" t="str">
        <f t="shared" si="29"/>
        <v/>
      </c>
    </row>
    <row r="280">
      <c r="A280" s="74"/>
      <c r="B280" s="52"/>
      <c r="C280" s="52"/>
      <c r="D280" s="52"/>
      <c r="E280" s="52" t="s">
        <v>1156</v>
      </c>
      <c r="F280" s="85" t="s">
        <v>1157</v>
      </c>
      <c r="G280" s="75">
        <v>7.09</v>
      </c>
      <c r="H280" s="56">
        <v>45972.0</v>
      </c>
      <c r="I280" s="56" t="b">
        <v>0</v>
      </c>
      <c r="J280" s="56"/>
      <c r="K280" s="75"/>
      <c r="L280" s="76" t="str">
        <f t="shared" si="27"/>
        <v/>
      </c>
      <c r="M280" s="75" t="str">
        <f t="shared" si="28"/>
        <v/>
      </c>
      <c r="N280" s="77" t="str">
        <f t="shared" si="29"/>
        <v/>
      </c>
    </row>
    <row r="281">
      <c r="A281" s="74"/>
      <c r="B281" s="52"/>
      <c r="C281" s="52"/>
      <c r="D281" s="52"/>
      <c r="E281" s="52" t="s">
        <v>1158</v>
      </c>
      <c r="F281" s="85" t="s">
        <v>1159</v>
      </c>
      <c r="G281" s="75">
        <v>7.09</v>
      </c>
      <c r="H281" s="56">
        <v>45972.0</v>
      </c>
      <c r="I281" s="56" t="b">
        <v>0</v>
      </c>
      <c r="J281" s="56"/>
      <c r="K281" s="75"/>
      <c r="L281" s="76" t="str">
        <f t="shared" si="27"/>
        <v/>
      </c>
      <c r="M281" s="75" t="str">
        <f t="shared" si="28"/>
        <v/>
      </c>
      <c r="N281" s="77" t="str">
        <f t="shared" si="29"/>
        <v/>
      </c>
    </row>
    <row r="282">
      <c r="A282" s="74"/>
      <c r="B282" s="52"/>
      <c r="C282" s="52"/>
      <c r="D282" s="52"/>
      <c r="E282" s="52" t="s">
        <v>1160</v>
      </c>
      <c r="F282" s="85" t="s">
        <v>1161</v>
      </c>
      <c r="G282" s="75">
        <v>7.09</v>
      </c>
      <c r="H282" s="56">
        <v>45972.0</v>
      </c>
      <c r="I282" s="56" t="b">
        <v>0</v>
      </c>
      <c r="J282" s="56"/>
      <c r="K282" s="75"/>
      <c r="L282" s="76" t="str">
        <f t="shared" si="27"/>
        <v/>
      </c>
      <c r="M282" s="75" t="str">
        <f t="shared" si="28"/>
        <v/>
      </c>
      <c r="N282" s="77" t="str">
        <f t="shared" si="29"/>
        <v/>
      </c>
    </row>
    <row r="283">
      <c r="A283" s="74"/>
      <c r="B283" s="52"/>
      <c r="C283" s="52"/>
      <c r="D283" s="52"/>
      <c r="E283" s="52" t="s">
        <v>1162</v>
      </c>
      <c r="F283" s="85" t="s">
        <v>1163</v>
      </c>
      <c r="G283" s="75">
        <v>7.09</v>
      </c>
      <c r="H283" s="56">
        <v>45973.0</v>
      </c>
      <c r="I283" s="56" t="b">
        <v>0</v>
      </c>
      <c r="J283" s="56"/>
      <c r="K283" s="75"/>
      <c r="L283" s="76" t="str">
        <f t="shared" si="27"/>
        <v/>
      </c>
      <c r="M283" s="75" t="str">
        <f t="shared" si="28"/>
        <v/>
      </c>
      <c r="N283" s="77" t="str">
        <f t="shared" si="29"/>
        <v/>
      </c>
    </row>
    <row r="284">
      <c r="A284" s="74"/>
      <c r="B284" s="52"/>
      <c r="C284" s="52"/>
      <c r="D284" s="52"/>
      <c r="E284" s="52" t="s">
        <v>1164</v>
      </c>
      <c r="F284" s="85" t="s">
        <v>1165</v>
      </c>
      <c r="G284" s="75">
        <v>7.09</v>
      </c>
      <c r="H284" s="56">
        <v>45973.0</v>
      </c>
      <c r="I284" s="56" t="b">
        <v>0</v>
      </c>
      <c r="J284" s="56"/>
      <c r="K284" s="75"/>
      <c r="L284" s="76" t="str">
        <f t="shared" si="27"/>
        <v/>
      </c>
      <c r="M284" s="75" t="str">
        <f t="shared" si="28"/>
        <v/>
      </c>
      <c r="N284" s="77" t="str">
        <f t="shared" si="29"/>
        <v/>
      </c>
    </row>
    <row r="285">
      <c r="A285" s="74"/>
      <c r="B285" s="52"/>
      <c r="C285" s="52"/>
      <c r="D285" s="52"/>
      <c r="E285" s="52" t="s">
        <v>1166</v>
      </c>
      <c r="F285" s="85" t="s">
        <v>1167</v>
      </c>
      <c r="G285" s="75">
        <v>7.09</v>
      </c>
      <c r="H285" s="56">
        <v>45973.0</v>
      </c>
      <c r="I285" s="56" t="b">
        <v>0</v>
      </c>
      <c r="J285" s="56"/>
      <c r="K285" s="75"/>
      <c r="L285" s="76" t="str">
        <f t="shared" si="27"/>
        <v/>
      </c>
      <c r="M285" s="75" t="str">
        <f t="shared" si="28"/>
        <v/>
      </c>
      <c r="N285" s="77" t="str">
        <f t="shared" si="29"/>
        <v/>
      </c>
    </row>
    <row r="286">
      <c r="A286" s="74"/>
      <c r="B286" s="52"/>
      <c r="C286" s="52"/>
      <c r="D286" s="52"/>
      <c r="E286" s="52" t="s">
        <v>1168</v>
      </c>
      <c r="F286" s="85" t="s">
        <v>1169</v>
      </c>
      <c r="G286" s="75">
        <v>7.09</v>
      </c>
      <c r="H286" s="56">
        <v>45973.0</v>
      </c>
      <c r="I286" s="56" t="b">
        <v>0</v>
      </c>
      <c r="J286" s="56"/>
      <c r="K286" s="75"/>
      <c r="L286" s="76" t="str">
        <f t="shared" si="27"/>
        <v/>
      </c>
      <c r="M286" s="75" t="str">
        <f t="shared" si="28"/>
        <v/>
      </c>
      <c r="N286" s="77" t="str">
        <f t="shared" si="29"/>
        <v/>
      </c>
    </row>
    <row r="287">
      <c r="A287" s="74"/>
      <c r="B287" s="52"/>
      <c r="C287" s="52"/>
      <c r="D287" s="52"/>
      <c r="E287" s="52" t="s">
        <v>1170</v>
      </c>
      <c r="F287" s="85" t="s">
        <v>1171</v>
      </c>
      <c r="G287" s="75">
        <v>7.09</v>
      </c>
      <c r="H287" s="56">
        <v>45973.0</v>
      </c>
      <c r="I287" s="56" t="b">
        <v>0</v>
      </c>
      <c r="J287" s="56"/>
      <c r="K287" s="75"/>
      <c r="L287" s="76" t="str">
        <f t="shared" si="27"/>
        <v/>
      </c>
      <c r="M287" s="75" t="str">
        <f t="shared" si="28"/>
        <v/>
      </c>
      <c r="N287" s="77" t="str">
        <f t="shared" si="29"/>
        <v/>
      </c>
    </row>
    <row r="288">
      <c r="A288" s="74"/>
      <c r="B288" s="52"/>
      <c r="C288" s="52"/>
      <c r="D288" s="52"/>
      <c r="E288" s="52" t="s">
        <v>1172</v>
      </c>
      <c r="F288" s="85" t="s">
        <v>1173</v>
      </c>
      <c r="G288" s="75">
        <v>7.09</v>
      </c>
      <c r="H288" s="56">
        <v>45973.0</v>
      </c>
      <c r="I288" s="56" t="b">
        <v>0</v>
      </c>
      <c r="J288" s="56"/>
      <c r="K288" s="75"/>
      <c r="L288" s="76" t="str">
        <f t="shared" si="27"/>
        <v/>
      </c>
      <c r="M288" s="75" t="str">
        <f t="shared" si="28"/>
        <v/>
      </c>
      <c r="N288" s="77" t="str">
        <f t="shared" si="29"/>
        <v/>
      </c>
    </row>
    <row r="289">
      <c r="A289" s="74"/>
      <c r="B289" s="52"/>
      <c r="C289" s="52"/>
      <c r="D289" s="52"/>
      <c r="E289" s="52" t="s">
        <v>1174</v>
      </c>
      <c r="F289" s="85" t="s">
        <v>1175</v>
      </c>
      <c r="G289" s="75">
        <v>7.09</v>
      </c>
      <c r="H289" s="56">
        <v>45973.0</v>
      </c>
      <c r="I289" s="56" t="b">
        <v>0</v>
      </c>
      <c r="J289" s="56"/>
      <c r="K289" s="75"/>
      <c r="L289" s="76" t="str">
        <f t="shared" si="27"/>
        <v/>
      </c>
      <c r="M289" s="75" t="str">
        <f t="shared" si="28"/>
        <v/>
      </c>
      <c r="N289" s="77" t="str">
        <f t="shared" si="29"/>
        <v/>
      </c>
    </row>
    <row r="290">
      <c r="A290" s="74"/>
      <c r="B290" s="52"/>
      <c r="C290" s="52"/>
      <c r="D290" s="52"/>
      <c r="E290" s="52" t="s">
        <v>1176</v>
      </c>
      <c r="F290" s="85" t="s">
        <v>1177</v>
      </c>
      <c r="G290" s="75">
        <v>7.09</v>
      </c>
      <c r="H290" s="56">
        <v>45973.0</v>
      </c>
      <c r="I290" s="56" t="b">
        <v>0</v>
      </c>
      <c r="J290" s="56"/>
      <c r="K290" s="75"/>
      <c r="L290" s="76" t="str">
        <f t="shared" si="27"/>
        <v/>
      </c>
      <c r="M290" s="75" t="str">
        <f t="shared" si="28"/>
        <v/>
      </c>
      <c r="N290" s="77" t="str">
        <f t="shared" si="29"/>
        <v/>
      </c>
    </row>
    <row r="291">
      <c r="A291" s="74"/>
      <c r="B291" s="52"/>
      <c r="C291" s="52"/>
      <c r="D291" s="52"/>
      <c r="E291" s="52" t="s">
        <v>1178</v>
      </c>
      <c r="F291" s="85" t="s">
        <v>1179</v>
      </c>
      <c r="G291" s="75">
        <v>7.09</v>
      </c>
      <c r="H291" s="56">
        <v>45973.0</v>
      </c>
      <c r="I291" s="56" t="b">
        <v>0</v>
      </c>
      <c r="J291" s="56"/>
      <c r="K291" s="75"/>
      <c r="L291" s="76" t="str">
        <f t="shared" si="27"/>
        <v/>
      </c>
      <c r="M291" s="75" t="str">
        <f t="shared" si="28"/>
        <v/>
      </c>
      <c r="N291" s="77" t="str">
        <f t="shared" si="29"/>
        <v/>
      </c>
    </row>
    <row r="292">
      <c r="A292" s="74"/>
      <c r="B292" s="52"/>
      <c r="C292" s="52"/>
      <c r="D292" s="52"/>
      <c r="E292" s="52" t="s">
        <v>1180</v>
      </c>
      <c r="F292" s="85" t="s">
        <v>1181</v>
      </c>
      <c r="G292" s="75">
        <v>7.09</v>
      </c>
      <c r="H292" s="56">
        <v>45973.0</v>
      </c>
      <c r="I292" s="56" t="b">
        <v>0</v>
      </c>
      <c r="J292" s="56"/>
      <c r="K292" s="75"/>
      <c r="L292" s="76" t="str">
        <f t="shared" si="27"/>
        <v/>
      </c>
      <c r="M292" s="75" t="str">
        <f t="shared" si="28"/>
        <v/>
      </c>
      <c r="N292" s="77" t="str">
        <f t="shared" si="29"/>
        <v/>
      </c>
    </row>
    <row r="293">
      <c r="A293" s="74"/>
      <c r="B293" s="52"/>
      <c r="C293" s="52"/>
      <c r="D293" s="52"/>
      <c r="E293" s="52" t="s">
        <v>1182</v>
      </c>
      <c r="F293" s="85" t="s">
        <v>1183</v>
      </c>
      <c r="G293" s="75">
        <v>7.09</v>
      </c>
      <c r="H293" s="56">
        <v>45974.0</v>
      </c>
      <c r="I293" s="56" t="b">
        <v>0</v>
      </c>
      <c r="J293" s="56"/>
      <c r="K293" s="75"/>
      <c r="L293" s="76" t="str">
        <f t="shared" si="27"/>
        <v/>
      </c>
      <c r="M293" s="75" t="str">
        <f t="shared" si="28"/>
        <v/>
      </c>
      <c r="N293" s="77" t="str">
        <f t="shared" si="29"/>
        <v/>
      </c>
    </row>
    <row r="294">
      <c r="A294" s="74"/>
      <c r="B294" s="52"/>
      <c r="C294" s="52"/>
      <c r="D294" s="52"/>
      <c r="E294" s="52" t="s">
        <v>1184</v>
      </c>
      <c r="F294" s="85" t="s">
        <v>1185</v>
      </c>
      <c r="G294" s="75">
        <v>7.09</v>
      </c>
      <c r="H294" s="56">
        <v>45974.0</v>
      </c>
      <c r="I294" s="56" t="b">
        <v>0</v>
      </c>
      <c r="J294" s="56"/>
      <c r="K294" s="75"/>
      <c r="L294" s="76" t="str">
        <f t="shared" si="27"/>
        <v/>
      </c>
      <c r="M294" s="75" t="str">
        <f t="shared" si="28"/>
        <v/>
      </c>
      <c r="N294" s="77" t="str">
        <f t="shared" si="29"/>
        <v/>
      </c>
    </row>
    <row r="295">
      <c r="A295" s="78"/>
      <c r="B295" s="79"/>
      <c r="C295" s="79"/>
      <c r="D295" s="79"/>
      <c r="E295" s="79"/>
      <c r="F295" s="79"/>
      <c r="G295" s="80"/>
      <c r="H295" s="81"/>
      <c r="I295" s="79" t="b">
        <v>0</v>
      </c>
      <c r="J295" s="81"/>
      <c r="K295" s="80"/>
      <c r="L295" s="82"/>
      <c r="M295" s="80"/>
      <c r="N295" s="83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</row>
    <row r="296">
      <c r="A296" s="74"/>
      <c r="B296" s="52"/>
      <c r="C296" s="52"/>
      <c r="D296" s="52"/>
      <c r="E296" s="52" t="s">
        <v>1186</v>
      </c>
      <c r="F296" s="49" t="s">
        <v>1187</v>
      </c>
      <c r="G296" s="75">
        <v>9.97</v>
      </c>
      <c r="H296" s="56">
        <v>45974.0</v>
      </c>
      <c r="I296" s="56" t="b">
        <v>0</v>
      </c>
      <c r="J296" s="56"/>
      <c r="K296" s="88"/>
      <c r="L296" s="76" t="str">
        <f t="shared" ref="L296:L315" si="30">IF(ISBLANK(J296),"",J296-H296)</f>
        <v/>
      </c>
      <c r="M296" s="75" t="str">
        <f t="shared" ref="M296:M315" si="31">IF(K296="","",IF(K296-G296&lt;0,"",K296-G296))</f>
        <v/>
      </c>
      <c r="N296" s="77" t="str">
        <f t="shared" ref="N296:N315" si="32">IF(K296="","",IF(K296/G296&lt;0,"",K296/G296))</f>
        <v/>
      </c>
    </row>
    <row r="297">
      <c r="A297" s="74"/>
      <c r="B297" s="52"/>
      <c r="C297" s="52"/>
      <c r="D297" s="52"/>
      <c r="E297" s="52" t="s">
        <v>1188</v>
      </c>
      <c r="F297" s="49" t="s">
        <v>1189</v>
      </c>
      <c r="G297" s="75">
        <v>9.97</v>
      </c>
      <c r="H297" s="56">
        <v>45974.0</v>
      </c>
      <c r="I297" s="52" t="b">
        <v>0</v>
      </c>
      <c r="J297" s="56"/>
      <c r="K297" s="75"/>
      <c r="L297" s="76" t="str">
        <f t="shared" si="30"/>
        <v/>
      </c>
      <c r="M297" s="75" t="str">
        <f t="shared" si="31"/>
        <v/>
      </c>
      <c r="N297" s="77" t="str">
        <f t="shared" si="32"/>
        <v/>
      </c>
    </row>
    <row r="298">
      <c r="A298" s="74"/>
      <c r="B298" s="52"/>
      <c r="C298" s="52"/>
      <c r="D298" s="52"/>
      <c r="E298" s="52" t="s">
        <v>1190</v>
      </c>
      <c r="F298" s="49" t="s">
        <v>1191</v>
      </c>
      <c r="G298" s="75">
        <v>9.97</v>
      </c>
      <c r="H298" s="56">
        <v>45974.0</v>
      </c>
      <c r="I298" s="56" t="b">
        <v>0</v>
      </c>
      <c r="J298" s="56"/>
      <c r="K298" s="88"/>
      <c r="L298" s="76" t="str">
        <f t="shared" si="30"/>
        <v/>
      </c>
      <c r="M298" s="75" t="str">
        <f t="shared" si="31"/>
        <v/>
      </c>
      <c r="N298" s="77" t="str">
        <f t="shared" si="32"/>
        <v/>
      </c>
    </row>
    <row r="299">
      <c r="A299" s="74"/>
      <c r="B299" s="52"/>
      <c r="C299" s="52"/>
      <c r="D299" s="52"/>
      <c r="E299" s="52" t="s">
        <v>1192</v>
      </c>
      <c r="F299" s="49" t="s">
        <v>1193</v>
      </c>
      <c r="G299" s="75">
        <v>9.97</v>
      </c>
      <c r="H299" s="56">
        <v>45974.0</v>
      </c>
      <c r="I299" s="56" t="b">
        <v>0</v>
      </c>
      <c r="J299" s="56"/>
      <c r="K299" s="88"/>
      <c r="L299" s="76" t="str">
        <f t="shared" si="30"/>
        <v/>
      </c>
      <c r="M299" s="75" t="str">
        <f t="shared" si="31"/>
        <v/>
      </c>
      <c r="N299" s="77" t="str">
        <f t="shared" si="32"/>
        <v/>
      </c>
    </row>
    <row r="300">
      <c r="A300" s="74"/>
      <c r="B300" s="52"/>
      <c r="C300" s="52"/>
      <c r="D300" s="52"/>
      <c r="E300" s="52" t="s">
        <v>1194</v>
      </c>
      <c r="F300" s="49" t="s">
        <v>1195</v>
      </c>
      <c r="G300" s="75">
        <v>9.97</v>
      </c>
      <c r="H300" s="56">
        <v>45974.0</v>
      </c>
      <c r="I300" s="56" t="b">
        <v>0</v>
      </c>
      <c r="J300" s="56"/>
      <c r="K300" s="88"/>
      <c r="L300" s="76" t="str">
        <f t="shared" si="30"/>
        <v/>
      </c>
      <c r="M300" s="75" t="str">
        <f t="shared" si="31"/>
        <v/>
      </c>
      <c r="N300" s="77" t="str">
        <f t="shared" si="32"/>
        <v/>
      </c>
    </row>
    <row r="301">
      <c r="A301" s="74"/>
      <c r="B301" s="52"/>
      <c r="C301" s="52"/>
      <c r="D301" s="52"/>
      <c r="E301" s="52" t="s">
        <v>1196</v>
      </c>
      <c r="F301" s="49" t="s">
        <v>1197</v>
      </c>
      <c r="G301" s="75">
        <v>9.97</v>
      </c>
      <c r="H301" s="56">
        <v>45974.0</v>
      </c>
      <c r="I301" s="56" t="b">
        <v>0</v>
      </c>
      <c r="J301" s="56"/>
      <c r="K301" s="88"/>
      <c r="L301" s="76" t="str">
        <f t="shared" si="30"/>
        <v/>
      </c>
      <c r="M301" s="75" t="str">
        <f t="shared" si="31"/>
        <v/>
      </c>
      <c r="N301" s="77" t="str">
        <f t="shared" si="32"/>
        <v/>
      </c>
    </row>
    <row r="302">
      <c r="A302" s="74"/>
      <c r="B302" s="52"/>
      <c r="C302" s="52"/>
      <c r="D302" s="52"/>
      <c r="E302" s="52" t="s">
        <v>1198</v>
      </c>
      <c r="F302" s="49" t="s">
        <v>1199</v>
      </c>
      <c r="G302" s="75">
        <v>9.97</v>
      </c>
      <c r="H302" s="56">
        <v>45974.0</v>
      </c>
      <c r="I302" s="56" t="b">
        <v>0</v>
      </c>
      <c r="J302" s="56"/>
      <c r="K302" s="88"/>
      <c r="L302" s="76" t="str">
        <f t="shared" si="30"/>
        <v/>
      </c>
      <c r="M302" s="75" t="str">
        <f t="shared" si="31"/>
        <v/>
      </c>
      <c r="N302" s="77" t="str">
        <f t="shared" si="32"/>
        <v/>
      </c>
    </row>
    <row r="303">
      <c r="A303" s="74"/>
      <c r="B303" s="52"/>
      <c r="C303" s="52"/>
      <c r="D303" s="52"/>
      <c r="E303" s="52" t="s">
        <v>1200</v>
      </c>
      <c r="F303" s="49" t="s">
        <v>1201</v>
      </c>
      <c r="G303" s="75">
        <v>9.97</v>
      </c>
      <c r="H303" s="56">
        <v>45974.0</v>
      </c>
      <c r="I303" s="56" t="b">
        <v>0</v>
      </c>
      <c r="J303" s="56"/>
      <c r="K303" s="88"/>
      <c r="L303" s="76" t="str">
        <f t="shared" si="30"/>
        <v/>
      </c>
      <c r="M303" s="75" t="str">
        <f t="shared" si="31"/>
        <v/>
      </c>
      <c r="N303" s="77" t="str">
        <f t="shared" si="32"/>
        <v/>
      </c>
    </row>
    <row r="304">
      <c r="A304" s="74"/>
      <c r="B304" s="52"/>
      <c r="C304" s="52"/>
      <c r="D304" s="52"/>
      <c r="E304" s="52" t="s">
        <v>1202</v>
      </c>
      <c r="F304" s="49" t="s">
        <v>1203</v>
      </c>
      <c r="G304" s="75">
        <v>9.97</v>
      </c>
      <c r="H304" s="56">
        <v>45975.0</v>
      </c>
      <c r="I304" s="56" t="b">
        <v>0</v>
      </c>
      <c r="J304" s="56"/>
      <c r="K304" s="88"/>
      <c r="L304" s="76" t="str">
        <f t="shared" si="30"/>
        <v/>
      </c>
      <c r="M304" s="75" t="str">
        <f t="shared" si="31"/>
        <v/>
      </c>
      <c r="N304" s="77" t="str">
        <f t="shared" si="32"/>
        <v/>
      </c>
    </row>
    <row r="305">
      <c r="A305" s="74"/>
      <c r="B305" s="52"/>
      <c r="C305" s="52"/>
      <c r="D305" s="52"/>
      <c r="E305" s="52" t="s">
        <v>1204</v>
      </c>
      <c r="F305" s="49" t="s">
        <v>1205</v>
      </c>
      <c r="G305" s="75">
        <v>9.97</v>
      </c>
      <c r="H305" s="56">
        <v>45975.0</v>
      </c>
      <c r="I305" s="56" t="b">
        <v>0</v>
      </c>
      <c r="J305" s="56"/>
      <c r="K305" s="88"/>
      <c r="L305" s="76" t="str">
        <f t="shared" si="30"/>
        <v/>
      </c>
      <c r="M305" s="75" t="str">
        <f t="shared" si="31"/>
        <v/>
      </c>
      <c r="N305" s="77" t="str">
        <f t="shared" si="32"/>
        <v/>
      </c>
    </row>
    <row r="306">
      <c r="A306" s="74"/>
      <c r="B306" s="52"/>
      <c r="C306" s="52"/>
      <c r="D306" s="52"/>
      <c r="E306" s="52" t="s">
        <v>1206</v>
      </c>
      <c r="F306" s="49" t="s">
        <v>1207</v>
      </c>
      <c r="G306" s="75">
        <v>9.97</v>
      </c>
      <c r="H306" s="56">
        <v>45975.0</v>
      </c>
      <c r="I306" s="56" t="b">
        <v>0</v>
      </c>
      <c r="J306" s="56"/>
      <c r="K306" s="88"/>
      <c r="L306" s="76" t="str">
        <f t="shared" si="30"/>
        <v/>
      </c>
      <c r="M306" s="75" t="str">
        <f t="shared" si="31"/>
        <v/>
      </c>
      <c r="N306" s="77" t="str">
        <f t="shared" si="32"/>
        <v/>
      </c>
    </row>
    <row r="307">
      <c r="A307" s="74"/>
      <c r="B307" s="52"/>
      <c r="C307" s="52"/>
      <c r="D307" s="52"/>
      <c r="E307" s="52" t="s">
        <v>1208</v>
      </c>
      <c r="F307" s="49" t="s">
        <v>1209</v>
      </c>
      <c r="G307" s="75">
        <v>9.97</v>
      </c>
      <c r="H307" s="56">
        <v>45975.0</v>
      </c>
      <c r="I307" s="56" t="b">
        <v>0</v>
      </c>
      <c r="J307" s="56"/>
      <c r="K307" s="88"/>
      <c r="L307" s="76" t="str">
        <f t="shared" si="30"/>
        <v/>
      </c>
      <c r="M307" s="75" t="str">
        <f t="shared" si="31"/>
        <v/>
      </c>
      <c r="N307" s="77" t="str">
        <f t="shared" si="32"/>
        <v/>
      </c>
    </row>
    <row r="308">
      <c r="A308" s="74"/>
      <c r="B308" s="52"/>
      <c r="C308" s="52"/>
      <c r="D308" s="52"/>
      <c r="E308" s="52" t="s">
        <v>1210</v>
      </c>
      <c r="F308" s="49" t="s">
        <v>1211</v>
      </c>
      <c r="G308" s="75">
        <v>9.97</v>
      </c>
      <c r="H308" s="56">
        <v>45975.0</v>
      </c>
      <c r="I308" s="56" t="b">
        <v>0</v>
      </c>
      <c r="J308" s="56"/>
      <c r="K308" s="88"/>
      <c r="L308" s="76" t="str">
        <f t="shared" si="30"/>
        <v/>
      </c>
      <c r="M308" s="75" t="str">
        <f t="shared" si="31"/>
        <v/>
      </c>
      <c r="N308" s="77" t="str">
        <f t="shared" si="32"/>
        <v/>
      </c>
    </row>
    <row r="309">
      <c r="A309" s="74"/>
      <c r="B309" s="52"/>
      <c r="C309" s="52"/>
      <c r="D309" s="52"/>
      <c r="E309" s="52" t="s">
        <v>1212</v>
      </c>
      <c r="F309" s="49" t="s">
        <v>1213</v>
      </c>
      <c r="G309" s="75">
        <v>9.97</v>
      </c>
      <c r="H309" s="56">
        <v>45975.0</v>
      </c>
      <c r="I309" s="56" t="b">
        <v>0</v>
      </c>
      <c r="J309" s="56"/>
      <c r="K309" s="88"/>
      <c r="L309" s="76" t="str">
        <f t="shared" si="30"/>
        <v/>
      </c>
      <c r="M309" s="75" t="str">
        <f t="shared" si="31"/>
        <v/>
      </c>
      <c r="N309" s="77" t="str">
        <f t="shared" si="32"/>
        <v/>
      </c>
    </row>
    <row r="310">
      <c r="A310" s="74"/>
      <c r="B310" s="52"/>
      <c r="C310" s="52"/>
      <c r="D310" s="52"/>
      <c r="E310" s="52" t="s">
        <v>1214</v>
      </c>
      <c r="F310" s="49" t="s">
        <v>1215</v>
      </c>
      <c r="G310" s="75">
        <v>9.97</v>
      </c>
      <c r="H310" s="56">
        <v>45975.0</v>
      </c>
      <c r="I310" s="56" t="b">
        <v>0</v>
      </c>
      <c r="J310" s="56"/>
      <c r="K310" s="88"/>
      <c r="L310" s="76" t="str">
        <f t="shared" si="30"/>
        <v/>
      </c>
      <c r="M310" s="75" t="str">
        <f t="shared" si="31"/>
        <v/>
      </c>
      <c r="N310" s="77" t="str">
        <f t="shared" si="32"/>
        <v/>
      </c>
    </row>
    <row r="311">
      <c r="A311" s="74"/>
      <c r="B311" s="52"/>
      <c r="C311" s="52"/>
      <c r="D311" s="52"/>
      <c r="E311" s="52" t="s">
        <v>1216</v>
      </c>
      <c r="F311" s="49" t="s">
        <v>1217</v>
      </c>
      <c r="G311" s="75">
        <v>9.97</v>
      </c>
      <c r="H311" s="56">
        <v>45975.0</v>
      </c>
      <c r="I311" s="56" t="b">
        <v>0</v>
      </c>
      <c r="J311" s="56"/>
      <c r="K311" s="88"/>
      <c r="L311" s="76" t="str">
        <f t="shared" si="30"/>
        <v/>
      </c>
      <c r="M311" s="75" t="str">
        <f t="shared" si="31"/>
        <v/>
      </c>
      <c r="N311" s="77" t="str">
        <f t="shared" si="32"/>
        <v/>
      </c>
    </row>
    <row r="312">
      <c r="A312" s="74"/>
      <c r="B312" s="52"/>
      <c r="C312" s="52"/>
      <c r="D312" s="52"/>
      <c r="E312" s="52" t="s">
        <v>1218</v>
      </c>
      <c r="F312" s="49" t="s">
        <v>1219</v>
      </c>
      <c r="G312" s="75">
        <v>9.97</v>
      </c>
      <c r="H312" s="56">
        <v>45975.0</v>
      </c>
      <c r="I312" s="56" t="b">
        <v>0</v>
      </c>
      <c r="J312" s="56"/>
      <c r="K312" s="88"/>
      <c r="L312" s="76" t="str">
        <f t="shared" si="30"/>
        <v/>
      </c>
      <c r="M312" s="75" t="str">
        <f t="shared" si="31"/>
        <v/>
      </c>
      <c r="N312" s="77" t="str">
        <f t="shared" si="32"/>
        <v/>
      </c>
    </row>
    <row r="313">
      <c r="A313" s="74"/>
      <c r="B313" s="52"/>
      <c r="C313" s="52"/>
      <c r="D313" s="52"/>
      <c r="E313" s="52" t="s">
        <v>1220</v>
      </c>
      <c r="F313" s="49" t="s">
        <v>1221</v>
      </c>
      <c r="G313" s="75">
        <v>9.97</v>
      </c>
      <c r="H313" s="56">
        <v>45975.0</v>
      </c>
      <c r="I313" s="56" t="b">
        <v>0</v>
      </c>
      <c r="J313" s="56"/>
      <c r="K313" s="88"/>
      <c r="L313" s="76" t="str">
        <f t="shared" si="30"/>
        <v/>
      </c>
      <c r="M313" s="75" t="str">
        <f t="shared" si="31"/>
        <v/>
      </c>
      <c r="N313" s="77" t="str">
        <f t="shared" si="32"/>
        <v/>
      </c>
    </row>
    <row r="314">
      <c r="A314" s="74"/>
      <c r="B314" s="52"/>
      <c r="C314" s="52"/>
      <c r="D314" s="52"/>
      <c r="E314" s="52" t="s">
        <v>1222</v>
      </c>
      <c r="F314" s="49" t="s">
        <v>1223</v>
      </c>
      <c r="G314" s="75">
        <v>9.97</v>
      </c>
      <c r="H314" s="56">
        <v>45976.0</v>
      </c>
      <c r="I314" s="56" t="b">
        <v>0</v>
      </c>
      <c r="J314" s="56"/>
      <c r="K314" s="88"/>
      <c r="L314" s="76" t="str">
        <f t="shared" si="30"/>
        <v/>
      </c>
      <c r="M314" s="75" t="str">
        <f t="shared" si="31"/>
        <v/>
      </c>
      <c r="N314" s="77" t="str">
        <f t="shared" si="32"/>
        <v/>
      </c>
    </row>
    <row r="315">
      <c r="A315" s="74"/>
      <c r="B315" s="52"/>
      <c r="C315" s="52"/>
      <c r="D315" s="52"/>
      <c r="E315" s="52" t="s">
        <v>1224</v>
      </c>
      <c r="F315" s="49" t="s">
        <v>1225</v>
      </c>
      <c r="G315" s="75">
        <v>9.97</v>
      </c>
      <c r="H315" s="56">
        <v>45976.0</v>
      </c>
      <c r="I315" s="56" t="b">
        <v>0</v>
      </c>
      <c r="J315" s="56"/>
      <c r="K315" s="88"/>
      <c r="L315" s="76" t="str">
        <f t="shared" si="30"/>
        <v/>
      </c>
      <c r="M315" s="75" t="str">
        <f t="shared" si="31"/>
        <v/>
      </c>
      <c r="N315" s="77" t="str">
        <f t="shared" si="32"/>
        <v/>
      </c>
    </row>
    <row r="316">
      <c r="A316" s="78"/>
      <c r="B316" s="79"/>
      <c r="C316" s="79"/>
      <c r="D316" s="79"/>
      <c r="E316" s="79"/>
      <c r="F316" s="80"/>
      <c r="G316" s="89"/>
      <c r="H316" s="81"/>
      <c r="I316" s="81" t="b">
        <v>0</v>
      </c>
      <c r="J316" s="81"/>
      <c r="K316" s="90"/>
      <c r="L316" s="82"/>
      <c r="M316" s="80"/>
      <c r="N316" s="83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</row>
    <row r="317">
      <c r="A317" s="74"/>
      <c r="B317" s="52"/>
      <c r="C317" s="52"/>
      <c r="D317" s="52"/>
      <c r="E317" s="52" t="s">
        <v>1226</v>
      </c>
      <c r="F317" s="85" t="s">
        <v>1227</v>
      </c>
      <c r="G317" s="75">
        <v>7.27</v>
      </c>
      <c r="H317" s="56">
        <v>45976.0</v>
      </c>
      <c r="I317" s="56" t="b">
        <v>0</v>
      </c>
      <c r="J317" s="56"/>
      <c r="K317" s="88"/>
      <c r="L317" s="76" t="str">
        <f t="shared" ref="L317:L326" si="33">IF(ISBLANK(J317),"",J317-H317)</f>
        <v/>
      </c>
      <c r="M317" s="75" t="str">
        <f t="shared" ref="M317:M326" si="34">IF(K317="","",IF(K317-G317&lt;0,"",K317-G317))</f>
        <v/>
      </c>
      <c r="N317" s="77" t="str">
        <f t="shared" ref="N317:N326" si="35">IF(K317="","",IF(K317/G317&lt;0,"",K317/G317))</f>
        <v/>
      </c>
    </row>
    <row r="318">
      <c r="A318" s="74"/>
      <c r="B318" s="52"/>
      <c r="C318" s="52"/>
      <c r="D318" s="52"/>
      <c r="E318" s="52" t="s">
        <v>1228</v>
      </c>
      <c r="F318" s="85" t="s">
        <v>1229</v>
      </c>
      <c r="G318" s="75">
        <v>7.27</v>
      </c>
      <c r="H318" s="56">
        <v>45976.0</v>
      </c>
      <c r="I318" s="56" t="b">
        <v>0</v>
      </c>
      <c r="J318" s="56"/>
      <c r="K318" s="88"/>
      <c r="L318" s="76" t="str">
        <f t="shared" si="33"/>
        <v/>
      </c>
      <c r="M318" s="75" t="str">
        <f t="shared" si="34"/>
        <v/>
      </c>
      <c r="N318" s="77" t="str">
        <f t="shared" si="35"/>
        <v/>
      </c>
    </row>
    <row r="319">
      <c r="A319" s="74"/>
      <c r="B319" s="52"/>
      <c r="C319" s="52"/>
      <c r="D319" s="52"/>
      <c r="E319" s="52" t="s">
        <v>1230</v>
      </c>
      <c r="F319" s="85" t="s">
        <v>1231</v>
      </c>
      <c r="G319" s="75">
        <v>7.27</v>
      </c>
      <c r="H319" s="56">
        <v>45976.0</v>
      </c>
      <c r="I319" s="56" t="b">
        <v>0</v>
      </c>
      <c r="J319" s="56"/>
      <c r="K319" s="88"/>
      <c r="L319" s="76" t="str">
        <f t="shared" si="33"/>
        <v/>
      </c>
      <c r="M319" s="75" t="str">
        <f t="shared" si="34"/>
        <v/>
      </c>
      <c r="N319" s="77" t="str">
        <f t="shared" si="35"/>
        <v/>
      </c>
    </row>
    <row r="320">
      <c r="A320" s="74"/>
      <c r="B320" s="52"/>
      <c r="C320" s="52"/>
      <c r="D320" s="52"/>
      <c r="E320" s="52" t="s">
        <v>1232</v>
      </c>
      <c r="F320" s="85" t="s">
        <v>1233</v>
      </c>
      <c r="G320" s="75">
        <v>7.27</v>
      </c>
      <c r="H320" s="56">
        <v>45976.0</v>
      </c>
      <c r="I320" s="56" t="b">
        <v>0</v>
      </c>
      <c r="J320" s="56"/>
      <c r="K320" s="88"/>
      <c r="L320" s="76" t="str">
        <f t="shared" si="33"/>
        <v/>
      </c>
      <c r="M320" s="75" t="str">
        <f t="shared" si="34"/>
        <v/>
      </c>
      <c r="N320" s="77" t="str">
        <f t="shared" si="35"/>
        <v/>
      </c>
    </row>
    <row r="321">
      <c r="A321" s="74"/>
      <c r="B321" s="52"/>
      <c r="C321" s="52"/>
      <c r="D321" s="52"/>
      <c r="E321" s="52" t="s">
        <v>1234</v>
      </c>
      <c r="F321" s="85" t="s">
        <v>1235</v>
      </c>
      <c r="G321" s="75">
        <v>7.27</v>
      </c>
      <c r="H321" s="56">
        <v>45976.0</v>
      </c>
      <c r="I321" s="56" t="b">
        <v>0</v>
      </c>
      <c r="J321" s="56"/>
      <c r="K321" s="88"/>
      <c r="L321" s="76" t="str">
        <f t="shared" si="33"/>
        <v/>
      </c>
      <c r="M321" s="75" t="str">
        <f t="shared" si="34"/>
        <v/>
      </c>
      <c r="N321" s="77" t="str">
        <f t="shared" si="35"/>
        <v/>
      </c>
    </row>
    <row r="322">
      <c r="A322" s="74"/>
      <c r="B322" s="52"/>
      <c r="C322" s="52"/>
      <c r="D322" s="52"/>
      <c r="E322" s="52" t="s">
        <v>1236</v>
      </c>
      <c r="F322" s="85" t="s">
        <v>1237</v>
      </c>
      <c r="G322" s="75">
        <v>7.27</v>
      </c>
      <c r="H322" s="56">
        <v>45976.0</v>
      </c>
      <c r="I322" s="56" t="b">
        <v>0</v>
      </c>
      <c r="J322" s="56"/>
      <c r="K322" s="88"/>
      <c r="L322" s="76" t="str">
        <f t="shared" si="33"/>
        <v/>
      </c>
      <c r="M322" s="75" t="str">
        <f t="shared" si="34"/>
        <v/>
      </c>
      <c r="N322" s="77" t="str">
        <f t="shared" si="35"/>
        <v/>
      </c>
    </row>
    <row r="323">
      <c r="A323" s="74"/>
      <c r="B323" s="52"/>
      <c r="C323" s="52"/>
      <c r="D323" s="52"/>
      <c r="E323" s="52" t="s">
        <v>1238</v>
      </c>
      <c r="F323" s="85" t="s">
        <v>1239</v>
      </c>
      <c r="G323" s="75">
        <v>7.27</v>
      </c>
      <c r="H323" s="56">
        <v>45976.0</v>
      </c>
      <c r="I323" s="56" t="b">
        <v>0</v>
      </c>
      <c r="J323" s="56"/>
      <c r="K323" s="88"/>
      <c r="L323" s="76" t="str">
        <f t="shared" si="33"/>
        <v/>
      </c>
      <c r="M323" s="75" t="str">
        <f t="shared" si="34"/>
        <v/>
      </c>
      <c r="N323" s="77" t="str">
        <f t="shared" si="35"/>
        <v/>
      </c>
    </row>
    <row r="324">
      <c r="A324" s="74"/>
      <c r="B324" s="52"/>
      <c r="C324" s="52"/>
      <c r="D324" s="52"/>
      <c r="E324" s="52" t="s">
        <v>1240</v>
      </c>
      <c r="F324" s="85" t="s">
        <v>1241</v>
      </c>
      <c r="G324" s="75">
        <v>7.27</v>
      </c>
      <c r="H324" s="56">
        <v>45976.0</v>
      </c>
      <c r="I324" s="56" t="b">
        <v>0</v>
      </c>
      <c r="J324" s="56"/>
      <c r="K324" s="88"/>
      <c r="L324" s="76" t="str">
        <f t="shared" si="33"/>
        <v/>
      </c>
      <c r="M324" s="75" t="str">
        <f t="shared" si="34"/>
        <v/>
      </c>
      <c r="N324" s="77" t="str">
        <f t="shared" si="35"/>
        <v/>
      </c>
    </row>
    <row r="325">
      <c r="A325" s="74"/>
      <c r="B325" s="52"/>
      <c r="C325" s="52"/>
      <c r="D325" s="52"/>
      <c r="E325" s="52" t="s">
        <v>1242</v>
      </c>
      <c r="F325" s="85" t="s">
        <v>1243</v>
      </c>
      <c r="G325" s="75">
        <v>7.27</v>
      </c>
      <c r="H325" s="56">
        <v>45977.0</v>
      </c>
      <c r="I325" s="56" t="b">
        <v>0</v>
      </c>
      <c r="J325" s="56"/>
      <c r="K325" s="88"/>
      <c r="L325" s="76" t="str">
        <f t="shared" si="33"/>
        <v/>
      </c>
      <c r="M325" s="75" t="str">
        <f t="shared" si="34"/>
        <v/>
      </c>
      <c r="N325" s="77" t="str">
        <f t="shared" si="35"/>
        <v/>
      </c>
    </row>
    <row r="326">
      <c r="A326" s="74"/>
      <c r="B326" s="52"/>
      <c r="C326" s="52"/>
      <c r="D326" s="52"/>
      <c r="E326" s="52" t="s">
        <v>1244</v>
      </c>
      <c r="F326" s="85" t="s">
        <v>1245</v>
      </c>
      <c r="G326" s="75">
        <v>7.27</v>
      </c>
      <c r="H326" s="56">
        <v>45977.0</v>
      </c>
      <c r="I326" s="56" t="b">
        <v>0</v>
      </c>
      <c r="J326" s="56"/>
      <c r="K326" s="88"/>
      <c r="L326" s="76" t="str">
        <f t="shared" si="33"/>
        <v/>
      </c>
      <c r="M326" s="75" t="str">
        <f t="shared" si="34"/>
        <v/>
      </c>
      <c r="N326" s="77" t="str">
        <f t="shared" si="35"/>
        <v/>
      </c>
    </row>
    <row r="327">
      <c r="A327" s="78"/>
      <c r="B327" s="79"/>
      <c r="C327" s="79"/>
      <c r="D327" s="79"/>
      <c r="E327" s="79"/>
      <c r="F327" s="80"/>
      <c r="G327" s="89"/>
      <c r="H327" s="81"/>
      <c r="I327" s="81" t="b">
        <v>0</v>
      </c>
      <c r="J327" s="81"/>
      <c r="K327" s="90"/>
      <c r="L327" s="82"/>
      <c r="M327" s="80"/>
      <c r="N327" s="89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</row>
    <row r="328">
      <c r="A328" s="74"/>
      <c r="B328" s="52"/>
      <c r="C328" s="52"/>
      <c r="D328" s="52"/>
      <c r="E328" s="52" t="s">
        <v>1246</v>
      </c>
      <c r="F328" s="49" t="s">
        <v>1247</v>
      </c>
      <c r="G328" s="75">
        <v>11.37</v>
      </c>
      <c r="H328" s="56">
        <v>45960.0</v>
      </c>
      <c r="I328" s="56" t="b">
        <v>0</v>
      </c>
      <c r="J328" s="56"/>
      <c r="K328" s="75"/>
      <c r="L328" s="76" t="str">
        <f t="shared" ref="L328:L368" si="36">IF(ISBLANK(J328),"",J328-H328)</f>
        <v/>
      </c>
      <c r="M328" s="75" t="str">
        <f t="shared" ref="M328:M368" si="37">IF(K328="","",IF(K328-G328&lt;0,"",K328-G328))</f>
        <v/>
      </c>
      <c r="N328" s="77" t="str">
        <f t="shared" ref="N328:N368" si="38">IF(K328="","",IF(K328/G328&lt;0,"",K328/G328))</f>
        <v/>
      </c>
    </row>
    <row r="329">
      <c r="A329" s="74"/>
      <c r="B329" s="52"/>
      <c r="C329" s="52"/>
      <c r="D329" s="52"/>
      <c r="E329" s="52" t="s">
        <v>1248</v>
      </c>
      <c r="F329" s="49" t="s">
        <v>1249</v>
      </c>
      <c r="G329" s="75">
        <v>11.37</v>
      </c>
      <c r="H329" s="56">
        <v>45960.0</v>
      </c>
      <c r="I329" s="52" t="b">
        <v>0</v>
      </c>
      <c r="J329" s="56"/>
      <c r="K329" s="75"/>
      <c r="L329" s="76" t="str">
        <f t="shared" si="36"/>
        <v/>
      </c>
      <c r="M329" s="75" t="str">
        <f t="shared" si="37"/>
        <v/>
      </c>
      <c r="N329" s="77" t="str">
        <f t="shared" si="38"/>
        <v/>
      </c>
    </row>
    <row r="330">
      <c r="A330" s="74"/>
      <c r="B330" s="52"/>
      <c r="C330" s="52"/>
      <c r="D330" s="52"/>
      <c r="E330" s="52" t="s">
        <v>1250</v>
      </c>
      <c r="F330" s="49" t="s">
        <v>1251</v>
      </c>
      <c r="G330" s="75">
        <v>11.37</v>
      </c>
      <c r="H330" s="56">
        <v>45960.0</v>
      </c>
      <c r="I330" s="56" t="b">
        <v>0</v>
      </c>
      <c r="J330" s="56"/>
      <c r="K330" s="75"/>
      <c r="L330" s="76" t="str">
        <f t="shared" si="36"/>
        <v/>
      </c>
      <c r="M330" s="75" t="str">
        <f t="shared" si="37"/>
        <v/>
      </c>
      <c r="N330" s="77" t="str">
        <f t="shared" si="38"/>
        <v/>
      </c>
    </row>
    <row r="331">
      <c r="A331" s="74"/>
      <c r="B331" s="52"/>
      <c r="C331" s="52"/>
      <c r="D331" s="52"/>
      <c r="E331" s="52" t="s">
        <v>1252</v>
      </c>
      <c r="F331" s="49" t="s">
        <v>1253</v>
      </c>
      <c r="G331" s="75">
        <v>11.37</v>
      </c>
      <c r="H331" s="56">
        <v>45960.0</v>
      </c>
      <c r="I331" s="56" t="b">
        <v>0</v>
      </c>
      <c r="J331" s="56"/>
      <c r="K331" s="75"/>
      <c r="L331" s="76" t="str">
        <f t="shared" si="36"/>
        <v/>
      </c>
      <c r="M331" s="75" t="str">
        <f t="shared" si="37"/>
        <v/>
      </c>
      <c r="N331" s="77" t="str">
        <f t="shared" si="38"/>
        <v/>
      </c>
    </row>
    <row r="332">
      <c r="A332" s="74"/>
      <c r="B332" s="52"/>
      <c r="C332" s="52"/>
      <c r="D332" s="52"/>
      <c r="E332" s="52" t="s">
        <v>1254</v>
      </c>
      <c r="F332" s="49" t="s">
        <v>1255</v>
      </c>
      <c r="G332" s="75">
        <v>11.37</v>
      </c>
      <c r="H332" s="56">
        <v>45960.0</v>
      </c>
      <c r="I332" s="56" t="b">
        <v>0</v>
      </c>
      <c r="J332" s="56"/>
      <c r="K332" s="75"/>
      <c r="L332" s="76" t="str">
        <f t="shared" si="36"/>
        <v/>
      </c>
      <c r="M332" s="75" t="str">
        <f t="shared" si="37"/>
        <v/>
      </c>
      <c r="N332" s="77" t="str">
        <f t="shared" si="38"/>
        <v/>
      </c>
    </row>
    <row r="333">
      <c r="A333" s="74"/>
      <c r="B333" s="52"/>
      <c r="C333" s="52"/>
      <c r="D333" s="52"/>
      <c r="E333" s="52" t="s">
        <v>1256</v>
      </c>
      <c r="F333" s="49" t="s">
        <v>1257</v>
      </c>
      <c r="G333" s="75">
        <v>11.37</v>
      </c>
      <c r="H333" s="56">
        <v>45960.0</v>
      </c>
      <c r="I333" s="56" t="b">
        <v>0</v>
      </c>
      <c r="J333" s="56"/>
      <c r="K333" s="75"/>
      <c r="L333" s="76" t="str">
        <f t="shared" si="36"/>
        <v/>
      </c>
      <c r="M333" s="75" t="str">
        <f t="shared" si="37"/>
        <v/>
      </c>
      <c r="N333" s="77" t="str">
        <f t="shared" si="38"/>
        <v/>
      </c>
    </row>
    <row r="334">
      <c r="A334" s="74"/>
      <c r="B334" s="52"/>
      <c r="C334" s="52"/>
      <c r="D334" s="52"/>
      <c r="E334" s="52" t="s">
        <v>1258</v>
      </c>
      <c r="F334" s="49" t="s">
        <v>1259</v>
      </c>
      <c r="G334" s="75">
        <v>11.37</v>
      </c>
      <c r="H334" s="56">
        <v>45960.0</v>
      </c>
      <c r="I334" s="56" t="b">
        <v>0</v>
      </c>
      <c r="J334" s="56"/>
      <c r="K334" s="75"/>
      <c r="L334" s="76" t="str">
        <f t="shared" si="36"/>
        <v/>
      </c>
      <c r="M334" s="75" t="str">
        <f t="shared" si="37"/>
        <v/>
      </c>
      <c r="N334" s="77" t="str">
        <f t="shared" si="38"/>
        <v/>
      </c>
    </row>
    <row r="335">
      <c r="A335" s="74"/>
      <c r="B335" s="52"/>
      <c r="C335" s="52"/>
      <c r="D335" s="52"/>
      <c r="E335" s="52" t="s">
        <v>1260</v>
      </c>
      <c r="F335" s="49" t="s">
        <v>1261</v>
      </c>
      <c r="G335" s="75">
        <v>11.37</v>
      </c>
      <c r="H335" s="56">
        <v>45960.0</v>
      </c>
      <c r="I335" s="56" t="b">
        <v>0</v>
      </c>
      <c r="J335" s="56"/>
      <c r="K335" s="75"/>
      <c r="L335" s="76" t="str">
        <f t="shared" si="36"/>
        <v/>
      </c>
      <c r="M335" s="75" t="str">
        <f t="shared" si="37"/>
        <v/>
      </c>
      <c r="N335" s="77" t="str">
        <f t="shared" si="38"/>
        <v/>
      </c>
    </row>
    <row r="336">
      <c r="A336" s="74"/>
      <c r="B336" s="52"/>
      <c r="C336" s="52"/>
      <c r="D336" s="52"/>
      <c r="E336" s="52" t="s">
        <v>1262</v>
      </c>
      <c r="F336" s="49" t="s">
        <v>1263</v>
      </c>
      <c r="G336" s="75">
        <v>11.37</v>
      </c>
      <c r="H336" s="56">
        <v>45961.0</v>
      </c>
      <c r="I336" s="56" t="b">
        <v>0</v>
      </c>
      <c r="J336" s="56"/>
      <c r="K336" s="75"/>
      <c r="L336" s="76" t="str">
        <f t="shared" si="36"/>
        <v/>
      </c>
      <c r="M336" s="75" t="str">
        <f t="shared" si="37"/>
        <v/>
      </c>
      <c r="N336" s="77" t="str">
        <f t="shared" si="38"/>
        <v/>
      </c>
    </row>
    <row r="337">
      <c r="A337" s="74"/>
      <c r="B337" s="52"/>
      <c r="C337" s="52"/>
      <c r="D337" s="52"/>
      <c r="E337" s="52" t="s">
        <v>1264</v>
      </c>
      <c r="F337" s="49" t="s">
        <v>1265</v>
      </c>
      <c r="G337" s="75">
        <v>11.37</v>
      </c>
      <c r="H337" s="56">
        <v>45961.0</v>
      </c>
      <c r="I337" s="56" t="b">
        <v>0</v>
      </c>
      <c r="J337" s="56"/>
      <c r="K337" s="75"/>
      <c r="L337" s="76" t="str">
        <f t="shared" si="36"/>
        <v/>
      </c>
      <c r="M337" s="75" t="str">
        <f t="shared" si="37"/>
        <v/>
      </c>
      <c r="N337" s="77" t="str">
        <f t="shared" si="38"/>
        <v/>
      </c>
    </row>
    <row r="338">
      <c r="A338" s="74"/>
      <c r="B338" s="52"/>
      <c r="C338" s="52"/>
      <c r="D338" s="52"/>
      <c r="E338" s="52" t="s">
        <v>1266</v>
      </c>
      <c r="F338" s="49" t="s">
        <v>1267</v>
      </c>
      <c r="G338" s="75">
        <v>11.37</v>
      </c>
      <c r="H338" s="56">
        <v>45961.0</v>
      </c>
      <c r="I338" s="56" t="b">
        <v>0</v>
      </c>
      <c r="J338" s="56"/>
      <c r="K338" s="75"/>
      <c r="L338" s="76" t="str">
        <f t="shared" si="36"/>
        <v/>
      </c>
      <c r="M338" s="75" t="str">
        <f t="shared" si="37"/>
        <v/>
      </c>
      <c r="N338" s="77" t="str">
        <f t="shared" si="38"/>
        <v/>
      </c>
    </row>
    <row r="339">
      <c r="A339" s="74"/>
      <c r="B339" s="52"/>
      <c r="C339" s="52"/>
      <c r="D339" s="52"/>
      <c r="E339" s="52" t="s">
        <v>1268</v>
      </c>
      <c r="F339" s="49" t="s">
        <v>1269</v>
      </c>
      <c r="G339" s="75">
        <v>11.37</v>
      </c>
      <c r="H339" s="56">
        <v>45961.0</v>
      </c>
      <c r="I339" s="56" t="b">
        <v>0</v>
      </c>
      <c r="J339" s="56"/>
      <c r="K339" s="75"/>
      <c r="L339" s="76" t="str">
        <f t="shared" si="36"/>
        <v/>
      </c>
      <c r="M339" s="75" t="str">
        <f t="shared" si="37"/>
        <v/>
      </c>
      <c r="N339" s="77" t="str">
        <f t="shared" si="38"/>
        <v/>
      </c>
    </row>
    <row r="340">
      <c r="A340" s="74"/>
      <c r="B340" s="52"/>
      <c r="C340" s="52"/>
      <c r="D340" s="52"/>
      <c r="E340" s="52" t="s">
        <v>1270</v>
      </c>
      <c r="F340" s="49" t="s">
        <v>1271</v>
      </c>
      <c r="G340" s="75">
        <v>11.37</v>
      </c>
      <c r="H340" s="56">
        <v>45961.0</v>
      </c>
      <c r="I340" s="56" t="b">
        <v>0</v>
      </c>
      <c r="J340" s="56"/>
      <c r="K340" s="75"/>
      <c r="L340" s="76" t="str">
        <f t="shared" si="36"/>
        <v/>
      </c>
      <c r="M340" s="75" t="str">
        <f t="shared" si="37"/>
        <v/>
      </c>
      <c r="N340" s="77" t="str">
        <f t="shared" si="38"/>
        <v/>
      </c>
    </row>
    <row r="341">
      <c r="A341" s="74"/>
      <c r="B341" s="52"/>
      <c r="C341" s="52"/>
      <c r="D341" s="52"/>
      <c r="E341" s="52" t="s">
        <v>1272</v>
      </c>
      <c r="F341" s="49" t="s">
        <v>1273</v>
      </c>
      <c r="G341" s="75">
        <v>11.37</v>
      </c>
      <c r="H341" s="56">
        <v>45961.0</v>
      </c>
      <c r="I341" s="56" t="b">
        <v>0</v>
      </c>
      <c r="J341" s="56"/>
      <c r="K341" s="75"/>
      <c r="L341" s="76" t="str">
        <f t="shared" si="36"/>
        <v/>
      </c>
      <c r="M341" s="75" t="str">
        <f t="shared" si="37"/>
        <v/>
      </c>
      <c r="N341" s="77" t="str">
        <f t="shared" si="38"/>
        <v/>
      </c>
    </row>
    <row r="342">
      <c r="A342" s="74"/>
      <c r="B342" s="52"/>
      <c r="C342" s="52"/>
      <c r="D342" s="52"/>
      <c r="E342" s="52" t="s">
        <v>1274</v>
      </c>
      <c r="F342" s="49" t="s">
        <v>1275</v>
      </c>
      <c r="G342" s="75">
        <v>11.37</v>
      </c>
      <c r="H342" s="56">
        <v>45961.0</v>
      </c>
      <c r="I342" s="56" t="b">
        <v>0</v>
      </c>
      <c r="J342" s="56"/>
      <c r="K342" s="75"/>
      <c r="L342" s="76" t="str">
        <f t="shared" si="36"/>
        <v/>
      </c>
      <c r="M342" s="75" t="str">
        <f t="shared" si="37"/>
        <v/>
      </c>
      <c r="N342" s="77" t="str">
        <f t="shared" si="38"/>
        <v/>
      </c>
    </row>
    <row r="343">
      <c r="A343" s="74"/>
      <c r="B343" s="52"/>
      <c r="C343" s="52"/>
      <c r="D343" s="52"/>
      <c r="E343" s="52" t="s">
        <v>1276</v>
      </c>
      <c r="F343" s="49" t="s">
        <v>1277</v>
      </c>
      <c r="G343" s="75">
        <v>11.37</v>
      </c>
      <c r="H343" s="56">
        <v>45961.0</v>
      </c>
      <c r="I343" s="56" t="b">
        <v>0</v>
      </c>
      <c r="J343" s="56"/>
      <c r="K343" s="75"/>
      <c r="L343" s="76" t="str">
        <f t="shared" si="36"/>
        <v/>
      </c>
      <c r="M343" s="75" t="str">
        <f t="shared" si="37"/>
        <v/>
      </c>
      <c r="N343" s="77" t="str">
        <f t="shared" si="38"/>
        <v/>
      </c>
    </row>
    <row r="344">
      <c r="A344" s="74"/>
      <c r="B344" s="52"/>
      <c r="C344" s="52"/>
      <c r="D344" s="52"/>
      <c r="E344" s="52" t="s">
        <v>1278</v>
      </c>
      <c r="F344" s="49" t="s">
        <v>1279</v>
      </c>
      <c r="G344" s="75">
        <v>11.37</v>
      </c>
      <c r="H344" s="56">
        <v>45961.0</v>
      </c>
      <c r="I344" s="56" t="b">
        <v>0</v>
      </c>
      <c r="J344" s="56"/>
      <c r="K344" s="75"/>
      <c r="L344" s="76" t="str">
        <f t="shared" si="36"/>
        <v/>
      </c>
      <c r="M344" s="75" t="str">
        <f t="shared" si="37"/>
        <v/>
      </c>
      <c r="N344" s="77" t="str">
        <f t="shared" si="38"/>
        <v/>
      </c>
    </row>
    <row r="345">
      <c r="A345" s="74"/>
      <c r="B345" s="52"/>
      <c r="C345" s="52"/>
      <c r="D345" s="52"/>
      <c r="E345" s="52" t="s">
        <v>1280</v>
      </c>
      <c r="F345" s="49" t="s">
        <v>1281</v>
      </c>
      <c r="G345" s="75">
        <v>11.37</v>
      </c>
      <c r="H345" s="56">
        <v>45961.0</v>
      </c>
      <c r="I345" s="56" t="b">
        <v>0</v>
      </c>
      <c r="J345" s="56"/>
      <c r="K345" s="75"/>
      <c r="L345" s="76" t="str">
        <f t="shared" si="36"/>
        <v/>
      </c>
      <c r="M345" s="75" t="str">
        <f t="shared" si="37"/>
        <v/>
      </c>
      <c r="N345" s="77" t="str">
        <f t="shared" si="38"/>
        <v/>
      </c>
    </row>
    <row r="346">
      <c r="A346" s="74"/>
      <c r="B346" s="52"/>
      <c r="C346" s="52"/>
      <c r="D346" s="52"/>
      <c r="E346" s="52" t="s">
        <v>1282</v>
      </c>
      <c r="F346" s="49" t="s">
        <v>1283</v>
      </c>
      <c r="G346" s="75">
        <v>11.37</v>
      </c>
      <c r="H346" s="56">
        <v>45962.0</v>
      </c>
      <c r="I346" s="56" t="b">
        <v>0</v>
      </c>
      <c r="J346" s="56"/>
      <c r="K346" s="75"/>
      <c r="L346" s="76" t="str">
        <f t="shared" si="36"/>
        <v/>
      </c>
      <c r="M346" s="75" t="str">
        <f t="shared" si="37"/>
        <v/>
      </c>
      <c r="N346" s="77" t="str">
        <f t="shared" si="38"/>
        <v/>
      </c>
    </row>
    <row r="347">
      <c r="A347" s="74"/>
      <c r="B347" s="52"/>
      <c r="C347" s="52"/>
      <c r="D347" s="52"/>
      <c r="E347" s="52" t="s">
        <v>1284</v>
      </c>
      <c r="F347" s="49" t="s">
        <v>1285</v>
      </c>
      <c r="G347" s="75">
        <v>11.37</v>
      </c>
      <c r="H347" s="56">
        <v>45962.0</v>
      </c>
      <c r="I347" s="56" t="b">
        <v>0</v>
      </c>
      <c r="J347" s="56"/>
      <c r="K347" s="75"/>
      <c r="L347" s="76" t="str">
        <f t="shared" si="36"/>
        <v/>
      </c>
      <c r="M347" s="75" t="str">
        <f t="shared" si="37"/>
        <v/>
      </c>
      <c r="N347" s="77" t="str">
        <f t="shared" si="38"/>
        <v/>
      </c>
    </row>
    <row r="348">
      <c r="A348" s="74"/>
      <c r="B348" s="52"/>
      <c r="C348" s="52"/>
      <c r="D348" s="52"/>
      <c r="E348" s="52" t="s">
        <v>1286</v>
      </c>
      <c r="F348" s="49" t="s">
        <v>1287</v>
      </c>
      <c r="G348" s="75">
        <v>11.37</v>
      </c>
      <c r="H348" s="56">
        <v>45962.0</v>
      </c>
      <c r="I348" s="56" t="b">
        <v>0</v>
      </c>
      <c r="J348" s="56"/>
      <c r="K348" s="75"/>
      <c r="L348" s="76" t="str">
        <f t="shared" si="36"/>
        <v/>
      </c>
      <c r="M348" s="75" t="str">
        <f t="shared" si="37"/>
        <v/>
      </c>
      <c r="N348" s="77" t="str">
        <f t="shared" si="38"/>
        <v/>
      </c>
    </row>
    <row r="349">
      <c r="A349" s="74"/>
      <c r="B349" s="52"/>
      <c r="C349" s="52"/>
      <c r="D349" s="52"/>
      <c r="E349" s="52" t="s">
        <v>1288</v>
      </c>
      <c r="F349" s="49" t="s">
        <v>1289</v>
      </c>
      <c r="G349" s="75">
        <v>11.37</v>
      </c>
      <c r="H349" s="56">
        <v>45962.0</v>
      </c>
      <c r="I349" s="52" t="b">
        <v>0</v>
      </c>
      <c r="J349" s="56"/>
      <c r="K349" s="75"/>
      <c r="L349" s="76" t="str">
        <f t="shared" si="36"/>
        <v/>
      </c>
      <c r="M349" s="75" t="str">
        <f t="shared" si="37"/>
        <v/>
      </c>
      <c r="N349" s="77" t="str">
        <f t="shared" si="38"/>
        <v/>
      </c>
    </row>
    <row r="350">
      <c r="A350" s="74"/>
      <c r="B350" s="52"/>
      <c r="C350" s="52"/>
      <c r="D350" s="52"/>
      <c r="E350" s="52" t="s">
        <v>1290</v>
      </c>
      <c r="F350" s="49" t="s">
        <v>1291</v>
      </c>
      <c r="G350" s="75">
        <v>11.37</v>
      </c>
      <c r="H350" s="56">
        <v>45962.0</v>
      </c>
      <c r="I350" s="56" t="b">
        <v>0</v>
      </c>
      <c r="J350" s="56"/>
      <c r="K350" s="75"/>
      <c r="L350" s="76" t="str">
        <f t="shared" si="36"/>
        <v/>
      </c>
      <c r="M350" s="75" t="str">
        <f t="shared" si="37"/>
        <v/>
      </c>
      <c r="N350" s="77" t="str">
        <f t="shared" si="38"/>
        <v/>
      </c>
    </row>
    <row r="351">
      <c r="A351" s="74"/>
      <c r="B351" s="52"/>
      <c r="C351" s="52"/>
      <c r="D351" s="52"/>
      <c r="E351" s="52" t="s">
        <v>1292</v>
      </c>
      <c r="F351" s="49" t="s">
        <v>1293</v>
      </c>
      <c r="G351" s="75">
        <v>11.37</v>
      </c>
      <c r="H351" s="56">
        <v>45962.0</v>
      </c>
      <c r="I351" s="56" t="b">
        <v>0</v>
      </c>
      <c r="J351" s="56"/>
      <c r="K351" s="75"/>
      <c r="L351" s="76" t="str">
        <f t="shared" si="36"/>
        <v/>
      </c>
      <c r="M351" s="75" t="str">
        <f t="shared" si="37"/>
        <v/>
      </c>
      <c r="N351" s="77" t="str">
        <f t="shared" si="38"/>
        <v/>
      </c>
    </row>
    <row r="352">
      <c r="A352" s="74"/>
      <c r="B352" s="52"/>
      <c r="C352" s="52"/>
      <c r="D352" s="52"/>
      <c r="E352" s="52" t="s">
        <v>1294</v>
      </c>
      <c r="F352" s="49" t="s">
        <v>1295</v>
      </c>
      <c r="G352" s="75">
        <v>11.37</v>
      </c>
      <c r="H352" s="56">
        <v>45962.0</v>
      </c>
      <c r="I352" s="56" t="b">
        <v>0</v>
      </c>
      <c r="J352" s="56"/>
      <c r="K352" s="75"/>
      <c r="L352" s="76" t="str">
        <f t="shared" si="36"/>
        <v/>
      </c>
      <c r="M352" s="75" t="str">
        <f t="shared" si="37"/>
        <v/>
      </c>
      <c r="N352" s="77" t="str">
        <f t="shared" si="38"/>
        <v/>
      </c>
    </row>
    <row r="353">
      <c r="A353" s="74"/>
      <c r="B353" s="52"/>
      <c r="C353" s="52"/>
      <c r="D353" s="52"/>
      <c r="E353" s="52" t="s">
        <v>1296</v>
      </c>
      <c r="F353" s="49" t="s">
        <v>1297</v>
      </c>
      <c r="G353" s="75">
        <v>11.37</v>
      </c>
      <c r="H353" s="56">
        <v>45962.0</v>
      </c>
      <c r="I353" s="56" t="b">
        <v>0</v>
      </c>
      <c r="J353" s="56"/>
      <c r="K353" s="75"/>
      <c r="L353" s="76" t="str">
        <f t="shared" si="36"/>
        <v/>
      </c>
      <c r="M353" s="75" t="str">
        <f t="shared" si="37"/>
        <v/>
      </c>
      <c r="N353" s="77" t="str">
        <f t="shared" si="38"/>
        <v/>
      </c>
    </row>
    <row r="354">
      <c r="A354" s="74"/>
      <c r="B354" s="52"/>
      <c r="C354" s="52"/>
      <c r="D354" s="52"/>
      <c r="E354" s="52" t="s">
        <v>1298</v>
      </c>
      <c r="F354" s="49" t="s">
        <v>1299</v>
      </c>
      <c r="G354" s="75">
        <v>11.37</v>
      </c>
      <c r="H354" s="56">
        <v>45962.0</v>
      </c>
      <c r="I354" s="56" t="b">
        <v>0</v>
      </c>
      <c r="J354" s="56"/>
      <c r="K354" s="75"/>
      <c r="L354" s="76" t="str">
        <f t="shared" si="36"/>
        <v/>
      </c>
      <c r="M354" s="75" t="str">
        <f t="shared" si="37"/>
        <v/>
      </c>
      <c r="N354" s="77" t="str">
        <f t="shared" si="38"/>
        <v/>
      </c>
    </row>
    <row r="355">
      <c r="A355" s="74"/>
      <c r="B355" s="52"/>
      <c r="C355" s="52"/>
      <c r="D355" s="52"/>
      <c r="E355" s="52" t="s">
        <v>1300</v>
      </c>
      <c r="F355" s="49" t="s">
        <v>1301</v>
      </c>
      <c r="G355" s="75">
        <v>11.37</v>
      </c>
      <c r="H355" s="56">
        <v>45962.0</v>
      </c>
      <c r="I355" s="56" t="b">
        <v>0</v>
      </c>
      <c r="J355" s="56"/>
      <c r="K355" s="75"/>
      <c r="L355" s="76" t="str">
        <f t="shared" si="36"/>
        <v/>
      </c>
      <c r="M355" s="75" t="str">
        <f t="shared" si="37"/>
        <v/>
      </c>
      <c r="N355" s="77" t="str">
        <f t="shared" si="38"/>
        <v/>
      </c>
    </row>
    <row r="356">
      <c r="A356" s="74"/>
      <c r="B356" s="52"/>
      <c r="C356" s="52"/>
      <c r="D356" s="52"/>
      <c r="E356" s="52" t="s">
        <v>1302</v>
      </c>
      <c r="F356" s="49" t="s">
        <v>1303</v>
      </c>
      <c r="G356" s="75">
        <v>11.37</v>
      </c>
      <c r="H356" s="56">
        <v>45963.0</v>
      </c>
      <c r="I356" s="56" t="b">
        <v>0</v>
      </c>
      <c r="J356" s="56"/>
      <c r="K356" s="75"/>
      <c r="L356" s="76" t="str">
        <f t="shared" si="36"/>
        <v/>
      </c>
      <c r="M356" s="75" t="str">
        <f t="shared" si="37"/>
        <v/>
      </c>
      <c r="N356" s="77" t="str">
        <f t="shared" si="38"/>
        <v/>
      </c>
    </row>
    <row r="357">
      <c r="A357" s="74"/>
      <c r="B357" s="52"/>
      <c r="C357" s="52"/>
      <c r="D357" s="52"/>
      <c r="E357" s="52" t="s">
        <v>1304</v>
      </c>
      <c r="F357" s="49" t="s">
        <v>1305</v>
      </c>
      <c r="G357" s="75">
        <v>11.37</v>
      </c>
      <c r="H357" s="56">
        <v>45963.0</v>
      </c>
      <c r="I357" s="56" t="b">
        <v>0</v>
      </c>
      <c r="J357" s="56"/>
      <c r="K357" s="75"/>
      <c r="L357" s="76" t="str">
        <f t="shared" si="36"/>
        <v/>
      </c>
      <c r="M357" s="75" t="str">
        <f t="shared" si="37"/>
        <v/>
      </c>
      <c r="N357" s="77" t="str">
        <f t="shared" si="38"/>
        <v/>
      </c>
    </row>
    <row r="358">
      <c r="A358" s="74"/>
      <c r="B358" s="52"/>
      <c r="C358" s="52"/>
      <c r="D358" s="52"/>
      <c r="E358" s="52" t="s">
        <v>1306</v>
      </c>
      <c r="F358" s="49" t="s">
        <v>1307</v>
      </c>
      <c r="G358" s="75">
        <v>11.37</v>
      </c>
      <c r="H358" s="56">
        <v>45963.0</v>
      </c>
      <c r="I358" s="56" t="b">
        <v>0</v>
      </c>
      <c r="J358" s="56"/>
      <c r="K358" s="75"/>
      <c r="L358" s="76" t="str">
        <f t="shared" si="36"/>
        <v/>
      </c>
      <c r="M358" s="75" t="str">
        <f t="shared" si="37"/>
        <v/>
      </c>
      <c r="N358" s="77" t="str">
        <f t="shared" si="38"/>
        <v/>
      </c>
    </row>
    <row r="359">
      <c r="A359" s="74"/>
      <c r="B359" s="52"/>
      <c r="C359" s="52"/>
      <c r="D359" s="52"/>
      <c r="E359" s="52" t="s">
        <v>1308</v>
      </c>
      <c r="F359" s="49" t="s">
        <v>1309</v>
      </c>
      <c r="G359" s="75">
        <v>11.37</v>
      </c>
      <c r="H359" s="56">
        <v>45963.0</v>
      </c>
      <c r="I359" s="56" t="b">
        <v>0</v>
      </c>
      <c r="J359" s="56"/>
      <c r="K359" s="75"/>
      <c r="L359" s="76" t="str">
        <f t="shared" si="36"/>
        <v/>
      </c>
      <c r="M359" s="75" t="str">
        <f t="shared" si="37"/>
        <v/>
      </c>
      <c r="N359" s="77" t="str">
        <f t="shared" si="38"/>
        <v/>
      </c>
    </row>
    <row r="360">
      <c r="A360" s="74"/>
      <c r="B360" s="52"/>
      <c r="C360" s="52"/>
      <c r="D360" s="52"/>
      <c r="E360" s="52" t="s">
        <v>1310</v>
      </c>
      <c r="F360" s="49" t="s">
        <v>1311</v>
      </c>
      <c r="G360" s="75">
        <v>11.37</v>
      </c>
      <c r="H360" s="56">
        <v>45963.0</v>
      </c>
      <c r="I360" s="56" t="b">
        <v>0</v>
      </c>
      <c r="J360" s="56"/>
      <c r="K360" s="75"/>
      <c r="L360" s="76" t="str">
        <f t="shared" si="36"/>
        <v/>
      </c>
      <c r="M360" s="75" t="str">
        <f t="shared" si="37"/>
        <v/>
      </c>
      <c r="N360" s="77" t="str">
        <f t="shared" si="38"/>
        <v/>
      </c>
    </row>
    <row r="361">
      <c r="A361" s="74"/>
      <c r="B361" s="52"/>
      <c r="C361" s="52"/>
      <c r="D361" s="52"/>
      <c r="E361" s="52" t="s">
        <v>1312</v>
      </c>
      <c r="F361" s="49" t="s">
        <v>1313</v>
      </c>
      <c r="G361" s="75">
        <v>11.37</v>
      </c>
      <c r="H361" s="56">
        <v>45963.0</v>
      </c>
      <c r="I361" s="56" t="b">
        <v>0</v>
      </c>
      <c r="J361" s="56"/>
      <c r="K361" s="75"/>
      <c r="L361" s="76" t="str">
        <f t="shared" si="36"/>
        <v/>
      </c>
      <c r="M361" s="75" t="str">
        <f t="shared" si="37"/>
        <v/>
      </c>
      <c r="N361" s="77" t="str">
        <f t="shared" si="38"/>
        <v/>
      </c>
    </row>
    <row r="362">
      <c r="A362" s="74"/>
      <c r="B362" s="52"/>
      <c r="C362" s="52"/>
      <c r="D362" s="52"/>
      <c r="E362" s="52" t="s">
        <v>1314</v>
      </c>
      <c r="F362" s="49" t="s">
        <v>1315</v>
      </c>
      <c r="G362" s="75">
        <v>11.37</v>
      </c>
      <c r="H362" s="56">
        <v>45963.0</v>
      </c>
      <c r="I362" s="56" t="b">
        <v>0</v>
      </c>
      <c r="J362" s="56"/>
      <c r="K362" s="75"/>
      <c r="L362" s="76" t="str">
        <f t="shared" si="36"/>
        <v/>
      </c>
      <c r="M362" s="75" t="str">
        <f t="shared" si="37"/>
        <v/>
      </c>
      <c r="N362" s="77" t="str">
        <f t="shared" si="38"/>
        <v/>
      </c>
    </row>
    <row r="363">
      <c r="A363" s="74"/>
      <c r="B363" s="52"/>
      <c r="C363" s="52"/>
      <c r="D363" s="52"/>
      <c r="E363" s="52" t="s">
        <v>1316</v>
      </c>
      <c r="F363" s="49" t="s">
        <v>1317</v>
      </c>
      <c r="G363" s="75">
        <v>11.37</v>
      </c>
      <c r="H363" s="56">
        <v>45963.0</v>
      </c>
      <c r="I363" s="56" t="b">
        <v>0</v>
      </c>
      <c r="J363" s="56"/>
      <c r="K363" s="75"/>
      <c r="L363" s="76" t="str">
        <f t="shared" si="36"/>
        <v/>
      </c>
      <c r="M363" s="75" t="str">
        <f t="shared" si="37"/>
        <v/>
      </c>
      <c r="N363" s="77" t="str">
        <f t="shared" si="38"/>
        <v/>
      </c>
    </row>
    <row r="364">
      <c r="A364" s="74"/>
      <c r="B364" s="52"/>
      <c r="C364" s="52"/>
      <c r="D364" s="52"/>
      <c r="E364" s="52" t="s">
        <v>1318</v>
      </c>
      <c r="F364" s="49" t="s">
        <v>1319</v>
      </c>
      <c r="G364" s="75">
        <v>11.37</v>
      </c>
      <c r="H364" s="56">
        <v>45963.0</v>
      </c>
      <c r="I364" s="56" t="b">
        <v>0</v>
      </c>
      <c r="J364" s="56"/>
      <c r="K364" s="75"/>
      <c r="L364" s="76" t="str">
        <f t="shared" si="36"/>
        <v/>
      </c>
      <c r="M364" s="75" t="str">
        <f t="shared" si="37"/>
        <v/>
      </c>
      <c r="N364" s="77" t="str">
        <f t="shared" si="38"/>
        <v/>
      </c>
    </row>
    <row r="365">
      <c r="A365" s="74"/>
      <c r="B365" s="52"/>
      <c r="C365" s="52"/>
      <c r="D365" s="52"/>
      <c r="E365" s="52" t="s">
        <v>1320</v>
      </c>
      <c r="F365" s="49" t="s">
        <v>1321</v>
      </c>
      <c r="G365" s="75">
        <v>11.37</v>
      </c>
      <c r="H365" s="56">
        <v>45963.0</v>
      </c>
      <c r="I365" s="56" t="b">
        <v>0</v>
      </c>
      <c r="J365" s="56"/>
      <c r="K365" s="75"/>
      <c r="L365" s="76" t="str">
        <f t="shared" si="36"/>
        <v/>
      </c>
      <c r="M365" s="75" t="str">
        <f t="shared" si="37"/>
        <v/>
      </c>
      <c r="N365" s="77" t="str">
        <f t="shared" si="38"/>
        <v/>
      </c>
    </row>
    <row r="366">
      <c r="A366" s="74"/>
      <c r="B366" s="52"/>
      <c r="C366" s="52"/>
      <c r="D366" s="52"/>
      <c r="E366" s="52" t="s">
        <v>1322</v>
      </c>
      <c r="F366" s="49" t="s">
        <v>1323</v>
      </c>
      <c r="G366" s="75">
        <v>11.37</v>
      </c>
      <c r="H366" s="56">
        <v>45963.0</v>
      </c>
      <c r="I366" s="56" t="b">
        <v>0</v>
      </c>
      <c r="J366" s="56"/>
      <c r="K366" s="75"/>
      <c r="L366" s="76" t="str">
        <f t="shared" si="36"/>
        <v/>
      </c>
      <c r="M366" s="75" t="str">
        <f t="shared" si="37"/>
        <v/>
      </c>
      <c r="N366" s="77" t="str">
        <f t="shared" si="38"/>
        <v/>
      </c>
    </row>
    <row r="367">
      <c r="A367" s="74"/>
      <c r="B367" s="52"/>
      <c r="C367" s="52"/>
      <c r="D367" s="52"/>
      <c r="E367" s="52" t="s">
        <v>1324</v>
      </c>
      <c r="F367" s="49" t="s">
        <v>1325</v>
      </c>
      <c r="G367" s="75">
        <v>11.37</v>
      </c>
      <c r="H367" s="56">
        <v>45964.0</v>
      </c>
      <c r="I367" s="56" t="b">
        <v>0</v>
      </c>
      <c r="J367" s="56"/>
      <c r="K367" s="75"/>
      <c r="L367" s="76" t="str">
        <f t="shared" si="36"/>
        <v/>
      </c>
      <c r="M367" s="75" t="str">
        <f t="shared" si="37"/>
        <v/>
      </c>
      <c r="N367" s="77" t="str">
        <f t="shared" si="38"/>
        <v/>
      </c>
    </row>
    <row r="368">
      <c r="A368" s="74"/>
      <c r="B368" s="52"/>
      <c r="C368" s="52"/>
      <c r="D368" s="52"/>
      <c r="E368" s="52" t="s">
        <v>1326</v>
      </c>
      <c r="F368" s="49" t="s">
        <v>1327</v>
      </c>
      <c r="G368" s="75">
        <v>11.37</v>
      </c>
      <c r="H368" s="56">
        <v>45964.0</v>
      </c>
      <c r="I368" s="56" t="b">
        <v>0</v>
      </c>
      <c r="J368" s="56"/>
      <c r="K368" s="75"/>
      <c r="L368" s="76" t="str">
        <f t="shared" si="36"/>
        <v/>
      </c>
      <c r="M368" s="75" t="str">
        <f t="shared" si="37"/>
        <v/>
      </c>
      <c r="N368" s="77" t="str">
        <f t="shared" si="38"/>
        <v/>
      </c>
    </row>
    <row r="369">
      <c r="A369" s="78"/>
      <c r="B369" s="79"/>
      <c r="C369" s="79"/>
      <c r="D369" s="79"/>
      <c r="E369" s="79"/>
      <c r="F369" s="80"/>
      <c r="G369" s="80"/>
      <c r="H369" s="81"/>
      <c r="I369" s="81" t="b">
        <v>0</v>
      </c>
      <c r="J369" s="81"/>
      <c r="K369" s="80"/>
      <c r="L369" s="82"/>
      <c r="M369" s="80"/>
      <c r="N369" s="83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</row>
    <row r="370">
      <c r="A370" s="74"/>
      <c r="B370" s="52"/>
      <c r="C370" s="52"/>
      <c r="D370" s="52"/>
      <c r="E370" s="52" t="s">
        <v>1328</v>
      </c>
      <c r="F370" s="75"/>
      <c r="G370" s="75">
        <f>SUM(G2:G368)</f>
        <v>2290.68</v>
      </c>
      <c r="H370" s="56"/>
      <c r="I370" s="56" t="b">
        <v>0</v>
      </c>
      <c r="J370" s="56"/>
      <c r="K370" s="75"/>
      <c r="L370" s="76"/>
      <c r="M370" s="75"/>
      <c r="N370" s="77"/>
    </row>
    <row r="371">
      <c r="I371" s="91" t="b">
        <v>0</v>
      </c>
    </row>
    <row r="372">
      <c r="I372" s="91" t="b">
        <v>0</v>
      </c>
    </row>
    <row r="373">
      <c r="I373" s="91" t="b">
        <v>0</v>
      </c>
    </row>
    <row r="374">
      <c r="I374" s="91" t="b">
        <v>0</v>
      </c>
    </row>
    <row r="375">
      <c r="I375" s="91" t="b">
        <v>0</v>
      </c>
    </row>
    <row r="376">
      <c r="I376" s="91" t="b">
        <v>0</v>
      </c>
    </row>
    <row r="377">
      <c r="I377" s="91" t="b">
        <v>0</v>
      </c>
    </row>
    <row r="378">
      <c r="I378" s="91" t="b">
        <v>0</v>
      </c>
    </row>
    <row r="379">
      <c r="I379" s="91" t="b">
        <v>0</v>
      </c>
    </row>
    <row r="380">
      <c r="I380" s="91" t="b">
        <v>0</v>
      </c>
    </row>
    <row r="381">
      <c r="I381" s="91" t="b">
        <v>0</v>
      </c>
    </row>
    <row r="382">
      <c r="I382" s="91" t="b">
        <v>0</v>
      </c>
    </row>
    <row r="383">
      <c r="I383" s="91" t="b">
        <v>0</v>
      </c>
    </row>
    <row r="384">
      <c r="I384" s="91" t="b">
        <v>0</v>
      </c>
    </row>
    <row r="385">
      <c r="I385" s="91" t="b">
        <v>0</v>
      </c>
    </row>
    <row r="386">
      <c r="I386" s="91" t="b">
        <v>0</v>
      </c>
    </row>
    <row r="387">
      <c r="I387" s="91" t="b">
        <v>0</v>
      </c>
    </row>
    <row r="388">
      <c r="I388" s="91" t="b">
        <v>0</v>
      </c>
    </row>
    <row r="389">
      <c r="I389" s="91" t="b">
        <v>0</v>
      </c>
    </row>
    <row r="390">
      <c r="I390" s="91" t="b">
        <v>0</v>
      </c>
    </row>
    <row r="391">
      <c r="I391" s="91" t="b">
        <v>0</v>
      </c>
    </row>
    <row r="392">
      <c r="I392" s="91" t="b">
        <v>0</v>
      </c>
    </row>
    <row r="393">
      <c r="I393" s="91" t="b">
        <v>0</v>
      </c>
    </row>
    <row r="394">
      <c r="I394" s="91" t="b">
        <v>0</v>
      </c>
    </row>
    <row r="395">
      <c r="I395" s="91" t="b">
        <v>0</v>
      </c>
    </row>
    <row r="396">
      <c r="I396" s="91" t="b">
        <v>0</v>
      </c>
    </row>
    <row r="397">
      <c r="I397" s="91" t="b">
        <v>0</v>
      </c>
    </row>
    <row r="398">
      <c r="I398" s="91" t="b">
        <v>0</v>
      </c>
    </row>
    <row r="399">
      <c r="I399" s="91" t="b">
        <v>0</v>
      </c>
    </row>
    <row r="400">
      <c r="I400" s="91" t="b">
        <v>0</v>
      </c>
    </row>
    <row r="401">
      <c r="I401" s="91" t="b">
        <v>0</v>
      </c>
    </row>
    <row r="402">
      <c r="I402" s="91" t="b">
        <v>0</v>
      </c>
    </row>
    <row r="403">
      <c r="I403" s="91" t="b">
        <v>0</v>
      </c>
    </row>
    <row r="404">
      <c r="I404" s="91" t="b">
        <v>0</v>
      </c>
    </row>
    <row r="405">
      <c r="I405" s="91" t="b">
        <v>0</v>
      </c>
    </row>
    <row r="406">
      <c r="I406" s="91" t="b">
        <v>0</v>
      </c>
    </row>
    <row r="407">
      <c r="I407" s="91" t="b">
        <v>0</v>
      </c>
    </row>
    <row r="408">
      <c r="I408" s="91" t="b">
        <v>0</v>
      </c>
    </row>
    <row r="409">
      <c r="I409" s="91" t="b">
        <v>0</v>
      </c>
    </row>
    <row r="410">
      <c r="I410" s="91" t="b">
        <v>0</v>
      </c>
    </row>
    <row r="411">
      <c r="I411" s="91" t="b">
        <v>0</v>
      </c>
    </row>
    <row r="412">
      <c r="I412" s="91" t="b">
        <v>0</v>
      </c>
    </row>
    <row r="413">
      <c r="I413" s="91" t="b">
        <v>0</v>
      </c>
    </row>
    <row r="414">
      <c r="I414" s="91" t="b">
        <v>0</v>
      </c>
    </row>
    <row r="415">
      <c r="I415" s="91" t="b">
        <v>0</v>
      </c>
    </row>
    <row r="416">
      <c r="I416" s="91" t="b">
        <v>0</v>
      </c>
    </row>
    <row r="417">
      <c r="I417" s="91" t="b">
        <v>0</v>
      </c>
    </row>
    <row r="418">
      <c r="I418" s="91" t="b">
        <v>0</v>
      </c>
    </row>
    <row r="419">
      <c r="I419" s="91" t="b">
        <v>0</v>
      </c>
    </row>
    <row r="420">
      <c r="I420" s="91" t="b">
        <v>0</v>
      </c>
    </row>
    <row r="421">
      <c r="I421" s="91" t="b">
        <v>0</v>
      </c>
    </row>
    <row r="422">
      <c r="I422" s="91" t="b">
        <v>0</v>
      </c>
    </row>
    <row r="423">
      <c r="I423" s="91" t="b">
        <v>0</v>
      </c>
    </row>
    <row r="424">
      <c r="I424" s="91" t="b">
        <v>0</v>
      </c>
    </row>
    <row r="425">
      <c r="I425" s="91" t="b">
        <v>0</v>
      </c>
    </row>
    <row r="426">
      <c r="I426" s="91" t="b">
        <v>0</v>
      </c>
    </row>
    <row r="427">
      <c r="I427" s="91" t="b">
        <v>0</v>
      </c>
    </row>
    <row r="428">
      <c r="I428" s="91" t="b">
        <v>0</v>
      </c>
    </row>
    <row r="429">
      <c r="I429" s="91" t="b">
        <v>0</v>
      </c>
    </row>
    <row r="430">
      <c r="I430" s="91" t="b">
        <v>0</v>
      </c>
    </row>
    <row r="431">
      <c r="I431" s="91" t="b">
        <v>0</v>
      </c>
    </row>
    <row r="432">
      <c r="I432" s="91" t="b">
        <v>0</v>
      </c>
    </row>
    <row r="433">
      <c r="I433" s="91" t="b">
        <v>0</v>
      </c>
    </row>
    <row r="434">
      <c r="I434" s="91" t="b">
        <v>0</v>
      </c>
    </row>
    <row r="435">
      <c r="I435" s="91" t="b">
        <v>0</v>
      </c>
    </row>
    <row r="436">
      <c r="I436" s="91" t="b">
        <v>0</v>
      </c>
    </row>
    <row r="437">
      <c r="I437" s="91" t="b">
        <v>0</v>
      </c>
    </row>
    <row r="438">
      <c r="I438" s="91" t="b">
        <v>0</v>
      </c>
    </row>
    <row r="439">
      <c r="I439" s="91" t="b">
        <v>0</v>
      </c>
    </row>
    <row r="440">
      <c r="I440" s="91" t="b">
        <v>0</v>
      </c>
    </row>
    <row r="441">
      <c r="I441" s="91" t="b">
        <v>0</v>
      </c>
    </row>
    <row r="442">
      <c r="I442" s="91" t="b">
        <v>0</v>
      </c>
    </row>
    <row r="443">
      <c r="I443" s="91" t="b">
        <v>0</v>
      </c>
    </row>
    <row r="444">
      <c r="I444" s="91" t="b">
        <v>0</v>
      </c>
    </row>
    <row r="445">
      <c r="I445" s="91" t="b">
        <v>0</v>
      </c>
    </row>
    <row r="446">
      <c r="I446" s="91" t="b">
        <v>0</v>
      </c>
    </row>
    <row r="447">
      <c r="I447" s="91" t="b">
        <v>0</v>
      </c>
    </row>
    <row r="448">
      <c r="I448" s="91" t="b">
        <v>0</v>
      </c>
    </row>
    <row r="449">
      <c r="I449" s="91" t="b">
        <v>0</v>
      </c>
    </row>
    <row r="450">
      <c r="I450" s="91" t="b">
        <v>0</v>
      </c>
    </row>
    <row r="451">
      <c r="I451" s="91" t="b">
        <v>0</v>
      </c>
    </row>
    <row r="452">
      <c r="I452" s="91" t="b">
        <v>0</v>
      </c>
    </row>
    <row r="453">
      <c r="I453" s="91" t="b">
        <v>0</v>
      </c>
    </row>
    <row r="454">
      <c r="I454" s="91" t="b">
        <v>0</v>
      </c>
    </row>
    <row r="455">
      <c r="I455" s="91" t="b">
        <v>0</v>
      </c>
    </row>
    <row r="456">
      <c r="I456" s="91" t="b">
        <v>0</v>
      </c>
    </row>
    <row r="457">
      <c r="I457" s="91" t="b">
        <v>0</v>
      </c>
    </row>
    <row r="458">
      <c r="I458" s="91" t="b">
        <v>0</v>
      </c>
    </row>
    <row r="459">
      <c r="I459" s="91" t="b">
        <v>0</v>
      </c>
    </row>
    <row r="460">
      <c r="I460" s="91" t="b">
        <v>0</v>
      </c>
    </row>
    <row r="461">
      <c r="I461" s="91" t="b">
        <v>0</v>
      </c>
    </row>
    <row r="462">
      <c r="I462" s="91" t="b">
        <v>0</v>
      </c>
    </row>
    <row r="463">
      <c r="I463" s="91" t="b">
        <v>0</v>
      </c>
    </row>
    <row r="464">
      <c r="I464" s="91" t="b">
        <v>0</v>
      </c>
    </row>
    <row r="465">
      <c r="I465" s="91" t="b">
        <v>0</v>
      </c>
    </row>
    <row r="466">
      <c r="I466" s="91" t="b">
        <v>0</v>
      </c>
    </row>
    <row r="467">
      <c r="I467" s="91" t="b">
        <v>0</v>
      </c>
    </row>
    <row r="468">
      <c r="I468" s="91" t="b">
        <v>0</v>
      </c>
    </row>
    <row r="469">
      <c r="I469" s="91" t="b">
        <v>0</v>
      </c>
    </row>
    <row r="470">
      <c r="I470" s="91" t="b">
        <v>0</v>
      </c>
    </row>
    <row r="471">
      <c r="I471" s="91" t="b">
        <v>0</v>
      </c>
    </row>
    <row r="472">
      <c r="I472" s="91" t="b">
        <v>0</v>
      </c>
    </row>
    <row r="473">
      <c r="I473" s="91" t="b">
        <v>0</v>
      </c>
    </row>
    <row r="474">
      <c r="I474" s="91" t="b">
        <v>0</v>
      </c>
    </row>
    <row r="475">
      <c r="I475" s="91" t="b">
        <v>0</v>
      </c>
    </row>
    <row r="476">
      <c r="I476" s="91" t="b">
        <v>0</v>
      </c>
    </row>
    <row r="477">
      <c r="I477" s="91" t="b">
        <v>0</v>
      </c>
    </row>
    <row r="478">
      <c r="I478" s="91" t="b">
        <v>0</v>
      </c>
    </row>
    <row r="479">
      <c r="I479" s="91" t="b">
        <v>0</v>
      </c>
    </row>
    <row r="480">
      <c r="I480" s="91" t="b">
        <v>0</v>
      </c>
    </row>
    <row r="481">
      <c r="I481" s="91" t="b">
        <v>0</v>
      </c>
    </row>
    <row r="482">
      <c r="I482" s="91" t="b">
        <v>0</v>
      </c>
    </row>
    <row r="483">
      <c r="I483" s="91" t="b">
        <v>0</v>
      </c>
    </row>
    <row r="484">
      <c r="I484" s="91" t="b">
        <v>0</v>
      </c>
    </row>
    <row r="485">
      <c r="I485" s="91" t="b">
        <v>0</v>
      </c>
    </row>
    <row r="486">
      <c r="I486" s="91" t="b">
        <v>0</v>
      </c>
    </row>
    <row r="487">
      <c r="I487" s="91" t="b">
        <v>0</v>
      </c>
    </row>
    <row r="488">
      <c r="I488" s="91" t="b">
        <v>0</v>
      </c>
    </row>
    <row r="489">
      <c r="I489" s="91" t="b">
        <v>0</v>
      </c>
    </row>
    <row r="490">
      <c r="I490" s="91" t="b">
        <v>0</v>
      </c>
    </row>
    <row r="491">
      <c r="I491" s="91" t="b">
        <v>0</v>
      </c>
    </row>
    <row r="492">
      <c r="I492" s="91" t="b">
        <v>0</v>
      </c>
    </row>
    <row r="493">
      <c r="I493" s="91" t="b">
        <v>0</v>
      </c>
    </row>
    <row r="494">
      <c r="I494" s="91" t="b">
        <v>0</v>
      </c>
    </row>
    <row r="495">
      <c r="I495" s="91" t="b">
        <v>0</v>
      </c>
    </row>
    <row r="496">
      <c r="I496" s="91" t="b">
        <v>0</v>
      </c>
    </row>
    <row r="497">
      <c r="I497" s="91" t="b">
        <v>0</v>
      </c>
    </row>
    <row r="498">
      <c r="I498" s="91" t="b">
        <v>0</v>
      </c>
    </row>
    <row r="499">
      <c r="I499" s="91" t="b">
        <v>0</v>
      </c>
    </row>
    <row r="500">
      <c r="I500" s="91" t="b">
        <v>0</v>
      </c>
    </row>
    <row r="501">
      <c r="I501" s="91" t="b">
        <v>0</v>
      </c>
    </row>
    <row r="502">
      <c r="I502" s="91" t="b">
        <v>0</v>
      </c>
    </row>
    <row r="503">
      <c r="I503" s="91" t="b">
        <v>0</v>
      </c>
    </row>
    <row r="504">
      <c r="I504" s="91" t="b">
        <v>0</v>
      </c>
    </row>
    <row r="505">
      <c r="I505" s="91" t="b">
        <v>0</v>
      </c>
    </row>
    <row r="506">
      <c r="I506" s="91" t="b">
        <v>0</v>
      </c>
    </row>
    <row r="507">
      <c r="I507" s="91" t="b">
        <v>0</v>
      </c>
    </row>
    <row r="508">
      <c r="I508" s="91" t="b">
        <v>0</v>
      </c>
    </row>
    <row r="509">
      <c r="I509" s="91" t="b">
        <v>0</v>
      </c>
    </row>
    <row r="510">
      <c r="I510" s="91" t="b">
        <v>0</v>
      </c>
    </row>
    <row r="511">
      <c r="I511" s="91" t="b">
        <v>0</v>
      </c>
    </row>
    <row r="512">
      <c r="I512" s="91" t="b">
        <v>0</v>
      </c>
    </row>
    <row r="513">
      <c r="I513" s="91" t="b">
        <v>0</v>
      </c>
    </row>
    <row r="514">
      <c r="I514" s="91" t="b">
        <v>0</v>
      </c>
    </row>
    <row r="515">
      <c r="I515" s="91" t="b">
        <v>0</v>
      </c>
    </row>
    <row r="516">
      <c r="I516" s="91" t="b">
        <v>0</v>
      </c>
    </row>
    <row r="517">
      <c r="I517" s="91" t="b">
        <v>0</v>
      </c>
    </row>
    <row r="518">
      <c r="I518" s="91" t="b">
        <v>0</v>
      </c>
    </row>
    <row r="519">
      <c r="I519" s="91" t="b">
        <v>0</v>
      </c>
    </row>
    <row r="520">
      <c r="I520" s="91" t="b">
        <v>0</v>
      </c>
    </row>
    <row r="521">
      <c r="I521" s="91" t="b">
        <v>0</v>
      </c>
    </row>
    <row r="522">
      <c r="I522" s="91" t="b">
        <v>0</v>
      </c>
    </row>
    <row r="523">
      <c r="I523" s="91" t="b">
        <v>0</v>
      </c>
    </row>
    <row r="524">
      <c r="I524" s="91" t="b">
        <v>0</v>
      </c>
    </row>
    <row r="525">
      <c r="I525" s="91" t="b">
        <v>0</v>
      </c>
    </row>
    <row r="526">
      <c r="I526" s="91" t="b">
        <v>0</v>
      </c>
    </row>
    <row r="527">
      <c r="I527" s="91" t="b">
        <v>0</v>
      </c>
    </row>
    <row r="528">
      <c r="I528" s="91" t="b">
        <v>0</v>
      </c>
    </row>
    <row r="529">
      <c r="I529" s="91" t="b">
        <v>0</v>
      </c>
    </row>
    <row r="530">
      <c r="I530" s="91" t="b">
        <v>0</v>
      </c>
    </row>
    <row r="531">
      <c r="I531" s="91" t="b">
        <v>0</v>
      </c>
    </row>
    <row r="532">
      <c r="I532" s="91" t="b">
        <v>0</v>
      </c>
    </row>
    <row r="533">
      <c r="I533" s="91" t="b">
        <v>0</v>
      </c>
    </row>
    <row r="534">
      <c r="I534" s="91" t="b">
        <v>0</v>
      </c>
    </row>
    <row r="535">
      <c r="I535" s="91" t="b">
        <v>0</v>
      </c>
    </row>
    <row r="536">
      <c r="I536" s="91" t="b">
        <v>0</v>
      </c>
    </row>
    <row r="537">
      <c r="I537" s="91" t="b">
        <v>0</v>
      </c>
    </row>
    <row r="538">
      <c r="I538" s="91" t="b">
        <v>0</v>
      </c>
    </row>
    <row r="539">
      <c r="I539" s="91" t="b">
        <v>0</v>
      </c>
    </row>
    <row r="540">
      <c r="I540" s="91" t="b">
        <v>0</v>
      </c>
    </row>
    <row r="541">
      <c r="I541" s="91" t="b">
        <v>0</v>
      </c>
    </row>
    <row r="542">
      <c r="I542" s="91" t="b">
        <v>0</v>
      </c>
    </row>
    <row r="543">
      <c r="I543" s="91" t="b">
        <v>0</v>
      </c>
    </row>
    <row r="544">
      <c r="I544" s="91" t="b">
        <v>0</v>
      </c>
    </row>
    <row r="545">
      <c r="I545" s="91" t="b">
        <v>0</v>
      </c>
    </row>
    <row r="546">
      <c r="I546" s="91" t="b">
        <v>0</v>
      </c>
    </row>
    <row r="547">
      <c r="I547" s="91" t="b">
        <v>0</v>
      </c>
    </row>
    <row r="548">
      <c r="I548" s="91" t="b">
        <v>0</v>
      </c>
    </row>
    <row r="549">
      <c r="I549" s="91" t="b">
        <v>0</v>
      </c>
    </row>
    <row r="550">
      <c r="I550" s="91" t="b">
        <v>0</v>
      </c>
    </row>
    <row r="551">
      <c r="I551" s="91" t="b">
        <v>0</v>
      </c>
    </row>
    <row r="552">
      <c r="I552" s="91" t="b">
        <v>0</v>
      </c>
    </row>
    <row r="553">
      <c r="I553" s="91" t="b">
        <v>0</v>
      </c>
    </row>
    <row r="554">
      <c r="I554" s="91" t="b">
        <v>0</v>
      </c>
    </row>
    <row r="555">
      <c r="I555" s="91" t="b">
        <v>0</v>
      </c>
    </row>
    <row r="556">
      <c r="I556" s="91" t="b">
        <v>0</v>
      </c>
    </row>
    <row r="557">
      <c r="I557" s="91" t="b">
        <v>0</v>
      </c>
    </row>
    <row r="558">
      <c r="I558" s="91" t="b">
        <v>0</v>
      </c>
    </row>
    <row r="559">
      <c r="I559" s="91" t="b">
        <v>0</v>
      </c>
    </row>
    <row r="560">
      <c r="I560" s="91" t="b">
        <v>0</v>
      </c>
    </row>
    <row r="561">
      <c r="I561" s="91" t="b">
        <v>0</v>
      </c>
    </row>
    <row r="562">
      <c r="I562" s="91" t="b">
        <v>0</v>
      </c>
    </row>
    <row r="563">
      <c r="I563" s="91" t="b">
        <v>0</v>
      </c>
    </row>
    <row r="564">
      <c r="I564" s="91" t="b">
        <v>0</v>
      </c>
    </row>
    <row r="565">
      <c r="I565" s="91" t="b">
        <v>0</v>
      </c>
    </row>
    <row r="566">
      <c r="I566" s="91" t="b">
        <v>0</v>
      </c>
    </row>
    <row r="567">
      <c r="I567" s="91" t="b">
        <v>0</v>
      </c>
    </row>
    <row r="568">
      <c r="I568" s="91" t="b">
        <v>0</v>
      </c>
    </row>
    <row r="569">
      <c r="I569" s="91" t="b">
        <v>0</v>
      </c>
    </row>
    <row r="570">
      <c r="I570" s="91" t="b">
        <v>0</v>
      </c>
    </row>
    <row r="571">
      <c r="I571" s="91" t="b">
        <v>0</v>
      </c>
    </row>
    <row r="572">
      <c r="I572" s="91" t="b">
        <v>0</v>
      </c>
    </row>
    <row r="573">
      <c r="I573" s="91" t="b">
        <v>0</v>
      </c>
    </row>
    <row r="574">
      <c r="I574" s="91" t="b">
        <v>0</v>
      </c>
    </row>
    <row r="575">
      <c r="I575" s="91" t="b">
        <v>0</v>
      </c>
    </row>
    <row r="576">
      <c r="I576" s="91" t="b">
        <v>0</v>
      </c>
    </row>
    <row r="577">
      <c r="I577" s="91" t="b">
        <v>0</v>
      </c>
    </row>
    <row r="578">
      <c r="I578" s="91" t="b">
        <v>0</v>
      </c>
    </row>
    <row r="579">
      <c r="I579" s="91" t="b">
        <v>0</v>
      </c>
    </row>
    <row r="580">
      <c r="I580" s="91" t="b">
        <v>0</v>
      </c>
    </row>
    <row r="581">
      <c r="I581" s="91" t="b">
        <v>0</v>
      </c>
    </row>
    <row r="582">
      <c r="I582" s="91" t="b">
        <v>0</v>
      </c>
    </row>
    <row r="583">
      <c r="I583" s="91" t="b">
        <v>0</v>
      </c>
    </row>
    <row r="584">
      <c r="I584" s="91" t="b">
        <v>0</v>
      </c>
    </row>
    <row r="585">
      <c r="I585" s="91" t="b">
        <v>0</v>
      </c>
    </row>
    <row r="586">
      <c r="I586" s="91" t="b">
        <v>0</v>
      </c>
    </row>
    <row r="587">
      <c r="I587" s="91" t="b">
        <v>0</v>
      </c>
    </row>
    <row r="588">
      <c r="I588" s="91" t="b">
        <v>0</v>
      </c>
    </row>
    <row r="589">
      <c r="I589" s="91" t="b">
        <v>0</v>
      </c>
    </row>
    <row r="590">
      <c r="I590" s="91" t="b">
        <v>0</v>
      </c>
    </row>
    <row r="591">
      <c r="I591" s="91" t="b">
        <v>0</v>
      </c>
    </row>
    <row r="592">
      <c r="I592" s="91" t="b">
        <v>0</v>
      </c>
    </row>
    <row r="593">
      <c r="I593" s="91" t="b">
        <v>0</v>
      </c>
    </row>
    <row r="594">
      <c r="I594" s="91" t="b">
        <v>0</v>
      </c>
    </row>
    <row r="595">
      <c r="I595" s="91" t="b">
        <v>0</v>
      </c>
    </row>
    <row r="596">
      <c r="I596" s="91" t="b">
        <v>0</v>
      </c>
    </row>
    <row r="597">
      <c r="I597" s="91" t="b">
        <v>0</v>
      </c>
    </row>
    <row r="598">
      <c r="I598" s="91" t="b">
        <v>0</v>
      </c>
    </row>
    <row r="599">
      <c r="I599" s="91" t="b">
        <v>0</v>
      </c>
    </row>
    <row r="600">
      <c r="I600" s="91" t="b">
        <v>0</v>
      </c>
    </row>
    <row r="601">
      <c r="I601" s="91" t="b">
        <v>0</v>
      </c>
    </row>
    <row r="602">
      <c r="I602" s="91" t="b">
        <v>0</v>
      </c>
    </row>
    <row r="603">
      <c r="I603" s="91" t="b">
        <v>0</v>
      </c>
    </row>
    <row r="604">
      <c r="I604" s="91" t="b">
        <v>0</v>
      </c>
    </row>
    <row r="605">
      <c r="I605" s="91" t="b">
        <v>0</v>
      </c>
    </row>
    <row r="606">
      <c r="I606" s="91" t="b">
        <v>0</v>
      </c>
    </row>
    <row r="607">
      <c r="I607" s="91" t="b">
        <v>0</v>
      </c>
    </row>
    <row r="608">
      <c r="I608" s="91" t="b">
        <v>0</v>
      </c>
    </row>
    <row r="609">
      <c r="I609" s="91" t="b">
        <v>0</v>
      </c>
    </row>
    <row r="610">
      <c r="I610" s="91" t="b">
        <v>0</v>
      </c>
    </row>
    <row r="611">
      <c r="I611" s="91" t="b">
        <v>0</v>
      </c>
    </row>
    <row r="612">
      <c r="I612" s="91" t="b">
        <v>0</v>
      </c>
    </row>
    <row r="613">
      <c r="I613" s="91" t="b">
        <v>0</v>
      </c>
    </row>
    <row r="614">
      <c r="I614" s="91" t="b">
        <v>0</v>
      </c>
    </row>
    <row r="615">
      <c r="I615" s="91" t="b">
        <v>0</v>
      </c>
    </row>
    <row r="616">
      <c r="I616" s="91" t="b">
        <v>0</v>
      </c>
    </row>
    <row r="617">
      <c r="I617" s="91" t="b">
        <v>0</v>
      </c>
    </row>
    <row r="618">
      <c r="I618" s="91" t="b">
        <v>0</v>
      </c>
    </row>
    <row r="619">
      <c r="I619" s="91" t="b">
        <v>0</v>
      </c>
    </row>
    <row r="620">
      <c r="I620" s="91" t="b">
        <v>0</v>
      </c>
    </row>
    <row r="621">
      <c r="I621" s="91" t="b">
        <v>0</v>
      </c>
    </row>
    <row r="622">
      <c r="I622" s="91" t="b">
        <v>0</v>
      </c>
    </row>
    <row r="623">
      <c r="I623" s="91" t="b">
        <v>0</v>
      </c>
    </row>
    <row r="624">
      <c r="I624" s="91" t="b">
        <v>0</v>
      </c>
    </row>
    <row r="625">
      <c r="I625" s="91" t="b">
        <v>0</v>
      </c>
    </row>
    <row r="626">
      <c r="I626" s="91" t="b">
        <v>0</v>
      </c>
    </row>
    <row r="627">
      <c r="I627" s="91" t="b">
        <v>0</v>
      </c>
    </row>
    <row r="628">
      <c r="I628" s="91" t="b">
        <v>0</v>
      </c>
    </row>
    <row r="629">
      <c r="I629" s="91" t="b">
        <v>0</v>
      </c>
    </row>
    <row r="630">
      <c r="I630" s="91" t="b">
        <v>0</v>
      </c>
    </row>
    <row r="631">
      <c r="I631" s="91" t="b">
        <v>0</v>
      </c>
    </row>
    <row r="632">
      <c r="I632" s="91" t="b">
        <v>0</v>
      </c>
    </row>
    <row r="633">
      <c r="I633" s="91" t="b">
        <v>0</v>
      </c>
    </row>
    <row r="634">
      <c r="I634" s="91" t="b">
        <v>0</v>
      </c>
    </row>
    <row r="635">
      <c r="I635" s="91" t="b">
        <v>0</v>
      </c>
    </row>
    <row r="636">
      <c r="I636" s="91" t="b">
        <v>0</v>
      </c>
    </row>
    <row r="637">
      <c r="I637" s="91" t="b">
        <v>0</v>
      </c>
    </row>
    <row r="638">
      <c r="I638" s="91" t="b">
        <v>0</v>
      </c>
    </row>
    <row r="639">
      <c r="I639" s="91" t="b">
        <v>0</v>
      </c>
    </row>
    <row r="640">
      <c r="I640" s="91" t="b">
        <v>0</v>
      </c>
    </row>
    <row r="641">
      <c r="I641" s="91" t="b">
        <v>0</v>
      </c>
    </row>
    <row r="642">
      <c r="I642" s="91" t="b">
        <v>0</v>
      </c>
    </row>
    <row r="643">
      <c r="I643" s="91" t="b">
        <v>0</v>
      </c>
    </row>
    <row r="644">
      <c r="I644" s="91" t="b">
        <v>0</v>
      </c>
    </row>
    <row r="645">
      <c r="I645" s="91" t="b">
        <v>0</v>
      </c>
    </row>
    <row r="646">
      <c r="I646" s="91" t="b">
        <v>0</v>
      </c>
    </row>
    <row r="647">
      <c r="I647" s="91" t="b">
        <v>0</v>
      </c>
    </row>
    <row r="648">
      <c r="I648" s="91" t="b">
        <v>0</v>
      </c>
    </row>
    <row r="649">
      <c r="I649" s="91" t="b">
        <v>0</v>
      </c>
    </row>
    <row r="650">
      <c r="I650" s="91" t="b">
        <v>0</v>
      </c>
    </row>
    <row r="651">
      <c r="I651" s="91" t="b">
        <v>0</v>
      </c>
    </row>
    <row r="652">
      <c r="I652" s="91" t="b">
        <v>0</v>
      </c>
    </row>
    <row r="653">
      <c r="I653" s="91" t="b">
        <v>0</v>
      </c>
    </row>
    <row r="654">
      <c r="I654" s="91" t="b">
        <v>0</v>
      </c>
    </row>
    <row r="655">
      <c r="I655" s="91" t="b">
        <v>0</v>
      </c>
    </row>
    <row r="656">
      <c r="I656" s="91" t="b">
        <v>0</v>
      </c>
    </row>
    <row r="657">
      <c r="I657" s="91" t="b">
        <v>0</v>
      </c>
    </row>
    <row r="658">
      <c r="I658" s="91" t="b">
        <v>0</v>
      </c>
    </row>
    <row r="659">
      <c r="I659" s="91" t="b">
        <v>0</v>
      </c>
    </row>
    <row r="660">
      <c r="I660" s="91" t="b">
        <v>0</v>
      </c>
    </row>
    <row r="661">
      <c r="I661" s="91" t="b">
        <v>0</v>
      </c>
    </row>
    <row r="662">
      <c r="I662" s="91" t="b">
        <v>0</v>
      </c>
    </row>
    <row r="663">
      <c r="I663" s="91" t="b">
        <v>0</v>
      </c>
    </row>
    <row r="664">
      <c r="I664" s="91" t="b">
        <v>0</v>
      </c>
    </row>
    <row r="665">
      <c r="I665" s="91" t="b">
        <v>0</v>
      </c>
    </row>
    <row r="666">
      <c r="I666" s="91" t="b">
        <v>0</v>
      </c>
    </row>
    <row r="667">
      <c r="I667" s="91" t="b">
        <v>0</v>
      </c>
    </row>
    <row r="668">
      <c r="I668" s="91" t="b">
        <v>0</v>
      </c>
    </row>
    <row r="669">
      <c r="I669" s="91" t="b">
        <v>0</v>
      </c>
    </row>
    <row r="670">
      <c r="I670" s="91" t="b">
        <v>0</v>
      </c>
    </row>
    <row r="671">
      <c r="I671" s="91" t="b">
        <v>0</v>
      </c>
    </row>
    <row r="672">
      <c r="I672" s="91" t="b">
        <v>0</v>
      </c>
    </row>
    <row r="673">
      <c r="I673" s="91" t="b">
        <v>0</v>
      </c>
    </row>
    <row r="674">
      <c r="I674" s="91" t="b">
        <v>0</v>
      </c>
    </row>
    <row r="675">
      <c r="I675" s="91" t="b">
        <v>0</v>
      </c>
    </row>
    <row r="676">
      <c r="I676" s="91" t="b">
        <v>0</v>
      </c>
    </row>
    <row r="677">
      <c r="I677" s="91" t="b">
        <v>0</v>
      </c>
    </row>
    <row r="678">
      <c r="I678" s="91" t="b">
        <v>0</v>
      </c>
    </row>
    <row r="679">
      <c r="I679" s="91" t="b">
        <v>0</v>
      </c>
    </row>
    <row r="680">
      <c r="I680" s="91" t="b">
        <v>0</v>
      </c>
    </row>
    <row r="681">
      <c r="I681" s="91" t="b">
        <v>0</v>
      </c>
    </row>
    <row r="682">
      <c r="I682" s="91" t="b">
        <v>0</v>
      </c>
    </row>
    <row r="683">
      <c r="I683" s="91" t="b">
        <v>0</v>
      </c>
    </row>
    <row r="684">
      <c r="I684" s="91" t="b">
        <v>0</v>
      </c>
    </row>
    <row r="685">
      <c r="I685" s="91" t="b">
        <v>0</v>
      </c>
    </row>
    <row r="686">
      <c r="I686" s="91" t="b">
        <v>0</v>
      </c>
    </row>
    <row r="687">
      <c r="I687" s="91" t="b">
        <v>0</v>
      </c>
    </row>
    <row r="688">
      <c r="I688" s="91" t="b">
        <v>0</v>
      </c>
    </row>
    <row r="689">
      <c r="I689" s="91" t="b">
        <v>0</v>
      </c>
    </row>
    <row r="690">
      <c r="I690" s="91" t="b">
        <v>0</v>
      </c>
    </row>
    <row r="691">
      <c r="I691" s="91" t="b">
        <v>0</v>
      </c>
    </row>
    <row r="692">
      <c r="I692" s="91" t="b">
        <v>0</v>
      </c>
    </row>
    <row r="693">
      <c r="I693" s="91" t="b">
        <v>0</v>
      </c>
    </row>
    <row r="694">
      <c r="I694" s="91" t="b">
        <v>0</v>
      </c>
    </row>
    <row r="695">
      <c r="I695" s="91" t="b">
        <v>0</v>
      </c>
    </row>
    <row r="696">
      <c r="I696" s="91" t="b">
        <v>0</v>
      </c>
    </row>
    <row r="697">
      <c r="I697" s="91" t="b">
        <v>0</v>
      </c>
    </row>
    <row r="698">
      <c r="I698" s="91" t="b">
        <v>0</v>
      </c>
    </row>
    <row r="699">
      <c r="I699" s="91" t="b">
        <v>0</v>
      </c>
    </row>
    <row r="700">
      <c r="I700" s="91" t="b">
        <v>0</v>
      </c>
    </row>
    <row r="701">
      <c r="I701" s="91" t="b">
        <v>0</v>
      </c>
    </row>
    <row r="702">
      <c r="I702" s="91" t="b">
        <v>0</v>
      </c>
    </row>
    <row r="703">
      <c r="I703" s="91" t="b">
        <v>0</v>
      </c>
    </row>
    <row r="704">
      <c r="I704" s="91" t="b">
        <v>0</v>
      </c>
    </row>
    <row r="705">
      <c r="I705" s="91" t="b">
        <v>0</v>
      </c>
    </row>
    <row r="706">
      <c r="I706" s="91" t="b">
        <v>0</v>
      </c>
    </row>
    <row r="707">
      <c r="I707" s="91" t="b">
        <v>0</v>
      </c>
    </row>
    <row r="708">
      <c r="I708" s="91" t="b">
        <v>0</v>
      </c>
    </row>
    <row r="709">
      <c r="I709" s="91" t="b">
        <v>0</v>
      </c>
    </row>
    <row r="710">
      <c r="I710" s="91" t="b">
        <v>0</v>
      </c>
    </row>
    <row r="711">
      <c r="I711" s="91" t="b">
        <v>0</v>
      </c>
    </row>
    <row r="712">
      <c r="I712" s="91" t="b">
        <v>0</v>
      </c>
    </row>
    <row r="713">
      <c r="I713" s="91" t="b">
        <v>0</v>
      </c>
    </row>
    <row r="714">
      <c r="I714" s="91" t="b">
        <v>0</v>
      </c>
    </row>
    <row r="715">
      <c r="I715" s="91" t="b">
        <v>0</v>
      </c>
    </row>
    <row r="716">
      <c r="I716" s="91" t="b">
        <v>0</v>
      </c>
    </row>
    <row r="717">
      <c r="I717" s="91" t="b">
        <v>0</v>
      </c>
    </row>
    <row r="718">
      <c r="I718" s="91" t="b">
        <v>0</v>
      </c>
    </row>
    <row r="719">
      <c r="I719" s="91" t="b">
        <v>0</v>
      </c>
    </row>
    <row r="720">
      <c r="I720" s="91" t="b">
        <v>0</v>
      </c>
    </row>
    <row r="721">
      <c r="I721" s="91" t="b">
        <v>0</v>
      </c>
    </row>
    <row r="722">
      <c r="I722" s="91" t="b">
        <v>0</v>
      </c>
    </row>
    <row r="723">
      <c r="I723" s="91" t="b">
        <v>0</v>
      </c>
    </row>
    <row r="724">
      <c r="I724" s="91" t="b">
        <v>0</v>
      </c>
    </row>
    <row r="725">
      <c r="I725" s="91" t="b">
        <v>0</v>
      </c>
    </row>
    <row r="726">
      <c r="I726" s="91" t="b">
        <v>0</v>
      </c>
    </row>
    <row r="727">
      <c r="I727" s="91" t="b">
        <v>0</v>
      </c>
    </row>
    <row r="728">
      <c r="I728" s="91" t="b">
        <v>0</v>
      </c>
    </row>
    <row r="729">
      <c r="I729" s="91" t="b">
        <v>0</v>
      </c>
    </row>
    <row r="730">
      <c r="I730" s="91" t="b">
        <v>0</v>
      </c>
    </row>
    <row r="731">
      <c r="I731" s="91" t="b">
        <v>0</v>
      </c>
    </row>
    <row r="732">
      <c r="I732" s="91" t="b">
        <v>0</v>
      </c>
    </row>
    <row r="733">
      <c r="I733" s="91" t="b">
        <v>0</v>
      </c>
    </row>
    <row r="734">
      <c r="I734" s="91" t="b">
        <v>0</v>
      </c>
    </row>
    <row r="735">
      <c r="I735" s="91" t="b">
        <v>0</v>
      </c>
    </row>
    <row r="736">
      <c r="I736" s="91" t="b">
        <v>0</v>
      </c>
    </row>
    <row r="737">
      <c r="I737" s="91" t="b">
        <v>0</v>
      </c>
    </row>
    <row r="738">
      <c r="I738" s="91" t="b">
        <v>0</v>
      </c>
    </row>
    <row r="739">
      <c r="I739" s="91" t="b">
        <v>0</v>
      </c>
    </row>
    <row r="740">
      <c r="I740" s="91" t="b">
        <v>0</v>
      </c>
    </row>
    <row r="741">
      <c r="I741" s="91" t="b">
        <v>0</v>
      </c>
    </row>
    <row r="742">
      <c r="I742" s="91" t="b">
        <v>0</v>
      </c>
    </row>
    <row r="743">
      <c r="I743" s="91" t="b">
        <v>0</v>
      </c>
    </row>
    <row r="744">
      <c r="I744" s="91" t="b">
        <v>0</v>
      </c>
    </row>
    <row r="745">
      <c r="I745" s="91" t="b">
        <v>0</v>
      </c>
    </row>
    <row r="746">
      <c r="I746" s="91" t="b">
        <v>0</v>
      </c>
    </row>
    <row r="747">
      <c r="I747" s="91" t="b">
        <v>0</v>
      </c>
    </row>
    <row r="748">
      <c r="I748" s="91" t="b">
        <v>0</v>
      </c>
    </row>
    <row r="749">
      <c r="I749" s="91" t="b">
        <v>0</v>
      </c>
    </row>
    <row r="750">
      <c r="I750" s="91" t="b">
        <v>0</v>
      </c>
    </row>
    <row r="751">
      <c r="I751" s="91" t="b">
        <v>0</v>
      </c>
    </row>
    <row r="752">
      <c r="I752" s="91" t="b">
        <v>0</v>
      </c>
    </row>
    <row r="753">
      <c r="I753" s="91" t="b">
        <v>0</v>
      </c>
    </row>
    <row r="754">
      <c r="I754" s="91" t="b">
        <v>0</v>
      </c>
    </row>
    <row r="755">
      <c r="I755" s="91" t="b">
        <v>0</v>
      </c>
    </row>
    <row r="756">
      <c r="I756" s="91" t="b">
        <v>0</v>
      </c>
    </row>
    <row r="757">
      <c r="I757" s="91" t="b">
        <v>0</v>
      </c>
    </row>
    <row r="758">
      <c r="I758" s="91" t="b">
        <v>0</v>
      </c>
    </row>
    <row r="759">
      <c r="I759" s="91" t="b">
        <v>0</v>
      </c>
    </row>
    <row r="760">
      <c r="I760" s="91" t="b">
        <v>0</v>
      </c>
    </row>
    <row r="761">
      <c r="I761" s="91" t="b">
        <v>0</v>
      </c>
    </row>
    <row r="762">
      <c r="I762" s="91" t="b">
        <v>0</v>
      </c>
    </row>
    <row r="763">
      <c r="I763" s="91" t="b">
        <v>0</v>
      </c>
    </row>
    <row r="764">
      <c r="I764" s="91" t="b">
        <v>0</v>
      </c>
    </row>
    <row r="765">
      <c r="I765" s="91" t="b">
        <v>0</v>
      </c>
    </row>
    <row r="766">
      <c r="I766" s="91" t="b">
        <v>0</v>
      </c>
    </row>
    <row r="767">
      <c r="I767" s="91" t="b">
        <v>0</v>
      </c>
    </row>
    <row r="768">
      <c r="I768" s="91" t="b">
        <v>0</v>
      </c>
    </row>
    <row r="769">
      <c r="I769" s="91" t="b">
        <v>0</v>
      </c>
    </row>
    <row r="770">
      <c r="I770" s="91" t="b">
        <v>0</v>
      </c>
    </row>
    <row r="771">
      <c r="I771" s="91" t="b">
        <v>0</v>
      </c>
    </row>
    <row r="772">
      <c r="I772" s="91" t="b">
        <v>0</v>
      </c>
    </row>
    <row r="773">
      <c r="I773" s="91" t="b">
        <v>0</v>
      </c>
    </row>
    <row r="774">
      <c r="I774" s="91" t="b">
        <v>0</v>
      </c>
    </row>
    <row r="775">
      <c r="I775" s="91" t="b">
        <v>0</v>
      </c>
    </row>
    <row r="776">
      <c r="I776" s="91" t="b">
        <v>0</v>
      </c>
    </row>
    <row r="777">
      <c r="I777" s="91" t="b">
        <v>0</v>
      </c>
    </row>
    <row r="778">
      <c r="I778" s="91" t="b">
        <v>0</v>
      </c>
    </row>
    <row r="779">
      <c r="I779" s="91" t="b">
        <v>0</v>
      </c>
    </row>
    <row r="780">
      <c r="I780" s="91" t="b">
        <v>0</v>
      </c>
    </row>
    <row r="781">
      <c r="I781" s="91" t="b">
        <v>0</v>
      </c>
    </row>
    <row r="782">
      <c r="I782" s="91" t="b">
        <v>0</v>
      </c>
    </row>
    <row r="783">
      <c r="I783" s="91" t="b">
        <v>0</v>
      </c>
    </row>
    <row r="784">
      <c r="I784" s="91" t="b">
        <v>0</v>
      </c>
    </row>
    <row r="785">
      <c r="I785" s="91" t="b">
        <v>0</v>
      </c>
    </row>
    <row r="786">
      <c r="I786" s="91" t="b">
        <v>0</v>
      </c>
    </row>
    <row r="787">
      <c r="I787" s="91" t="b">
        <v>0</v>
      </c>
    </row>
    <row r="788">
      <c r="I788" s="91" t="b">
        <v>0</v>
      </c>
    </row>
    <row r="789">
      <c r="I789" s="91" t="b">
        <v>0</v>
      </c>
    </row>
    <row r="790">
      <c r="I790" s="91" t="b">
        <v>0</v>
      </c>
    </row>
    <row r="791">
      <c r="I791" s="91" t="b">
        <v>0</v>
      </c>
    </row>
    <row r="792">
      <c r="I792" s="91" t="b">
        <v>0</v>
      </c>
    </row>
    <row r="793">
      <c r="I793" s="91" t="b">
        <v>0</v>
      </c>
    </row>
    <row r="794">
      <c r="I794" s="91" t="b">
        <v>0</v>
      </c>
    </row>
    <row r="795">
      <c r="I795" s="91" t="b">
        <v>0</v>
      </c>
    </row>
    <row r="796">
      <c r="I796" s="91" t="b">
        <v>0</v>
      </c>
    </row>
    <row r="797">
      <c r="I797" s="91" t="b">
        <v>0</v>
      </c>
    </row>
    <row r="798">
      <c r="I798" s="91" t="b">
        <v>0</v>
      </c>
    </row>
    <row r="799">
      <c r="I799" s="91" t="b">
        <v>0</v>
      </c>
    </row>
    <row r="800">
      <c r="I800" s="91" t="b">
        <v>0</v>
      </c>
    </row>
    <row r="801">
      <c r="I801" s="91" t="b">
        <v>0</v>
      </c>
    </row>
    <row r="802">
      <c r="I802" s="91" t="b">
        <v>0</v>
      </c>
    </row>
    <row r="803">
      <c r="I803" s="91" t="b">
        <v>0</v>
      </c>
    </row>
    <row r="804">
      <c r="I804" s="91" t="b">
        <v>0</v>
      </c>
    </row>
    <row r="805">
      <c r="I805" s="91" t="b">
        <v>0</v>
      </c>
    </row>
    <row r="806">
      <c r="I806" s="91" t="b">
        <v>0</v>
      </c>
    </row>
    <row r="807">
      <c r="I807" s="91" t="b">
        <v>0</v>
      </c>
    </row>
    <row r="808">
      <c r="I808" s="91" t="b">
        <v>0</v>
      </c>
    </row>
    <row r="809">
      <c r="I809" s="91" t="b">
        <v>0</v>
      </c>
    </row>
    <row r="810">
      <c r="I810" s="91" t="b">
        <v>0</v>
      </c>
    </row>
    <row r="811">
      <c r="I811" s="91" t="b">
        <v>0</v>
      </c>
    </row>
    <row r="812">
      <c r="I812" s="91" t="b">
        <v>0</v>
      </c>
    </row>
    <row r="813">
      <c r="I813" s="91" t="b">
        <v>0</v>
      </c>
    </row>
    <row r="814">
      <c r="I814" s="91" t="b">
        <v>0</v>
      </c>
    </row>
    <row r="815">
      <c r="I815" s="91" t="b">
        <v>0</v>
      </c>
    </row>
    <row r="816">
      <c r="I816" s="91" t="b">
        <v>0</v>
      </c>
    </row>
    <row r="817">
      <c r="I817" s="91" t="b">
        <v>0</v>
      </c>
    </row>
    <row r="818">
      <c r="I818" s="91" t="b">
        <v>0</v>
      </c>
    </row>
    <row r="819">
      <c r="I819" s="91" t="b">
        <v>0</v>
      </c>
    </row>
    <row r="820">
      <c r="I820" s="91" t="b">
        <v>0</v>
      </c>
    </row>
    <row r="821">
      <c r="I821" s="91" t="b">
        <v>0</v>
      </c>
    </row>
    <row r="822">
      <c r="I822" s="91" t="b">
        <v>0</v>
      </c>
    </row>
    <row r="823">
      <c r="I823" s="91" t="b">
        <v>0</v>
      </c>
    </row>
    <row r="824">
      <c r="I824" s="91" t="b">
        <v>0</v>
      </c>
    </row>
    <row r="825">
      <c r="I825" s="91" t="b">
        <v>0</v>
      </c>
    </row>
    <row r="826">
      <c r="I826" s="91" t="b">
        <v>0</v>
      </c>
    </row>
    <row r="827">
      <c r="I827" s="91" t="b">
        <v>0</v>
      </c>
    </row>
    <row r="828">
      <c r="I828" s="91" t="b">
        <v>0</v>
      </c>
    </row>
    <row r="829">
      <c r="I829" s="91" t="b">
        <v>0</v>
      </c>
    </row>
    <row r="830">
      <c r="I830" s="91" t="b">
        <v>0</v>
      </c>
    </row>
    <row r="831">
      <c r="I831" s="91" t="b">
        <v>0</v>
      </c>
    </row>
    <row r="832">
      <c r="I832" s="91" t="b">
        <v>0</v>
      </c>
    </row>
    <row r="833">
      <c r="I833" s="91" t="b">
        <v>0</v>
      </c>
    </row>
    <row r="834">
      <c r="I834" s="91" t="b">
        <v>0</v>
      </c>
    </row>
    <row r="835">
      <c r="I835" s="91" t="b">
        <v>0</v>
      </c>
    </row>
    <row r="836">
      <c r="I836" s="91" t="b">
        <v>0</v>
      </c>
    </row>
    <row r="837">
      <c r="I837" s="91" t="b">
        <v>0</v>
      </c>
    </row>
    <row r="838">
      <c r="I838" s="91" t="b">
        <v>0</v>
      </c>
    </row>
    <row r="839">
      <c r="I839" s="91" t="b">
        <v>0</v>
      </c>
    </row>
    <row r="840">
      <c r="I840" s="91" t="b">
        <v>0</v>
      </c>
    </row>
    <row r="841">
      <c r="I841" s="91" t="b">
        <v>0</v>
      </c>
    </row>
    <row r="842">
      <c r="I842" s="91" t="b">
        <v>0</v>
      </c>
    </row>
    <row r="843">
      <c r="I843" s="91" t="b">
        <v>0</v>
      </c>
    </row>
    <row r="844">
      <c r="I844" s="91" t="b">
        <v>0</v>
      </c>
    </row>
    <row r="845">
      <c r="I845" s="91" t="b">
        <v>0</v>
      </c>
    </row>
    <row r="846">
      <c r="I846" s="91" t="b">
        <v>0</v>
      </c>
    </row>
    <row r="847">
      <c r="I847" s="91" t="b">
        <v>0</v>
      </c>
    </row>
    <row r="848">
      <c r="I848" s="91" t="b">
        <v>0</v>
      </c>
    </row>
    <row r="849">
      <c r="I849" s="91" t="b">
        <v>0</v>
      </c>
    </row>
    <row r="850">
      <c r="I850" s="91" t="b">
        <v>0</v>
      </c>
    </row>
    <row r="851">
      <c r="I851" s="91" t="b">
        <v>0</v>
      </c>
    </row>
    <row r="852">
      <c r="I852" s="91" t="b">
        <v>0</v>
      </c>
    </row>
    <row r="853">
      <c r="I853" s="91" t="b">
        <v>0</v>
      </c>
    </row>
    <row r="854">
      <c r="I854" s="91" t="b">
        <v>0</v>
      </c>
    </row>
    <row r="855">
      <c r="I855" s="91" t="b">
        <v>0</v>
      </c>
    </row>
    <row r="856">
      <c r="I856" s="91" t="b">
        <v>0</v>
      </c>
    </row>
    <row r="857">
      <c r="I857" s="91" t="b">
        <v>0</v>
      </c>
    </row>
    <row r="858">
      <c r="I858" s="91" t="b">
        <v>0</v>
      </c>
    </row>
    <row r="859">
      <c r="I859" s="91" t="b">
        <v>0</v>
      </c>
    </row>
    <row r="860">
      <c r="I860" s="91" t="b">
        <v>0</v>
      </c>
    </row>
    <row r="861">
      <c r="I861" s="91" t="b">
        <v>0</v>
      </c>
    </row>
    <row r="862">
      <c r="I862" s="91" t="b">
        <v>0</v>
      </c>
    </row>
    <row r="863">
      <c r="I863" s="91" t="b">
        <v>0</v>
      </c>
    </row>
    <row r="864">
      <c r="I864" s="91" t="b">
        <v>0</v>
      </c>
    </row>
    <row r="865">
      <c r="I865" s="91" t="b">
        <v>0</v>
      </c>
    </row>
    <row r="866">
      <c r="I866" s="91" t="b">
        <v>0</v>
      </c>
    </row>
    <row r="867">
      <c r="I867" s="91" t="b">
        <v>0</v>
      </c>
    </row>
    <row r="868">
      <c r="I868" s="91" t="b">
        <v>0</v>
      </c>
    </row>
    <row r="869">
      <c r="I869" s="91" t="b">
        <v>0</v>
      </c>
    </row>
    <row r="870">
      <c r="I870" s="91" t="b">
        <v>0</v>
      </c>
    </row>
    <row r="871">
      <c r="I871" s="91" t="b">
        <v>0</v>
      </c>
    </row>
    <row r="872">
      <c r="I872" s="91" t="b">
        <v>0</v>
      </c>
    </row>
    <row r="873">
      <c r="I873" s="91" t="b">
        <v>0</v>
      </c>
    </row>
    <row r="874">
      <c r="I874" s="91" t="b">
        <v>0</v>
      </c>
    </row>
    <row r="875">
      <c r="I875" s="91" t="b">
        <v>0</v>
      </c>
    </row>
    <row r="876">
      <c r="I876" s="91" t="b">
        <v>0</v>
      </c>
    </row>
    <row r="877">
      <c r="I877" s="91" t="b">
        <v>0</v>
      </c>
    </row>
    <row r="878">
      <c r="I878" s="91" t="b">
        <v>0</v>
      </c>
    </row>
    <row r="879">
      <c r="I879" s="91" t="b">
        <v>0</v>
      </c>
    </row>
    <row r="880">
      <c r="I880" s="91" t="b">
        <v>0</v>
      </c>
    </row>
    <row r="881">
      <c r="I881" s="91" t="b">
        <v>0</v>
      </c>
    </row>
    <row r="882">
      <c r="I882" s="91" t="b">
        <v>0</v>
      </c>
    </row>
    <row r="883">
      <c r="I883" s="91" t="b">
        <v>0</v>
      </c>
    </row>
    <row r="884">
      <c r="I884" s="91" t="b">
        <v>0</v>
      </c>
    </row>
    <row r="885">
      <c r="I885" s="91" t="b">
        <v>0</v>
      </c>
    </row>
    <row r="886">
      <c r="I886" s="91" t="b">
        <v>0</v>
      </c>
    </row>
    <row r="887">
      <c r="I887" s="91" t="b">
        <v>0</v>
      </c>
    </row>
    <row r="888">
      <c r="I888" s="91" t="b">
        <v>0</v>
      </c>
    </row>
    <row r="889">
      <c r="I889" s="91" t="b">
        <v>0</v>
      </c>
    </row>
    <row r="890">
      <c r="I890" s="91" t="b">
        <v>0</v>
      </c>
    </row>
    <row r="891">
      <c r="I891" s="91" t="b">
        <v>0</v>
      </c>
    </row>
    <row r="892">
      <c r="I892" s="91" t="b">
        <v>0</v>
      </c>
    </row>
    <row r="893">
      <c r="I893" s="91" t="b">
        <v>0</v>
      </c>
    </row>
    <row r="894">
      <c r="I894" s="91" t="b">
        <v>0</v>
      </c>
    </row>
    <row r="895">
      <c r="I895" s="91" t="b">
        <v>0</v>
      </c>
    </row>
    <row r="896">
      <c r="I896" s="91" t="b">
        <v>0</v>
      </c>
    </row>
    <row r="897">
      <c r="I897" s="91" t="b">
        <v>0</v>
      </c>
    </row>
    <row r="898">
      <c r="I898" s="91" t="b">
        <v>0</v>
      </c>
    </row>
    <row r="899">
      <c r="I899" s="91" t="b">
        <v>0</v>
      </c>
    </row>
    <row r="900">
      <c r="I900" s="91" t="b">
        <v>0</v>
      </c>
    </row>
    <row r="901">
      <c r="I901" s="91" t="b">
        <v>0</v>
      </c>
    </row>
    <row r="902">
      <c r="I902" s="91" t="b">
        <v>0</v>
      </c>
    </row>
    <row r="903">
      <c r="I903" s="91" t="b">
        <v>0</v>
      </c>
    </row>
    <row r="904">
      <c r="I904" s="91" t="b">
        <v>0</v>
      </c>
    </row>
    <row r="905">
      <c r="I905" s="91" t="b">
        <v>0</v>
      </c>
    </row>
    <row r="906">
      <c r="I906" s="91" t="b">
        <v>0</v>
      </c>
    </row>
    <row r="907">
      <c r="I907" s="91" t="b">
        <v>0</v>
      </c>
    </row>
    <row r="908">
      <c r="I908" s="91" t="b">
        <v>0</v>
      </c>
    </row>
    <row r="909">
      <c r="I909" s="91" t="b">
        <v>0</v>
      </c>
    </row>
    <row r="910">
      <c r="I910" s="91" t="b">
        <v>0</v>
      </c>
    </row>
    <row r="911">
      <c r="I911" s="91" t="b">
        <v>0</v>
      </c>
    </row>
    <row r="912">
      <c r="I912" s="91" t="b">
        <v>0</v>
      </c>
    </row>
    <row r="913">
      <c r="I913" s="91" t="b">
        <v>0</v>
      </c>
    </row>
    <row r="914">
      <c r="I914" s="91" t="b">
        <v>0</v>
      </c>
    </row>
    <row r="915">
      <c r="I915" s="91" t="b">
        <v>0</v>
      </c>
    </row>
    <row r="916">
      <c r="I916" s="91" t="b">
        <v>0</v>
      </c>
    </row>
    <row r="917">
      <c r="I917" s="91" t="b">
        <v>0</v>
      </c>
    </row>
    <row r="918">
      <c r="I918" s="91" t="b">
        <v>0</v>
      </c>
    </row>
    <row r="919">
      <c r="I919" s="91" t="b">
        <v>0</v>
      </c>
    </row>
    <row r="920">
      <c r="I920" s="91" t="b">
        <v>0</v>
      </c>
    </row>
    <row r="921">
      <c r="I921" s="91" t="b">
        <v>0</v>
      </c>
    </row>
    <row r="922">
      <c r="I922" s="91" t="b">
        <v>0</v>
      </c>
    </row>
    <row r="923">
      <c r="I923" s="91" t="b">
        <v>0</v>
      </c>
    </row>
    <row r="924">
      <c r="I924" s="91" t="b">
        <v>0</v>
      </c>
    </row>
    <row r="925">
      <c r="I925" s="91" t="b">
        <v>0</v>
      </c>
    </row>
    <row r="926">
      <c r="I926" s="91" t="b">
        <v>0</v>
      </c>
    </row>
    <row r="927">
      <c r="I927" s="91" t="b">
        <v>0</v>
      </c>
    </row>
    <row r="928">
      <c r="I928" s="91" t="b">
        <v>0</v>
      </c>
    </row>
    <row r="929">
      <c r="I929" s="91" t="b">
        <v>0</v>
      </c>
    </row>
    <row r="930">
      <c r="I930" s="91" t="b">
        <v>0</v>
      </c>
    </row>
    <row r="931">
      <c r="I931" s="91" t="b">
        <v>0</v>
      </c>
    </row>
    <row r="932">
      <c r="I932" s="91" t="b">
        <v>0</v>
      </c>
    </row>
    <row r="933">
      <c r="I933" s="91" t="b">
        <v>0</v>
      </c>
    </row>
    <row r="934">
      <c r="I934" s="91" t="b">
        <v>0</v>
      </c>
    </row>
    <row r="935">
      <c r="I935" s="91" t="b">
        <v>0</v>
      </c>
    </row>
    <row r="936">
      <c r="I936" s="91" t="b">
        <v>0</v>
      </c>
    </row>
    <row r="937">
      <c r="I937" s="91" t="b">
        <v>0</v>
      </c>
    </row>
    <row r="938">
      <c r="I938" s="91" t="b">
        <v>0</v>
      </c>
    </row>
    <row r="939">
      <c r="I939" s="91" t="b">
        <v>0</v>
      </c>
    </row>
    <row r="940">
      <c r="I940" s="91" t="b">
        <v>0</v>
      </c>
    </row>
    <row r="941">
      <c r="I941" s="91" t="b">
        <v>0</v>
      </c>
    </row>
    <row r="942">
      <c r="I942" s="91" t="b">
        <v>0</v>
      </c>
    </row>
    <row r="943">
      <c r="I943" s="91" t="b">
        <v>0</v>
      </c>
    </row>
    <row r="944">
      <c r="I944" s="91" t="b">
        <v>0</v>
      </c>
    </row>
    <row r="945">
      <c r="I945" s="91" t="b">
        <v>0</v>
      </c>
    </row>
    <row r="946">
      <c r="I946" s="91" t="b">
        <v>0</v>
      </c>
    </row>
    <row r="947">
      <c r="I947" s="91" t="b">
        <v>0</v>
      </c>
    </row>
    <row r="948">
      <c r="I948" s="91" t="b">
        <v>0</v>
      </c>
    </row>
    <row r="949">
      <c r="I949" s="91" t="b">
        <v>0</v>
      </c>
    </row>
    <row r="950">
      <c r="I950" s="91" t="b">
        <v>0</v>
      </c>
    </row>
    <row r="951">
      <c r="I951" s="91" t="b">
        <v>0</v>
      </c>
    </row>
    <row r="952">
      <c r="I952" s="91" t="b">
        <v>0</v>
      </c>
    </row>
    <row r="953">
      <c r="I953" s="91" t="b">
        <v>0</v>
      </c>
    </row>
    <row r="954">
      <c r="I954" s="91" t="b">
        <v>0</v>
      </c>
    </row>
    <row r="955">
      <c r="I955" s="91" t="b">
        <v>0</v>
      </c>
    </row>
    <row r="956">
      <c r="I956" s="91" t="b">
        <v>0</v>
      </c>
    </row>
    <row r="957">
      <c r="I957" s="91" t="b">
        <v>0</v>
      </c>
    </row>
    <row r="958">
      <c r="I958" s="91" t="b">
        <v>0</v>
      </c>
    </row>
    <row r="959">
      <c r="I959" s="91" t="b">
        <v>0</v>
      </c>
    </row>
    <row r="960">
      <c r="I960" s="91" t="b">
        <v>0</v>
      </c>
    </row>
    <row r="961">
      <c r="I961" s="91" t="b">
        <v>0</v>
      </c>
    </row>
    <row r="962">
      <c r="I962" s="91" t="b">
        <v>0</v>
      </c>
    </row>
    <row r="963">
      <c r="I963" s="91" t="b">
        <v>0</v>
      </c>
    </row>
    <row r="964">
      <c r="I964" s="91" t="b">
        <v>0</v>
      </c>
    </row>
    <row r="965">
      <c r="I965" s="91" t="b">
        <v>0</v>
      </c>
    </row>
    <row r="966">
      <c r="I966" s="91" t="b">
        <v>0</v>
      </c>
    </row>
    <row r="967">
      <c r="I967" s="91" t="b">
        <v>0</v>
      </c>
    </row>
    <row r="968">
      <c r="I968" s="91" t="b">
        <v>0</v>
      </c>
    </row>
    <row r="969">
      <c r="I969" s="91" t="b">
        <v>0</v>
      </c>
    </row>
    <row r="970">
      <c r="I970" s="91" t="b">
        <v>0</v>
      </c>
    </row>
    <row r="971">
      <c r="I971" s="91" t="b">
        <v>0</v>
      </c>
    </row>
    <row r="972">
      <c r="I972" s="91" t="b">
        <v>0</v>
      </c>
    </row>
    <row r="973">
      <c r="I973" s="91" t="b">
        <v>0</v>
      </c>
    </row>
    <row r="974">
      <c r="I974" s="91" t="b">
        <v>0</v>
      </c>
    </row>
    <row r="975">
      <c r="I975" s="91" t="b">
        <v>0</v>
      </c>
    </row>
    <row r="976">
      <c r="I976" s="91" t="b">
        <v>0</v>
      </c>
    </row>
    <row r="977">
      <c r="I977" s="91" t="b">
        <v>0</v>
      </c>
    </row>
    <row r="978">
      <c r="I978" s="91" t="b">
        <v>0</v>
      </c>
    </row>
    <row r="979">
      <c r="I979" s="91" t="b">
        <v>0</v>
      </c>
    </row>
    <row r="980">
      <c r="I980" s="91" t="b">
        <v>0</v>
      </c>
    </row>
    <row r="981">
      <c r="I981" s="91" t="b">
        <v>0</v>
      </c>
    </row>
    <row r="982">
      <c r="I982" s="91" t="b">
        <v>0</v>
      </c>
    </row>
    <row r="983">
      <c r="I983" s="91" t="b">
        <v>0</v>
      </c>
    </row>
    <row r="984">
      <c r="I984" s="91" t="b">
        <v>0</v>
      </c>
    </row>
    <row r="985">
      <c r="I985" s="91" t="b">
        <v>0</v>
      </c>
    </row>
    <row r="986">
      <c r="I986" s="91" t="b">
        <v>0</v>
      </c>
    </row>
    <row r="987">
      <c r="I987" s="91" t="b">
        <v>0</v>
      </c>
    </row>
    <row r="988">
      <c r="I988" s="91" t="b">
        <v>0</v>
      </c>
    </row>
    <row r="989">
      <c r="I989" s="91" t="b">
        <v>0</v>
      </c>
    </row>
    <row r="990">
      <c r="I990" s="91" t="b">
        <v>0</v>
      </c>
    </row>
    <row r="991">
      <c r="I991" s="91" t="b">
        <v>0</v>
      </c>
    </row>
    <row r="992">
      <c r="I992" s="91" t="b">
        <v>0</v>
      </c>
    </row>
    <row r="993">
      <c r="I993" s="91" t="b">
        <v>0</v>
      </c>
    </row>
    <row r="994">
      <c r="I994" s="91" t="b">
        <v>0</v>
      </c>
    </row>
    <row r="995">
      <c r="I995" s="91" t="b">
        <v>0</v>
      </c>
    </row>
    <row r="996">
      <c r="I996" s="91" t="b">
        <v>0</v>
      </c>
    </row>
    <row r="997">
      <c r="I997" s="91" t="b">
        <v>0</v>
      </c>
    </row>
    <row r="998">
      <c r="I998" s="91" t="b">
        <v>0</v>
      </c>
    </row>
    <row r="999">
      <c r="I999" s="91" t="b">
        <v>0</v>
      </c>
    </row>
  </sheetData>
  <dataValidations>
    <dataValidation type="custom" allowBlank="1" showDropDown="1" sqref="H2:H370 J2:J370">
      <formula1>OR(NOT(ISERROR(DATEVALUE(H2))), AND(ISNUMBER(H2), LEFT(CELL("format", H2))="D"))</formula1>
    </dataValidation>
    <dataValidation type="custom" allowBlank="1" showDropDown="1" sqref="G2:G370 K2:N370">
      <formula1>AND(ISNUMBER(G2),(NOT(OR(NOT(ISERROR(DATEVALUE(G2))), AND(ISNUMBER(G2), LEFT(CELL("format", G2))="D")))))</formula1>
    </dataValidation>
    <dataValidation type="list" allowBlank="1" sqref="A2:A370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38"/>
    <col customWidth="1" min="2" max="2" width="10.88"/>
    <col customWidth="1" min="3" max="3" width="10.75"/>
    <col customWidth="1" min="4" max="4" width="17.5"/>
    <col customWidth="1" min="5" max="5" width="12.38"/>
    <col customWidth="1" min="6" max="6" width="18.25"/>
    <col customWidth="1" min="7" max="7" width="23.25"/>
    <col customWidth="1" min="8" max="8" width="25.75"/>
    <col customWidth="1" min="9" max="9" width="9.75"/>
    <col customWidth="1" min="10" max="10" width="12.63"/>
    <col customWidth="1" min="11" max="11" width="11.5"/>
  </cols>
  <sheetData>
    <row r="1">
      <c r="A1" s="59" t="s">
        <v>1329</v>
      </c>
      <c r="B1" s="92" t="s">
        <v>1330</v>
      </c>
      <c r="C1" s="93" t="s">
        <v>1331</v>
      </c>
      <c r="D1" s="59" t="s">
        <v>59</v>
      </c>
      <c r="E1" s="93" t="s">
        <v>64</v>
      </c>
      <c r="F1" s="94" t="s">
        <v>664</v>
      </c>
      <c r="G1" s="95" t="s">
        <v>1332</v>
      </c>
      <c r="H1" s="95" t="s">
        <v>1333</v>
      </c>
      <c r="I1" s="96" t="s">
        <v>684</v>
      </c>
      <c r="J1" s="96" t="s">
        <v>685</v>
      </c>
      <c r="K1" s="96" t="s">
        <v>1334</v>
      </c>
    </row>
    <row r="2">
      <c r="A2" s="97" t="s">
        <v>1335</v>
      </c>
      <c r="B2" s="98"/>
      <c r="C2" s="99"/>
      <c r="D2" s="100"/>
      <c r="E2" s="100"/>
      <c r="F2" s="101"/>
      <c r="G2" s="102"/>
      <c r="H2" s="102"/>
      <c r="I2" s="103"/>
      <c r="J2" s="104" t="str">
        <f t="shared" ref="J2:J12" si="1">IF(F2="","",IF(F2/B2&lt;0,"",F2/B2))</f>
        <v/>
      </c>
      <c r="K2" s="105"/>
    </row>
    <row r="3">
      <c r="A3" s="106" t="s">
        <v>1336</v>
      </c>
      <c r="B3" s="16">
        <v>4.75</v>
      </c>
      <c r="C3" s="12">
        <v>45924.0</v>
      </c>
      <c r="D3" s="12"/>
      <c r="E3" s="12">
        <v>45931.0</v>
      </c>
      <c r="F3" s="107">
        <v>25.0</v>
      </c>
      <c r="G3" s="108">
        <f t="shared" ref="G3:G12" si="2">IF(ISBLANK(E3),"",E3-C3)</f>
        <v>7</v>
      </c>
      <c r="H3" s="108"/>
      <c r="I3" s="107">
        <f t="shared" ref="I3:I12" si="3">IF(F3="","",IF(F3-B3&lt;0,"",F3-B3))</f>
        <v>20.25</v>
      </c>
      <c r="J3" s="109">
        <f t="shared" si="1"/>
        <v>5.263157895</v>
      </c>
      <c r="K3" s="110"/>
    </row>
    <row r="4">
      <c r="A4" s="106" t="s">
        <v>1337</v>
      </c>
      <c r="B4" s="16">
        <v>4.75</v>
      </c>
      <c r="C4" s="12">
        <v>45924.0</v>
      </c>
      <c r="D4" s="12"/>
      <c r="E4" s="12">
        <v>45932.0</v>
      </c>
      <c r="F4" s="107">
        <v>20.0</v>
      </c>
      <c r="G4" s="108">
        <f t="shared" si="2"/>
        <v>8</v>
      </c>
      <c r="H4" s="108"/>
      <c r="I4" s="107">
        <f t="shared" si="3"/>
        <v>15.25</v>
      </c>
      <c r="J4" s="109">
        <f t="shared" si="1"/>
        <v>4.210526316</v>
      </c>
      <c r="K4" s="110"/>
    </row>
    <row r="5">
      <c r="A5" s="106" t="s">
        <v>1338</v>
      </c>
      <c r="B5" s="16">
        <v>7.18</v>
      </c>
      <c r="C5" s="12">
        <v>45904.0</v>
      </c>
      <c r="D5" s="12"/>
      <c r="E5" s="12">
        <v>45934.0</v>
      </c>
      <c r="F5" s="107">
        <v>12.5</v>
      </c>
      <c r="G5" s="108">
        <f t="shared" si="2"/>
        <v>30</v>
      </c>
      <c r="H5" s="108"/>
      <c r="I5" s="111">
        <f t="shared" si="3"/>
        <v>5.32</v>
      </c>
      <c r="J5" s="109">
        <f t="shared" si="1"/>
        <v>1.740947075</v>
      </c>
      <c r="K5" s="110"/>
    </row>
    <row r="6">
      <c r="A6" s="106" t="s">
        <v>1339</v>
      </c>
      <c r="B6" s="16">
        <v>1.42</v>
      </c>
      <c r="C6" s="12">
        <v>45906.0</v>
      </c>
      <c r="D6" s="12"/>
      <c r="E6" s="12">
        <v>45935.0</v>
      </c>
      <c r="F6" s="107">
        <v>6.0</v>
      </c>
      <c r="G6" s="108">
        <f t="shared" si="2"/>
        <v>29</v>
      </c>
      <c r="H6" s="108"/>
      <c r="I6" s="111">
        <f t="shared" si="3"/>
        <v>4.58</v>
      </c>
      <c r="J6" s="109">
        <f t="shared" si="1"/>
        <v>4.225352113</v>
      </c>
      <c r="K6" s="110"/>
    </row>
    <row r="7">
      <c r="A7" s="106" t="s">
        <v>1340</v>
      </c>
      <c r="B7" s="16">
        <v>4.75</v>
      </c>
      <c r="C7" s="12">
        <v>45924.0</v>
      </c>
      <c r="D7" s="12"/>
      <c r="E7" s="12">
        <v>45935.0</v>
      </c>
      <c r="F7" s="107">
        <v>15.0</v>
      </c>
      <c r="G7" s="108">
        <f t="shared" si="2"/>
        <v>11</v>
      </c>
      <c r="H7" s="108"/>
      <c r="I7" s="111">
        <f t="shared" si="3"/>
        <v>10.25</v>
      </c>
      <c r="J7" s="109">
        <f t="shared" si="1"/>
        <v>3.157894737</v>
      </c>
      <c r="K7" s="110"/>
    </row>
    <row r="8">
      <c r="A8" s="106" t="s">
        <v>1341</v>
      </c>
      <c r="B8" s="16">
        <v>4.75</v>
      </c>
      <c r="C8" s="12">
        <v>45924.0</v>
      </c>
      <c r="D8" s="12"/>
      <c r="E8" s="12">
        <v>45935.0</v>
      </c>
      <c r="F8" s="107">
        <v>18.525</v>
      </c>
      <c r="G8" s="108">
        <f t="shared" si="2"/>
        <v>11</v>
      </c>
      <c r="H8" s="108"/>
      <c r="I8" s="111">
        <f t="shared" si="3"/>
        <v>13.775</v>
      </c>
      <c r="J8" s="109">
        <f t="shared" si="1"/>
        <v>3.9</v>
      </c>
      <c r="K8" s="110"/>
    </row>
    <row r="9">
      <c r="A9" s="106" t="s">
        <v>1342</v>
      </c>
      <c r="B9" s="16">
        <v>4.75</v>
      </c>
      <c r="C9" s="12">
        <v>45924.0</v>
      </c>
      <c r="D9" s="12"/>
      <c r="E9" s="12">
        <v>45935.0</v>
      </c>
      <c r="F9" s="107">
        <v>20.0</v>
      </c>
      <c r="G9" s="108">
        <f t="shared" si="2"/>
        <v>11</v>
      </c>
      <c r="H9" s="108"/>
      <c r="I9" s="111">
        <f t="shared" si="3"/>
        <v>15.25</v>
      </c>
      <c r="J9" s="109">
        <f t="shared" si="1"/>
        <v>4.210526316</v>
      </c>
      <c r="K9" s="110"/>
    </row>
    <row r="10">
      <c r="A10" s="106" t="s">
        <v>1343</v>
      </c>
      <c r="B10" s="16">
        <v>4.75</v>
      </c>
      <c r="C10" s="12">
        <v>45924.0</v>
      </c>
      <c r="D10" s="12"/>
      <c r="E10" s="12">
        <v>45935.0</v>
      </c>
      <c r="F10" s="107">
        <v>18.525</v>
      </c>
      <c r="G10" s="108">
        <f t="shared" si="2"/>
        <v>11</v>
      </c>
      <c r="H10" s="108"/>
      <c r="I10" s="111">
        <f t="shared" si="3"/>
        <v>13.775</v>
      </c>
      <c r="J10" s="109">
        <f t="shared" si="1"/>
        <v>3.9</v>
      </c>
      <c r="K10" s="110"/>
    </row>
    <row r="11">
      <c r="A11" s="106" t="s">
        <v>1344</v>
      </c>
      <c r="B11" s="16">
        <v>4.75</v>
      </c>
      <c r="C11" s="12">
        <v>45924.0</v>
      </c>
      <c r="D11" s="12"/>
      <c r="E11" s="12">
        <v>45935.0</v>
      </c>
      <c r="F11" s="107">
        <v>14.0</v>
      </c>
      <c r="G11" s="108">
        <f t="shared" si="2"/>
        <v>11</v>
      </c>
      <c r="H11" s="108"/>
      <c r="I11" s="111">
        <f t="shared" si="3"/>
        <v>9.25</v>
      </c>
      <c r="J11" s="109">
        <f t="shared" si="1"/>
        <v>2.947368421</v>
      </c>
      <c r="K11" s="110"/>
    </row>
    <row r="12">
      <c r="A12" s="106" t="s">
        <v>1345</v>
      </c>
      <c r="B12" s="16">
        <v>4.75</v>
      </c>
      <c r="C12" s="12">
        <v>45924.0</v>
      </c>
      <c r="D12" s="12"/>
      <c r="E12" s="12">
        <v>45935.0</v>
      </c>
      <c r="F12" s="107">
        <v>19.0</v>
      </c>
      <c r="G12" s="108">
        <f t="shared" si="2"/>
        <v>11</v>
      </c>
      <c r="H12" s="108"/>
      <c r="I12" s="111">
        <f t="shared" si="3"/>
        <v>14.25</v>
      </c>
      <c r="J12" s="109">
        <f t="shared" si="1"/>
        <v>4</v>
      </c>
      <c r="K12" s="110"/>
    </row>
    <row r="13">
      <c r="A13" s="112" t="str">
        <f>("TOTAL VENTE SEMAINE 1 : " &amp; COUNTA(B3:B12) )</f>
        <v>TOTAL VENTE SEMAINE 1 : 10</v>
      </c>
      <c r="B13" s="113"/>
      <c r="C13" s="114"/>
      <c r="D13" s="115"/>
      <c r="E13" s="115"/>
      <c r="F13" s="116">
        <f>SUM(F3:F12)</f>
        <v>168.55</v>
      </c>
      <c r="G13" s="117">
        <f>AVERAGE(G3:G12)</f>
        <v>14</v>
      </c>
      <c r="H13" s="117"/>
      <c r="I13" s="116">
        <f>SUM(I3:I12)</f>
        <v>121.95</v>
      </c>
      <c r="J13" s="118">
        <f>AVERAGE(J3:J12)</f>
        <v>3.755577287</v>
      </c>
      <c r="K13" s="119">
        <f>COUNTA(B3:B12)</f>
        <v>10</v>
      </c>
    </row>
    <row r="14">
      <c r="A14" s="120"/>
      <c r="B14" s="121"/>
      <c r="C14" s="122"/>
      <c r="D14" s="122"/>
      <c r="E14" s="122"/>
      <c r="F14" s="123"/>
      <c r="G14" s="124"/>
      <c r="H14" s="124"/>
      <c r="I14" s="84"/>
      <c r="J14" s="84"/>
      <c r="K14" s="84"/>
    </row>
    <row r="15">
      <c r="A15" s="97" t="s">
        <v>1346</v>
      </c>
      <c r="B15" s="125"/>
      <c r="C15" s="126"/>
      <c r="D15" s="126"/>
      <c r="E15" s="126"/>
      <c r="F15" s="127"/>
      <c r="G15" s="128"/>
      <c r="H15" s="128"/>
      <c r="I15" s="129"/>
      <c r="J15" s="129"/>
      <c r="K15" s="105"/>
    </row>
    <row r="16">
      <c r="A16" s="106" t="s">
        <v>686</v>
      </c>
      <c r="B16" s="16">
        <v>60.61</v>
      </c>
      <c r="C16" s="12">
        <v>45855.0</v>
      </c>
      <c r="D16" s="12"/>
      <c r="E16" s="12">
        <v>45937.0</v>
      </c>
      <c r="F16" s="107">
        <v>42.8</v>
      </c>
      <c r="G16" s="108">
        <f t="shared" ref="G16:G30" si="4">IF(ISBLANK(E16),"",E16-C16)</f>
        <v>82</v>
      </c>
      <c r="H16" s="108"/>
      <c r="I16" s="18" t="str">
        <f t="shared" ref="I16:I30" si="5">IF(F16="","",IF(F16-B16&lt;0,"",F16-B16))</f>
        <v/>
      </c>
      <c r="J16" s="130"/>
      <c r="K16" s="110"/>
    </row>
    <row r="17">
      <c r="A17" s="106" t="s">
        <v>1347</v>
      </c>
      <c r="B17" s="16">
        <v>7.18</v>
      </c>
      <c r="C17" s="12">
        <v>45904.0</v>
      </c>
      <c r="D17" s="12"/>
      <c r="E17" s="12">
        <v>45939.0</v>
      </c>
      <c r="F17" s="107">
        <v>14.0</v>
      </c>
      <c r="G17" s="108">
        <f t="shared" si="4"/>
        <v>35</v>
      </c>
      <c r="H17" s="108"/>
      <c r="I17" s="107">
        <f t="shared" si="5"/>
        <v>6.82</v>
      </c>
      <c r="J17" s="109">
        <f t="shared" ref="J17:J28" si="6">IF(F17="","",IF(F17/B17&lt;0,"",F17/B17))</f>
        <v>1.949860724</v>
      </c>
      <c r="K17" s="110"/>
    </row>
    <row r="18">
      <c r="A18" s="106" t="s">
        <v>1348</v>
      </c>
      <c r="B18" s="16">
        <v>7.18</v>
      </c>
      <c r="C18" s="12">
        <v>45904.0</v>
      </c>
      <c r="D18" s="12"/>
      <c r="E18" s="12">
        <v>45937.0</v>
      </c>
      <c r="F18" s="107">
        <v>15.0</v>
      </c>
      <c r="G18" s="108">
        <f t="shared" si="4"/>
        <v>33</v>
      </c>
      <c r="H18" s="108"/>
      <c r="I18" s="111">
        <f t="shared" si="5"/>
        <v>7.82</v>
      </c>
      <c r="J18" s="109">
        <f t="shared" si="6"/>
        <v>2.08913649</v>
      </c>
      <c r="K18" s="110"/>
    </row>
    <row r="19">
      <c r="A19" s="106" t="s">
        <v>1349</v>
      </c>
      <c r="B19" s="24">
        <v>7.18</v>
      </c>
      <c r="C19" s="12">
        <v>45904.0</v>
      </c>
      <c r="D19" s="12"/>
      <c r="E19" s="12">
        <v>45938.0</v>
      </c>
      <c r="F19" s="107">
        <v>20.0</v>
      </c>
      <c r="G19" s="108">
        <f t="shared" si="4"/>
        <v>34</v>
      </c>
      <c r="H19" s="108"/>
      <c r="I19" s="111">
        <f t="shared" si="5"/>
        <v>12.82</v>
      </c>
      <c r="J19" s="109">
        <f t="shared" si="6"/>
        <v>2.78551532</v>
      </c>
      <c r="K19" s="110"/>
    </row>
    <row r="20">
      <c r="A20" s="106" t="s">
        <v>1350</v>
      </c>
      <c r="B20" s="16">
        <v>4.75</v>
      </c>
      <c r="C20" s="12">
        <v>45924.0</v>
      </c>
      <c r="D20" s="12"/>
      <c r="E20" s="12">
        <v>45941.0</v>
      </c>
      <c r="F20" s="107">
        <v>16.0</v>
      </c>
      <c r="G20" s="108">
        <f t="shared" si="4"/>
        <v>17</v>
      </c>
      <c r="H20" s="108"/>
      <c r="I20" s="111">
        <f t="shared" si="5"/>
        <v>11.25</v>
      </c>
      <c r="J20" s="109">
        <f t="shared" si="6"/>
        <v>3.368421053</v>
      </c>
      <c r="K20" s="110"/>
    </row>
    <row r="21">
      <c r="A21" s="106" t="s">
        <v>1351</v>
      </c>
      <c r="B21" s="16">
        <v>4.75</v>
      </c>
      <c r="C21" s="12">
        <v>45924.0</v>
      </c>
      <c r="D21" s="12"/>
      <c r="E21" s="12">
        <v>45937.0</v>
      </c>
      <c r="F21" s="107">
        <v>16.0</v>
      </c>
      <c r="G21" s="108">
        <f t="shared" si="4"/>
        <v>13</v>
      </c>
      <c r="H21" s="108"/>
      <c r="I21" s="111">
        <f t="shared" si="5"/>
        <v>11.25</v>
      </c>
      <c r="J21" s="109">
        <f t="shared" si="6"/>
        <v>3.368421053</v>
      </c>
      <c r="K21" s="110"/>
    </row>
    <row r="22">
      <c r="A22" s="106" t="s">
        <v>1352</v>
      </c>
      <c r="B22" s="16">
        <v>4.75</v>
      </c>
      <c r="C22" s="12">
        <v>45924.0</v>
      </c>
      <c r="D22" s="12"/>
      <c r="E22" s="12">
        <v>45940.0</v>
      </c>
      <c r="F22" s="107">
        <v>10.0</v>
      </c>
      <c r="G22" s="108">
        <f t="shared" si="4"/>
        <v>16</v>
      </c>
      <c r="H22" s="108"/>
      <c r="I22" s="111">
        <f t="shared" si="5"/>
        <v>5.25</v>
      </c>
      <c r="J22" s="109">
        <f t="shared" si="6"/>
        <v>2.105263158</v>
      </c>
      <c r="K22" s="110"/>
    </row>
    <row r="23">
      <c r="A23" s="106" t="s">
        <v>1353</v>
      </c>
      <c r="B23" s="16">
        <v>7.13</v>
      </c>
      <c r="C23" s="12">
        <v>45941.0</v>
      </c>
      <c r="D23" s="12"/>
      <c r="E23" s="12">
        <v>45941.0</v>
      </c>
      <c r="F23" s="107">
        <v>22.0</v>
      </c>
      <c r="G23" s="108">
        <f t="shared" si="4"/>
        <v>0</v>
      </c>
      <c r="H23" s="108"/>
      <c r="I23" s="111">
        <f t="shared" si="5"/>
        <v>14.87</v>
      </c>
      <c r="J23" s="109">
        <f t="shared" si="6"/>
        <v>3.085553997</v>
      </c>
      <c r="K23" s="110"/>
    </row>
    <row r="24">
      <c r="A24" s="106" t="s">
        <v>1354</v>
      </c>
      <c r="B24" s="16">
        <v>7.13</v>
      </c>
      <c r="C24" s="12">
        <v>45941.0</v>
      </c>
      <c r="D24" s="12"/>
      <c r="E24" s="12">
        <v>45941.0</v>
      </c>
      <c r="F24" s="107">
        <v>21.0</v>
      </c>
      <c r="G24" s="108">
        <f t="shared" si="4"/>
        <v>0</v>
      </c>
      <c r="H24" s="108"/>
      <c r="I24" s="111">
        <f t="shared" si="5"/>
        <v>13.87</v>
      </c>
      <c r="J24" s="109">
        <f t="shared" si="6"/>
        <v>2.945301543</v>
      </c>
      <c r="K24" s="110"/>
    </row>
    <row r="25">
      <c r="A25" s="106" t="s">
        <v>1355</v>
      </c>
      <c r="B25" s="16">
        <v>7.13</v>
      </c>
      <c r="C25" s="12">
        <v>45941.0</v>
      </c>
      <c r="D25" s="12"/>
      <c r="E25" s="12">
        <v>45941.0</v>
      </c>
      <c r="F25" s="107">
        <v>20.0</v>
      </c>
      <c r="G25" s="108">
        <f t="shared" si="4"/>
        <v>0</v>
      </c>
      <c r="H25" s="108"/>
      <c r="I25" s="111">
        <f t="shared" si="5"/>
        <v>12.87</v>
      </c>
      <c r="J25" s="109">
        <f t="shared" si="6"/>
        <v>2.805049088</v>
      </c>
      <c r="K25" s="110"/>
    </row>
    <row r="26">
      <c r="A26" s="106" t="s">
        <v>1356</v>
      </c>
      <c r="B26" s="16">
        <v>7.13</v>
      </c>
      <c r="C26" s="12">
        <v>45941.0</v>
      </c>
      <c r="D26" s="12"/>
      <c r="E26" s="12">
        <v>45942.0</v>
      </c>
      <c r="F26" s="107">
        <v>17.6</v>
      </c>
      <c r="G26" s="108">
        <f t="shared" si="4"/>
        <v>1</v>
      </c>
      <c r="H26" s="108"/>
      <c r="I26" s="111">
        <f t="shared" si="5"/>
        <v>10.47</v>
      </c>
      <c r="J26" s="109">
        <f t="shared" si="6"/>
        <v>2.468443198</v>
      </c>
      <c r="K26" s="110"/>
    </row>
    <row r="27">
      <c r="A27" s="106" t="s">
        <v>1357</v>
      </c>
      <c r="B27" s="16">
        <v>7.13</v>
      </c>
      <c r="C27" s="12">
        <v>45941.0</v>
      </c>
      <c r="D27" s="12"/>
      <c r="E27" s="12">
        <v>45942.0</v>
      </c>
      <c r="F27" s="107">
        <v>16.0</v>
      </c>
      <c r="G27" s="108">
        <f t="shared" si="4"/>
        <v>1</v>
      </c>
      <c r="H27" s="108"/>
      <c r="I27" s="111">
        <f t="shared" si="5"/>
        <v>8.87</v>
      </c>
      <c r="J27" s="109">
        <f t="shared" si="6"/>
        <v>2.244039271</v>
      </c>
      <c r="K27" s="110"/>
    </row>
    <row r="28">
      <c r="A28" s="106" t="s">
        <v>1358</v>
      </c>
      <c r="B28" s="16">
        <v>7.13</v>
      </c>
      <c r="C28" s="12">
        <v>45941.0</v>
      </c>
      <c r="D28" s="12"/>
      <c r="E28" s="12">
        <v>45941.0</v>
      </c>
      <c r="F28" s="107">
        <v>19.0</v>
      </c>
      <c r="G28" s="108">
        <f t="shared" si="4"/>
        <v>0</v>
      </c>
      <c r="H28" s="108"/>
      <c r="I28" s="111">
        <f t="shared" si="5"/>
        <v>11.87</v>
      </c>
      <c r="J28" s="109">
        <f t="shared" si="6"/>
        <v>2.664796634</v>
      </c>
      <c r="K28" s="110"/>
    </row>
    <row r="29">
      <c r="A29" s="106" t="s">
        <v>686</v>
      </c>
      <c r="B29" s="16">
        <v>83.54</v>
      </c>
      <c r="C29" s="12">
        <v>45886.0</v>
      </c>
      <c r="D29" s="12"/>
      <c r="E29" s="12">
        <v>45937.0</v>
      </c>
      <c r="F29" s="107">
        <v>79.08</v>
      </c>
      <c r="G29" s="108">
        <f t="shared" si="4"/>
        <v>51</v>
      </c>
      <c r="H29" s="108"/>
      <c r="I29" s="18" t="str">
        <f t="shared" si="5"/>
        <v/>
      </c>
      <c r="J29" s="130"/>
      <c r="K29" s="110"/>
    </row>
    <row r="30">
      <c r="A30" s="106" t="s">
        <v>1359</v>
      </c>
      <c r="B30" s="16">
        <v>7.13</v>
      </c>
      <c r="C30" s="12">
        <v>45942.0</v>
      </c>
      <c r="D30" s="12"/>
      <c r="E30" s="12">
        <v>45942.0</v>
      </c>
      <c r="F30" s="107">
        <v>19.0</v>
      </c>
      <c r="G30" s="108">
        <f t="shared" si="4"/>
        <v>0</v>
      </c>
      <c r="H30" s="108"/>
      <c r="I30" s="111">
        <f t="shared" si="5"/>
        <v>11.87</v>
      </c>
      <c r="J30" s="109">
        <f>IF(F30="","",IF(F30/B30&lt;0,"",F30/B30))</f>
        <v>2.664796634</v>
      </c>
      <c r="K30" s="110"/>
    </row>
    <row r="31">
      <c r="A31" s="112" t="str">
        <f>("TOTAL VENTE SEMAINE 2 : " &amp; COUNTA(B16:B30) )</f>
        <v>TOTAL VENTE SEMAINE 2 : 15</v>
      </c>
      <c r="B31" s="113"/>
      <c r="C31" s="114"/>
      <c r="D31" s="115"/>
      <c r="E31" s="115"/>
      <c r="F31" s="116">
        <f>SUM(F16:F30)</f>
        <v>347.48</v>
      </c>
      <c r="G31" s="117">
        <f>AVERAGE(G16:G30)</f>
        <v>18.86666667</v>
      </c>
      <c r="H31" s="117"/>
      <c r="I31" s="131">
        <f>SUM(I16:I30)</f>
        <v>139.9</v>
      </c>
      <c r="J31" s="118">
        <f>AVERAGE(J22:J30)</f>
        <v>2.62290544</v>
      </c>
      <c r="K31" s="119">
        <f>COUNTA(B16:B30)</f>
        <v>15</v>
      </c>
    </row>
    <row r="32">
      <c r="A32" s="132"/>
      <c r="B32" s="65"/>
      <c r="C32" s="133"/>
      <c r="D32" s="133"/>
      <c r="E32" s="133"/>
      <c r="F32" s="134"/>
      <c r="G32" s="135"/>
      <c r="H32" s="135"/>
    </row>
    <row r="33">
      <c r="A33" s="97" t="s">
        <v>1360</v>
      </c>
      <c r="B33" s="125"/>
      <c r="C33" s="126"/>
      <c r="D33" s="126"/>
      <c r="E33" s="126"/>
      <c r="F33" s="127"/>
      <c r="G33" s="128"/>
      <c r="H33" s="128"/>
      <c r="I33" s="129"/>
      <c r="J33" s="129"/>
      <c r="K33" s="105"/>
    </row>
    <row r="34">
      <c r="A34" s="136" t="s">
        <v>1361</v>
      </c>
      <c r="B34" s="16">
        <v>7.13</v>
      </c>
      <c r="C34" s="12">
        <v>45941.0</v>
      </c>
      <c r="D34" s="12"/>
      <c r="E34" s="12">
        <v>45943.0</v>
      </c>
      <c r="F34" s="107">
        <v>16.0</v>
      </c>
      <c r="G34" s="108">
        <f t="shared" ref="G34:G80" si="7">IF(ISBLANK(E34),"",E34-C34)</f>
        <v>2</v>
      </c>
      <c r="H34" s="108"/>
      <c r="I34" s="111">
        <f t="shared" ref="I34:I80" si="8">IF(F34="","",IF(F34-B34&lt;0,"",F34-B34))</f>
        <v>8.87</v>
      </c>
      <c r="J34" s="109">
        <f t="shared" ref="J34:J80" si="9">IF(F34="","",IF(F34/B34&lt;0,"",F34/B34))</f>
        <v>2.244039271</v>
      </c>
      <c r="K34" s="110"/>
    </row>
    <row r="35">
      <c r="A35" s="106" t="s">
        <v>1362</v>
      </c>
      <c r="B35" s="16">
        <v>7.13</v>
      </c>
      <c r="C35" s="12">
        <v>45942.0</v>
      </c>
      <c r="D35" s="12"/>
      <c r="E35" s="12">
        <v>45943.0</v>
      </c>
      <c r="F35" s="107">
        <v>16.0</v>
      </c>
      <c r="G35" s="108">
        <f t="shared" si="7"/>
        <v>1</v>
      </c>
      <c r="H35" s="108"/>
      <c r="I35" s="111">
        <f t="shared" si="8"/>
        <v>8.87</v>
      </c>
      <c r="J35" s="109">
        <f t="shared" si="9"/>
        <v>2.244039271</v>
      </c>
      <c r="K35" s="110"/>
    </row>
    <row r="36">
      <c r="A36" s="106" t="s">
        <v>1363</v>
      </c>
      <c r="B36" s="16">
        <v>7.13</v>
      </c>
      <c r="C36" s="12">
        <v>45943.0</v>
      </c>
      <c r="D36" s="12"/>
      <c r="E36" s="12">
        <v>45943.0</v>
      </c>
      <c r="F36" s="107">
        <v>15.0</v>
      </c>
      <c r="G36" s="108">
        <f t="shared" si="7"/>
        <v>0</v>
      </c>
      <c r="H36" s="108"/>
      <c r="I36" s="111">
        <f t="shared" si="8"/>
        <v>7.87</v>
      </c>
      <c r="J36" s="109">
        <f t="shared" si="9"/>
        <v>2.103786816</v>
      </c>
      <c r="K36" s="110"/>
    </row>
    <row r="37">
      <c r="A37" s="106" t="s">
        <v>1364</v>
      </c>
      <c r="B37" s="16">
        <v>7.13</v>
      </c>
      <c r="C37" s="12">
        <v>45943.0</v>
      </c>
      <c r="D37" s="12"/>
      <c r="E37" s="12">
        <v>45943.0</v>
      </c>
      <c r="F37" s="107">
        <v>19.8</v>
      </c>
      <c r="G37" s="108">
        <f t="shared" si="7"/>
        <v>0</v>
      </c>
      <c r="H37" s="108"/>
      <c r="I37" s="111">
        <f t="shared" si="8"/>
        <v>12.67</v>
      </c>
      <c r="J37" s="109">
        <f t="shared" si="9"/>
        <v>2.776998597</v>
      </c>
      <c r="K37" s="110"/>
    </row>
    <row r="38">
      <c r="A38" s="106" t="s">
        <v>1365</v>
      </c>
      <c r="B38" s="16">
        <v>4.75</v>
      </c>
      <c r="C38" s="12">
        <v>45924.0</v>
      </c>
      <c r="D38" s="12"/>
      <c r="E38" s="12">
        <v>45944.0</v>
      </c>
      <c r="F38" s="107">
        <v>14.0</v>
      </c>
      <c r="G38" s="108">
        <f t="shared" si="7"/>
        <v>20</v>
      </c>
      <c r="H38" s="108"/>
      <c r="I38" s="107">
        <f t="shared" si="8"/>
        <v>9.25</v>
      </c>
      <c r="J38" s="109">
        <f t="shared" si="9"/>
        <v>2.947368421</v>
      </c>
      <c r="K38" s="110"/>
    </row>
    <row r="39">
      <c r="A39" s="106" t="s">
        <v>686</v>
      </c>
      <c r="B39" s="16">
        <v>78.54</v>
      </c>
      <c r="C39" s="12">
        <v>45886.0</v>
      </c>
      <c r="D39" s="12"/>
      <c r="E39" s="12">
        <v>45945.0</v>
      </c>
      <c r="F39" s="107">
        <v>84.15</v>
      </c>
      <c r="G39" s="108">
        <f t="shared" si="7"/>
        <v>59</v>
      </c>
      <c r="H39" s="108"/>
      <c r="I39" s="111">
        <f t="shared" si="8"/>
        <v>5.61</v>
      </c>
      <c r="J39" s="109">
        <f t="shared" si="9"/>
        <v>1.071428571</v>
      </c>
      <c r="K39" s="110"/>
    </row>
    <row r="40">
      <c r="A40" s="106" t="s">
        <v>1366</v>
      </c>
      <c r="B40" s="16">
        <v>7.18</v>
      </c>
      <c r="C40" s="12">
        <v>45904.0</v>
      </c>
      <c r="D40" s="12"/>
      <c r="E40" s="12">
        <v>45945.0</v>
      </c>
      <c r="F40" s="107">
        <v>11.0</v>
      </c>
      <c r="G40" s="108">
        <f t="shared" si="7"/>
        <v>41</v>
      </c>
      <c r="H40" s="108"/>
      <c r="I40" s="111">
        <f t="shared" si="8"/>
        <v>3.82</v>
      </c>
      <c r="J40" s="109">
        <f t="shared" si="9"/>
        <v>1.532033426</v>
      </c>
      <c r="K40" s="110"/>
    </row>
    <row r="41">
      <c r="A41" s="106" t="s">
        <v>1367</v>
      </c>
      <c r="B41" s="16">
        <v>7.13</v>
      </c>
      <c r="C41" s="12">
        <v>45943.0</v>
      </c>
      <c r="D41" s="12"/>
      <c r="E41" s="12">
        <v>45945.0</v>
      </c>
      <c r="F41" s="107">
        <v>17.0</v>
      </c>
      <c r="G41" s="108">
        <f t="shared" si="7"/>
        <v>2</v>
      </c>
      <c r="H41" s="108"/>
      <c r="I41" s="111">
        <f t="shared" si="8"/>
        <v>9.87</v>
      </c>
      <c r="J41" s="109">
        <f t="shared" si="9"/>
        <v>2.384291725</v>
      </c>
      <c r="K41" s="110"/>
    </row>
    <row r="42">
      <c r="A42" s="106" t="s">
        <v>1368</v>
      </c>
      <c r="B42" s="16">
        <v>7.13</v>
      </c>
      <c r="C42" s="12">
        <v>45943.0</v>
      </c>
      <c r="D42" s="12"/>
      <c r="E42" s="12">
        <v>45945.0</v>
      </c>
      <c r="F42" s="107">
        <v>20.0</v>
      </c>
      <c r="G42" s="108">
        <f t="shared" si="7"/>
        <v>2</v>
      </c>
      <c r="H42" s="108"/>
      <c r="I42" s="111">
        <f t="shared" si="8"/>
        <v>12.87</v>
      </c>
      <c r="J42" s="109">
        <f t="shared" si="9"/>
        <v>2.805049088</v>
      </c>
      <c r="K42" s="110"/>
    </row>
    <row r="43">
      <c r="A43" s="106" t="s">
        <v>1369</v>
      </c>
      <c r="B43" s="16">
        <v>4.75</v>
      </c>
      <c r="C43" s="12">
        <v>45924.0</v>
      </c>
      <c r="D43" s="12"/>
      <c r="E43" s="12">
        <v>45946.0</v>
      </c>
      <c r="F43" s="107">
        <v>15.0</v>
      </c>
      <c r="G43" s="108">
        <f t="shared" si="7"/>
        <v>22</v>
      </c>
      <c r="H43" s="108"/>
      <c r="I43" s="111">
        <f t="shared" si="8"/>
        <v>10.25</v>
      </c>
      <c r="J43" s="109">
        <f t="shared" si="9"/>
        <v>3.157894737</v>
      </c>
      <c r="K43" s="110"/>
    </row>
    <row r="44">
      <c r="A44" s="106" t="s">
        <v>1370</v>
      </c>
      <c r="B44" s="16">
        <v>7.13</v>
      </c>
      <c r="C44" s="12">
        <v>45944.0</v>
      </c>
      <c r="D44" s="12"/>
      <c r="E44" s="12">
        <v>45946.0</v>
      </c>
      <c r="F44" s="107">
        <v>17.6</v>
      </c>
      <c r="G44" s="108">
        <f t="shared" si="7"/>
        <v>2</v>
      </c>
      <c r="H44" s="108"/>
      <c r="I44" s="111">
        <f t="shared" si="8"/>
        <v>10.47</v>
      </c>
      <c r="J44" s="109">
        <f t="shared" si="9"/>
        <v>2.468443198</v>
      </c>
      <c r="K44" s="110"/>
    </row>
    <row r="45">
      <c r="A45" s="106" t="s">
        <v>1371</v>
      </c>
      <c r="B45" s="16">
        <v>7.13</v>
      </c>
      <c r="C45" s="12">
        <v>45945.0</v>
      </c>
      <c r="D45" s="12"/>
      <c r="E45" s="12">
        <v>45946.0</v>
      </c>
      <c r="F45" s="107">
        <v>15.0</v>
      </c>
      <c r="G45" s="108">
        <f t="shared" si="7"/>
        <v>1</v>
      </c>
      <c r="H45" s="108"/>
      <c r="I45" s="111">
        <f t="shared" si="8"/>
        <v>7.87</v>
      </c>
      <c r="J45" s="109">
        <f t="shared" si="9"/>
        <v>2.103786816</v>
      </c>
      <c r="K45" s="110"/>
    </row>
    <row r="46">
      <c r="A46" s="106" t="s">
        <v>1372</v>
      </c>
      <c r="B46" s="16">
        <v>7.13</v>
      </c>
      <c r="C46" s="12">
        <v>45945.0</v>
      </c>
      <c r="D46" s="12"/>
      <c r="E46" s="12">
        <v>45946.0</v>
      </c>
      <c r="F46" s="107">
        <v>15.0</v>
      </c>
      <c r="G46" s="108">
        <f t="shared" si="7"/>
        <v>1</v>
      </c>
      <c r="H46" s="108"/>
      <c r="I46" s="111">
        <f t="shared" si="8"/>
        <v>7.87</v>
      </c>
      <c r="J46" s="109">
        <f t="shared" si="9"/>
        <v>2.103786816</v>
      </c>
      <c r="K46" s="110"/>
    </row>
    <row r="47">
      <c r="A47" s="106" t="s">
        <v>1373</v>
      </c>
      <c r="B47" s="16">
        <v>7.13</v>
      </c>
      <c r="C47" s="12">
        <v>45945.0</v>
      </c>
      <c r="D47" s="12"/>
      <c r="E47" s="12">
        <v>45946.0</v>
      </c>
      <c r="F47" s="107">
        <v>15.0</v>
      </c>
      <c r="G47" s="108">
        <f t="shared" si="7"/>
        <v>1</v>
      </c>
      <c r="H47" s="108"/>
      <c r="I47" s="111">
        <f t="shared" si="8"/>
        <v>7.87</v>
      </c>
      <c r="J47" s="109">
        <f t="shared" si="9"/>
        <v>2.103786816</v>
      </c>
      <c r="K47" s="110"/>
    </row>
    <row r="48">
      <c r="A48" s="106" t="s">
        <v>1374</v>
      </c>
      <c r="B48" s="16">
        <v>7.13</v>
      </c>
      <c r="C48" s="12">
        <v>45945.0</v>
      </c>
      <c r="D48" s="12"/>
      <c r="E48" s="12">
        <v>45946.0</v>
      </c>
      <c r="F48" s="107">
        <v>19.0</v>
      </c>
      <c r="G48" s="108">
        <f t="shared" si="7"/>
        <v>1</v>
      </c>
      <c r="H48" s="108"/>
      <c r="I48" s="111">
        <f t="shared" si="8"/>
        <v>11.87</v>
      </c>
      <c r="J48" s="109">
        <f t="shared" si="9"/>
        <v>2.664796634</v>
      </c>
      <c r="K48" s="110"/>
    </row>
    <row r="49">
      <c r="A49" s="106" t="s">
        <v>1375</v>
      </c>
      <c r="B49" s="16">
        <v>7.13</v>
      </c>
      <c r="C49" s="12">
        <v>45946.0</v>
      </c>
      <c r="D49" s="12"/>
      <c r="E49" s="12">
        <v>45946.0</v>
      </c>
      <c r="F49" s="107">
        <v>15.0</v>
      </c>
      <c r="G49" s="108">
        <f t="shared" si="7"/>
        <v>0</v>
      </c>
      <c r="H49" s="108"/>
      <c r="I49" s="111">
        <f t="shared" si="8"/>
        <v>7.87</v>
      </c>
      <c r="J49" s="109">
        <f t="shared" si="9"/>
        <v>2.103786816</v>
      </c>
      <c r="K49" s="110"/>
    </row>
    <row r="50">
      <c r="A50" s="106" t="s">
        <v>1376</v>
      </c>
      <c r="B50" s="16">
        <v>7.13</v>
      </c>
      <c r="C50" s="12">
        <v>45946.0</v>
      </c>
      <c r="D50" s="12"/>
      <c r="E50" s="12">
        <v>45946.0</v>
      </c>
      <c r="F50" s="107">
        <v>19.0</v>
      </c>
      <c r="G50" s="108">
        <f t="shared" si="7"/>
        <v>0</v>
      </c>
      <c r="H50" s="108"/>
      <c r="I50" s="111">
        <f t="shared" si="8"/>
        <v>11.87</v>
      </c>
      <c r="J50" s="109">
        <f t="shared" si="9"/>
        <v>2.664796634</v>
      </c>
      <c r="K50" s="110"/>
    </row>
    <row r="51">
      <c r="A51" s="106" t="s">
        <v>1377</v>
      </c>
      <c r="B51" s="16">
        <v>7.18</v>
      </c>
      <c r="C51" s="12">
        <v>45904.0</v>
      </c>
      <c r="D51" s="12"/>
      <c r="E51" s="12">
        <v>45948.0</v>
      </c>
      <c r="F51" s="107">
        <v>12.5</v>
      </c>
      <c r="G51" s="108">
        <f t="shared" si="7"/>
        <v>44</v>
      </c>
      <c r="H51" s="108"/>
      <c r="I51" s="111">
        <f t="shared" si="8"/>
        <v>5.32</v>
      </c>
      <c r="J51" s="109">
        <f t="shared" si="9"/>
        <v>1.740947075</v>
      </c>
      <c r="K51" s="110"/>
    </row>
    <row r="52">
      <c r="A52" s="106" t="s">
        <v>1378</v>
      </c>
      <c r="B52" s="16">
        <v>7.18</v>
      </c>
      <c r="C52" s="12">
        <v>45904.0</v>
      </c>
      <c r="D52" s="12"/>
      <c r="E52" s="12">
        <v>45948.0</v>
      </c>
      <c r="F52" s="107">
        <v>12.5</v>
      </c>
      <c r="G52" s="108">
        <f t="shared" si="7"/>
        <v>44</v>
      </c>
      <c r="H52" s="108"/>
      <c r="I52" s="111">
        <f t="shared" si="8"/>
        <v>5.32</v>
      </c>
      <c r="J52" s="109">
        <f t="shared" si="9"/>
        <v>1.740947075</v>
      </c>
      <c r="K52" s="110"/>
    </row>
    <row r="53">
      <c r="A53" s="106" t="s">
        <v>1379</v>
      </c>
      <c r="B53" s="16">
        <v>1.42</v>
      </c>
      <c r="C53" s="12">
        <v>45906.0</v>
      </c>
      <c r="D53" s="12"/>
      <c r="E53" s="12">
        <v>45948.0</v>
      </c>
      <c r="F53" s="107">
        <v>4.0</v>
      </c>
      <c r="G53" s="108">
        <f t="shared" si="7"/>
        <v>42</v>
      </c>
      <c r="H53" s="108"/>
      <c r="I53" s="111">
        <f t="shared" si="8"/>
        <v>2.58</v>
      </c>
      <c r="J53" s="109">
        <f t="shared" si="9"/>
        <v>2.816901408</v>
      </c>
      <c r="K53" s="110"/>
    </row>
    <row r="54">
      <c r="A54" s="106" t="s">
        <v>1380</v>
      </c>
      <c r="B54" s="16">
        <v>4.75</v>
      </c>
      <c r="C54" s="12">
        <v>45924.0</v>
      </c>
      <c r="D54" s="12"/>
      <c r="E54" s="12">
        <v>45948.0</v>
      </c>
      <c r="F54" s="107">
        <v>12.0</v>
      </c>
      <c r="G54" s="108">
        <f t="shared" si="7"/>
        <v>24</v>
      </c>
      <c r="H54" s="108"/>
      <c r="I54" s="111">
        <f t="shared" si="8"/>
        <v>7.25</v>
      </c>
      <c r="J54" s="109">
        <f t="shared" si="9"/>
        <v>2.526315789</v>
      </c>
      <c r="K54" s="110"/>
    </row>
    <row r="55">
      <c r="A55" s="106" t="s">
        <v>1381</v>
      </c>
      <c r="B55" s="16">
        <v>7.13</v>
      </c>
      <c r="C55" s="12">
        <v>45944.0</v>
      </c>
      <c r="D55" s="12"/>
      <c r="E55" s="12">
        <v>45948.0</v>
      </c>
      <c r="F55" s="107">
        <v>15.0</v>
      </c>
      <c r="G55" s="108">
        <f t="shared" si="7"/>
        <v>4</v>
      </c>
      <c r="H55" s="108"/>
      <c r="I55" s="111">
        <f t="shared" si="8"/>
        <v>7.87</v>
      </c>
      <c r="J55" s="109">
        <f t="shared" si="9"/>
        <v>2.103786816</v>
      </c>
      <c r="K55" s="110"/>
    </row>
    <row r="56">
      <c r="A56" s="106" t="s">
        <v>1382</v>
      </c>
      <c r="B56" s="16">
        <v>7.13</v>
      </c>
      <c r="C56" s="12">
        <v>45945.0</v>
      </c>
      <c r="D56" s="12"/>
      <c r="E56" s="12">
        <v>45948.0</v>
      </c>
      <c r="F56" s="107">
        <v>18.0</v>
      </c>
      <c r="G56" s="108">
        <f t="shared" si="7"/>
        <v>3</v>
      </c>
      <c r="H56" s="108"/>
      <c r="I56" s="111">
        <f t="shared" si="8"/>
        <v>10.87</v>
      </c>
      <c r="J56" s="109">
        <f t="shared" si="9"/>
        <v>2.52454418</v>
      </c>
      <c r="K56" s="110"/>
    </row>
    <row r="57">
      <c r="A57" s="106" t="s">
        <v>1383</v>
      </c>
      <c r="B57" s="16">
        <v>7.13</v>
      </c>
      <c r="C57" s="12">
        <v>45946.0</v>
      </c>
      <c r="D57" s="12"/>
      <c r="E57" s="12">
        <v>45948.0</v>
      </c>
      <c r="F57" s="107">
        <v>18.0</v>
      </c>
      <c r="G57" s="108">
        <f t="shared" si="7"/>
        <v>2</v>
      </c>
      <c r="H57" s="108"/>
      <c r="I57" s="111">
        <f t="shared" si="8"/>
        <v>10.87</v>
      </c>
      <c r="J57" s="109">
        <f t="shared" si="9"/>
        <v>2.52454418</v>
      </c>
      <c r="K57" s="110"/>
    </row>
    <row r="58">
      <c r="A58" s="106" t="s">
        <v>1384</v>
      </c>
      <c r="B58" s="16">
        <v>7.13</v>
      </c>
      <c r="C58" s="12">
        <v>45946.0</v>
      </c>
      <c r="D58" s="12"/>
      <c r="E58" s="12">
        <v>45948.0</v>
      </c>
      <c r="F58" s="107">
        <v>16.0</v>
      </c>
      <c r="G58" s="108">
        <f t="shared" si="7"/>
        <v>2</v>
      </c>
      <c r="H58" s="108"/>
      <c r="I58" s="111">
        <f t="shared" si="8"/>
        <v>8.87</v>
      </c>
      <c r="J58" s="109">
        <f t="shared" si="9"/>
        <v>2.244039271</v>
      </c>
      <c r="K58" s="110"/>
    </row>
    <row r="59">
      <c r="A59" s="106" t="s">
        <v>1385</v>
      </c>
      <c r="B59" s="16">
        <v>7.13</v>
      </c>
      <c r="C59" s="12">
        <v>45946.0</v>
      </c>
      <c r="D59" s="12"/>
      <c r="E59" s="12">
        <v>45948.0</v>
      </c>
      <c r="F59" s="107">
        <v>15.2</v>
      </c>
      <c r="G59" s="108">
        <f t="shared" si="7"/>
        <v>2</v>
      </c>
      <c r="H59" s="108"/>
      <c r="I59" s="111">
        <f t="shared" si="8"/>
        <v>8.07</v>
      </c>
      <c r="J59" s="109">
        <f t="shared" si="9"/>
        <v>2.131837307</v>
      </c>
      <c r="K59" s="110"/>
    </row>
    <row r="60">
      <c r="A60" s="106" t="s">
        <v>1386</v>
      </c>
      <c r="B60" s="16">
        <v>7.13</v>
      </c>
      <c r="C60" s="12">
        <v>45946.0</v>
      </c>
      <c r="D60" s="12"/>
      <c r="E60" s="12">
        <v>45948.0</v>
      </c>
      <c r="F60" s="107">
        <v>18.0</v>
      </c>
      <c r="G60" s="108">
        <f t="shared" si="7"/>
        <v>2</v>
      </c>
      <c r="H60" s="108"/>
      <c r="I60" s="111">
        <f t="shared" si="8"/>
        <v>10.87</v>
      </c>
      <c r="J60" s="109">
        <f t="shared" si="9"/>
        <v>2.52454418</v>
      </c>
      <c r="K60" s="110"/>
    </row>
    <row r="61">
      <c r="A61" s="106" t="s">
        <v>1387</v>
      </c>
      <c r="B61" s="16">
        <v>7.13</v>
      </c>
      <c r="C61" s="12">
        <v>45947.0</v>
      </c>
      <c r="D61" s="12"/>
      <c r="E61" s="12">
        <v>45948.0</v>
      </c>
      <c r="F61" s="107">
        <v>19.0</v>
      </c>
      <c r="G61" s="108">
        <f t="shared" si="7"/>
        <v>1</v>
      </c>
      <c r="H61" s="108"/>
      <c r="I61" s="111">
        <f t="shared" si="8"/>
        <v>11.87</v>
      </c>
      <c r="J61" s="109">
        <f t="shared" si="9"/>
        <v>2.664796634</v>
      </c>
      <c r="K61" s="110"/>
    </row>
    <row r="62">
      <c r="A62" s="106" t="s">
        <v>1388</v>
      </c>
      <c r="B62" s="16">
        <v>7.13</v>
      </c>
      <c r="C62" s="12">
        <v>45947.0</v>
      </c>
      <c r="D62" s="12"/>
      <c r="E62" s="12">
        <v>45948.0</v>
      </c>
      <c r="F62" s="107">
        <v>19.0</v>
      </c>
      <c r="G62" s="108">
        <f t="shared" si="7"/>
        <v>1</v>
      </c>
      <c r="H62" s="108"/>
      <c r="I62" s="111">
        <f t="shared" si="8"/>
        <v>11.87</v>
      </c>
      <c r="J62" s="109">
        <f t="shared" si="9"/>
        <v>2.664796634</v>
      </c>
      <c r="K62" s="110"/>
    </row>
    <row r="63">
      <c r="A63" s="106" t="s">
        <v>1389</v>
      </c>
      <c r="B63" s="16">
        <v>7.13</v>
      </c>
      <c r="C63" s="12">
        <v>45947.0</v>
      </c>
      <c r="D63" s="12"/>
      <c r="E63" s="12">
        <v>45948.0</v>
      </c>
      <c r="F63" s="107">
        <v>18.0</v>
      </c>
      <c r="G63" s="108">
        <f t="shared" si="7"/>
        <v>1</v>
      </c>
      <c r="H63" s="108"/>
      <c r="I63" s="111">
        <f t="shared" si="8"/>
        <v>10.87</v>
      </c>
      <c r="J63" s="109">
        <f t="shared" si="9"/>
        <v>2.52454418</v>
      </c>
      <c r="K63" s="110"/>
    </row>
    <row r="64">
      <c r="A64" s="106" t="s">
        <v>1390</v>
      </c>
      <c r="B64" s="16">
        <v>7.13</v>
      </c>
      <c r="C64" s="12">
        <v>45947.0</v>
      </c>
      <c r="D64" s="12"/>
      <c r="E64" s="12">
        <v>45948.0</v>
      </c>
      <c r="F64" s="107">
        <v>15.0</v>
      </c>
      <c r="G64" s="108">
        <f t="shared" si="7"/>
        <v>1</v>
      </c>
      <c r="H64" s="108"/>
      <c r="I64" s="111">
        <f t="shared" si="8"/>
        <v>7.87</v>
      </c>
      <c r="J64" s="109">
        <f t="shared" si="9"/>
        <v>2.103786816</v>
      </c>
      <c r="K64" s="110"/>
    </row>
    <row r="65">
      <c r="A65" s="106" t="s">
        <v>1391</v>
      </c>
      <c r="B65" s="16">
        <v>7.13</v>
      </c>
      <c r="C65" s="12">
        <v>45948.0</v>
      </c>
      <c r="D65" s="12"/>
      <c r="E65" s="12">
        <v>45948.0</v>
      </c>
      <c r="F65" s="107">
        <v>17.5</v>
      </c>
      <c r="G65" s="108">
        <f t="shared" si="7"/>
        <v>0</v>
      </c>
      <c r="H65" s="108"/>
      <c r="I65" s="111">
        <f t="shared" si="8"/>
        <v>10.37</v>
      </c>
      <c r="J65" s="109">
        <f t="shared" si="9"/>
        <v>2.454417952</v>
      </c>
      <c r="K65" s="110"/>
    </row>
    <row r="66">
      <c r="A66" s="106" t="s">
        <v>1392</v>
      </c>
      <c r="B66" s="16">
        <v>7.13</v>
      </c>
      <c r="C66" s="12">
        <v>45948.0</v>
      </c>
      <c r="D66" s="12"/>
      <c r="E66" s="12">
        <v>45948.0</v>
      </c>
      <c r="F66" s="107">
        <v>17.5</v>
      </c>
      <c r="G66" s="108">
        <f t="shared" si="7"/>
        <v>0</v>
      </c>
      <c r="H66" s="108"/>
      <c r="I66" s="111">
        <f t="shared" si="8"/>
        <v>10.37</v>
      </c>
      <c r="J66" s="109">
        <f t="shared" si="9"/>
        <v>2.454417952</v>
      </c>
      <c r="K66" s="110"/>
    </row>
    <row r="67">
      <c r="A67" s="106" t="s">
        <v>1393</v>
      </c>
      <c r="B67" s="16">
        <v>7.13</v>
      </c>
      <c r="C67" s="12">
        <v>45948.0</v>
      </c>
      <c r="D67" s="12"/>
      <c r="E67" s="12">
        <v>45948.0</v>
      </c>
      <c r="F67" s="107">
        <v>15.0</v>
      </c>
      <c r="G67" s="108">
        <f t="shared" si="7"/>
        <v>0</v>
      </c>
      <c r="H67" s="108"/>
      <c r="I67" s="111">
        <f t="shared" si="8"/>
        <v>7.87</v>
      </c>
      <c r="J67" s="109">
        <f t="shared" si="9"/>
        <v>2.103786816</v>
      </c>
      <c r="K67" s="110"/>
    </row>
    <row r="68">
      <c r="A68" s="106" t="s">
        <v>1394</v>
      </c>
      <c r="B68" s="16">
        <v>7.18</v>
      </c>
      <c r="C68" s="12">
        <v>45904.0</v>
      </c>
      <c r="D68" s="12"/>
      <c r="E68" s="12">
        <v>45949.0</v>
      </c>
      <c r="F68" s="107">
        <v>12.0</v>
      </c>
      <c r="G68" s="108">
        <f t="shared" si="7"/>
        <v>45</v>
      </c>
      <c r="H68" s="108"/>
      <c r="I68" s="111">
        <f t="shared" si="8"/>
        <v>4.82</v>
      </c>
      <c r="J68" s="109">
        <f t="shared" si="9"/>
        <v>1.671309192</v>
      </c>
      <c r="K68" s="110"/>
    </row>
    <row r="69">
      <c r="A69" s="106" t="s">
        <v>1395</v>
      </c>
      <c r="B69" s="16">
        <v>7.18</v>
      </c>
      <c r="C69" s="12">
        <v>45904.0</v>
      </c>
      <c r="D69" s="12"/>
      <c r="E69" s="12">
        <v>45949.0</v>
      </c>
      <c r="F69" s="107">
        <v>12.0</v>
      </c>
      <c r="G69" s="108">
        <f t="shared" si="7"/>
        <v>45</v>
      </c>
      <c r="H69" s="108"/>
      <c r="I69" s="111">
        <f t="shared" si="8"/>
        <v>4.82</v>
      </c>
      <c r="J69" s="109">
        <f t="shared" si="9"/>
        <v>1.671309192</v>
      </c>
      <c r="K69" s="110"/>
    </row>
    <row r="70">
      <c r="A70" s="106" t="s">
        <v>1396</v>
      </c>
      <c r="B70" s="16">
        <v>7.13</v>
      </c>
      <c r="C70" s="12">
        <v>45941.0</v>
      </c>
      <c r="D70" s="12"/>
      <c r="E70" s="12">
        <v>45949.0</v>
      </c>
      <c r="F70" s="107">
        <v>20.0</v>
      </c>
      <c r="G70" s="108">
        <f t="shared" si="7"/>
        <v>8</v>
      </c>
      <c r="H70" s="108"/>
      <c r="I70" s="111">
        <f t="shared" si="8"/>
        <v>12.87</v>
      </c>
      <c r="J70" s="109">
        <f t="shared" si="9"/>
        <v>2.805049088</v>
      </c>
      <c r="K70" s="110"/>
    </row>
    <row r="71">
      <c r="A71" s="106" t="s">
        <v>1397</v>
      </c>
      <c r="B71" s="16">
        <v>7.13</v>
      </c>
      <c r="C71" s="12">
        <v>45942.0</v>
      </c>
      <c r="D71" s="12"/>
      <c r="E71" s="12">
        <v>45949.0</v>
      </c>
      <c r="F71" s="107">
        <v>19.0</v>
      </c>
      <c r="G71" s="108">
        <f t="shared" si="7"/>
        <v>7</v>
      </c>
      <c r="H71" s="108"/>
      <c r="I71" s="111">
        <f t="shared" si="8"/>
        <v>11.87</v>
      </c>
      <c r="J71" s="109">
        <f t="shared" si="9"/>
        <v>2.664796634</v>
      </c>
      <c r="K71" s="110"/>
    </row>
    <row r="72">
      <c r="A72" s="106" t="s">
        <v>1398</v>
      </c>
      <c r="B72" s="16">
        <v>7.13</v>
      </c>
      <c r="C72" s="12">
        <v>45944.0</v>
      </c>
      <c r="D72" s="12"/>
      <c r="E72" s="12">
        <v>45949.0</v>
      </c>
      <c r="F72" s="107">
        <v>15.08</v>
      </c>
      <c r="G72" s="108">
        <f t="shared" si="7"/>
        <v>5</v>
      </c>
      <c r="H72" s="108"/>
      <c r="I72" s="111">
        <f t="shared" si="8"/>
        <v>7.95</v>
      </c>
      <c r="J72" s="109">
        <f t="shared" si="9"/>
        <v>2.115007013</v>
      </c>
      <c r="K72" s="110"/>
    </row>
    <row r="73">
      <c r="A73" s="106" t="s">
        <v>1399</v>
      </c>
      <c r="B73" s="16">
        <v>7.13</v>
      </c>
      <c r="C73" s="12">
        <v>45944.0</v>
      </c>
      <c r="D73" s="12"/>
      <c r="E73" s="12">
        <v>45949.0</v>
      </c>
      <c r="F73" s="107">
        <v>19.0</v>
      </c>
      <c r="G73" s="108">
        <f t="shared" si="7"/>
        <v>5</v>
      </c>
      <c r="H73" s="108"/>
      <c r="I73" s="111">
        <f t="shared" si="8"/>
        <v>11.87</v>
      </c>
      <c r="J73" s="109">
        <f t="shared" si="9"/>
        <v>2.664796634</v>
      </c>
      <c r="K73" s="110"/>
    </row>
    <row r="74">
      <c r="A74" s="106" t="s">
        <v>1400</v>
      </c>
      <c r="B74" s="16">
        <v>7.13</v>
      </c>
      <c r="C74" s="12">
        <v>45944.0</v>
      </c>
      <c r="D74" s="12"/>
      <c r="E74" s="12">
        <v>45949.0</v>
      </c>
      <c r="F74" s="107">
        <v>20.0</v>
      </c>
      <c r="G74" s="108">
        <f t="shared" si="7"/>
        <v>5</v>
      </c>
      <c r="H74" s="108"/>
      <c r="I74" s="111">
        <f t="shared" si="8"/>
        <v>12.87</v>
      </c>
      <c r="J74" s="109">
        <f t="shared" si="9"/>
        <v>2.805049088</v>
      </c>
      <c r="K74" s="110"/>
    </row>
    <row r="75">
      <c r="A75" s="106" t="s">
        <v>1401</v>
      </c>
      <c r="B75" s="16">
        <v>7.13</v>
      </c>
      <c r="C75" s="12">
        <v>45947.0</v>
      </c>
      <c r="D75" s="12"/>
      <c r="E75" s="12">
        <v>45949.0</v>
      </c>
      <c r="F75" s="107">
        <v>15.0</v>
      </c>
      <c r="G75" s="108">
        <f t="shared" si="7"/>
        <v>2</v>
      </c>
      <c r="H75" s="108"/>
      <c r="I75" s="111">
        <f t="shared" si="8"/>
        <v>7.87</v>
      </c>
      <c r="J75" s="109">
        <f t="shared" si="9"/>
        <v>2.103786816</v>
      </c>
      <c r="K75" s="110"/>
    </row>
    <row r="76">
      <c r="A76" s="106" t="s">
        <v>1402</v>
      </c>
      <c r="B76" s="16">
        <v>7.13</v>
      </c>
      <c r="C76" s="12">
        <v>45948.0</v>
      </c>
      <c r="D76" s="12"/>
      <c r="E76" s="12">
        <v>45949.0</v>
      </c>
      <c r="F76" s="107">
        <v>18.0</v>
      </c>
      <c r="G76" s="108">
        <f t="shared" si="7"/>
        <v>1</v>
      </c>
      <c r="H76" s="108"/>
      <c r="I76" s="111">
        <f t="shared" si="8"/>
        <v>10.87</v>
      </c>
      <c r="J76" s="109">
        <f t="shared" si="9"/>
        <v>2.52454418</v>
      </c>
      <c r="K76" s="110"/>
    </row>
    <row r="77">
      <c r="A77" s="106" t="s">
        <v>1403</v>
      </c>
      <c r="B77" s="16">
        <v>7.13</v>
      </c>
      <c r="C77" s="12">
        <v>45948.0</v>
      </c>
      <c r="D77" s="12"/>
      <c r="E77" s="12">
        <v>45949.0</v>
      </c>
      <c r="F77" s="107">
        <v>18.0</v>
      </c>
      <c r="G77" s="108">
        <f t="shared" si="7"/>
        <v>1</v>
      </c>
      <c r="H77" s="108"/>
      <c r="I77" s="111">
        <f t="shared" si="8"/>
        <v>10.87</v>
      </c>
      <c r="J77" s="109">
        <f t="shared" si="9"/>
        <v>2.52454418</v>
      </c>
      <c r="K77" s="110"/>
    </row>
    <row r="78">
      <c r="A78" s="106" t="s">
        <v>1404</v>
      </c>
      <c r="B78" s="16">
        <v>7.13</v>
      </c>
      <c r="C78" s="12">
        <v>45949.0</v>
      </c>
      <c r="D78" s="12"/>
      <c r="E78" s="12">
        <v>45949.0</v>
      </c>
      <c r="F78" s="107">
        <v>18.0</v>
      </c>
      <c r="G78" s="108">
        <f t="shared" si="7"/>
        <v>0</v>
      </c>
      <c r="H78" s="108"/>
      <c r="I78" s="111">
        <f t="shared" si="8"/>
        <v>10.87</v>
      </c>
      <c r="J78" s="109">
        <f t="shared" si="9"/>
        <v>2.52454418</v>
      </c>
      <c r="K78" s="110"/>
    </row>
    <row r="79">
      <c r="A79" s="106" t="s">
        <v>1405</v>
      </c>
      <c r="B79" s="16">
        <v>7.13</v>
      </c>
      <c r="C79" s="12">
        <v>45949.0</v>
      </c>
      <c r="D79" s="12"/>
      <c r="E79" s="12">
        <v>45949.0</v>
      </c>
      <c r="F79" s="107">
        <v>15.0</v>
      </c>
      <c r="G79" s="108">
        <f t="shared" si="7"/>
        <v>0</v>
      </c>
      <c r="H79" s="108"/>
      <c r="I79" s="111">
        <f t="shared" si="8"/>
        <v>7.87</v>
      </c>
      <c r="J79" s="109">
        <f t="shared" si="9"/>
        <v>2.103786816</v>
      </c>
      <c r="K79" s="110"/>
    </row>
    <row r="80">
      <c r="A80" s="106" t="s">
        <v>1406</v>
      </c>
      <c r="B80" s="16">
        <v>7.13</v>
      </c>
      <c r="C80" s="12">
        <v>45949.0</v>
      </c>
      <c r="D80" s="12"/>
      <c r="E80" s="12">
        <v>45949.0</v>
      </c>
      <c r="F80" s="107">
        <v>15.0</v>
      </c>
      <c r="G80" s="108">
        <f t="shared" si="7"/>
        <v>0</v>
      </c>
      <c r="H80" s="108"/>
      <c r="I80" s="111">
        <f t="shared" si="8"/>
        <v>7.87</v>
      </c>
      <c r="J80" s="109">
        <f t="shared" si="9"/>
        <v>2.103786816</v>
      </c>
      <c r="K80" s="110"/>
    </row>
    <row r="81">
      <c r="A81" s="112" t="str">
        <f>("TOTAL VENTE SEMAINE 3 : " &amp; COUNTA(B34:B80) )</f>
        <v>TOTAL VENTE SEMAINE 3 : 47</v>
      </c>
      <c r="B81" s="113"/>
      <c r="C81" s="114"/>
      <c r="D81" s="115"/>
      <c r="E81" s="115"/>
      <c r="F81" s="116">
        <f>SUM(F34:F80)</f>
        <v>821.83</v>
      </c>
      <c r="G81" s="117">
        <f>AVERAGE(G34:G80)</f>
        <v>9.617021277</v>
      </c>
      <c r="H81" s="117"/>
      <c r="I81" s="137">
        <f>SUM(I34:I80)</f>
        <v>427.91</v>
      </c>
      <c r="J81" s="118">
        <f>AVERAGE(J44:J80)</f>
        <v>2.333633725</v>
      </c>
      <c r="K81" s="119">
        <f>COUNTA(B34:B80)</f>
        <v>47</v>
      </c>
    </row>
    <row r="82">
      <c r="A82" s="132"/>
      <c r="B82" s="65"/>
      <c r="C82" s="133"/>
      <c r="D82" s="133"/>
      <c r="E82" s="133"/>
      <c r="F82" s="134"/>
      <c r="G82" s="135"/>
      <c r="H82" s="135"/>
    </row>
    <row r="83">
      <c r="A83" s="97" t="s">
        <v>1407</v>
      </c>
      <c r="B83" s="125"/>
      <c r="C83" s="126"/>
      <c r="D83" s="126"/>
      <c r="E83" s="126"/>
      <c r="F83" s="127"/>
      <c r="G83" s="128"/>
      <c r="H83" s="128"/>
      <c r="I83" s="129"/>
      <c r="J83" s="129"/>
      <c r="K83" s="105"/>
    </row>
    <row r="84">
      <c r="A84" s="106" t="s">
        <v>1408</v>
      </c>
      <c r="B84" s="16">
        <v>1.42</v>
      </c>
      <c r="C84" s="12">
        <v>45906.0</v>
      </c>
      <c r="D84" s="12"/>
      <c r="E84" s="12">
        <v>45950.0</v>
      </c>
      <c r="F84" s="107">
        <v>15.0</v>
      </c>
      <c r="G84" s="108">
        <f t="shared" ref="G84:G131" si="10">IF(ISBLANK(E84),"",E84-C84)</f>
        <v>44</v>
      </c>
      <c r="H84" s="108"/>
      <c r="I84" s="138">
        <f t="shared" ref="I84:I131" si="11">IF(F84="","",IF(F84-B84&lt;0,"",F84-B84))</f>
        <v>13.58</v>
      </c>
      <c r="J84" s="17">
        <f t="shared" ref="J84:J131" si="12">IF(F84="","",IF(F84/B84&lt;0,"",F84/B84))</f>
        <v>10.56338028</v>
      </c>
      <c r="K84" s="110"/>
    </row>
    <row r="85">
      <c r="A85" s="106" t="s">
        <v>1409</v>
      </c>
      <c r="B85" s="16">
        <v>7.13</v>
      </c>
      <c r="C85" s="12">
        <v>45942.0</v>
      </c>
      <c r="D85" s="12"/>
      <c r="E85" s="12">
        <v>45950.0</v>
      </c>
      <c r="F85" s="107">
        <v>19.0</v>
      </c>
      <c r="G85" s="108">
        <f t="shared" si="10"/>
        <v>8</v>
      </c>
      <c r="H85" s="108"/>
      <c r="I85" s="138">
        <f t="shared" si="11"/>
        <v>11.87</v>
      </c>
      <c r="J85" s="17">
        <f t="shared" si="12"/>
        <v>2.664796634</v>
      </c>
      <c r="K85" s="110"/>
    </row>
    <row r="86">
      <c r="A86" s="106" t="s">
        <v>1410</v>
      </c>
      <c r="B86" s="16">
        <v>7.13</v>
      </c>
      <c r="C86" s="12">
        <v>45942.0</v>
      </c>
      <c r="D86" s="12"/>
      <c r="E86" s="12">
        <v>45950.0</v>
      </c>
      <c r="F86" s="107">
        <v>16.25</v>
      </c>
      <c r="G86" s="108">
        <f t="shared" si="10"/>
        <v>8</v>
      </c>
      <c r="H86" s="108"/>
      <c r="I86" s="138">
        <f t="shared" si="11"/>
        <v>9.12</v>
      </c>
      <c r="J86" s="17">
        <f t="shared" si="12"/>
        <v>2.279102384</v>
      </c>
      <c r="K86" s="110"/>
    </row>
    <row r="87">
      <c r="A87" s="106" t="s">
        <v>1411</v>
      </c>
      <c r="B87" s="16">
        <v>7.13</v>
      </c>
      <c r="C87" s="12">
        <v>45945.0</v>
      </c>
      <c r="D87" s="12"/>
      <c r="E87" s="12">
        <v>45950.0</v>
      </c>
      <c r="F87" s="107">
        <v>16.25</v>
      </c>
      <c r="G87" s="108">
        <f t="shared" si="10"/>
        <v>5</v>
      </c>
      <c r="H87" s="108"/>
      <c r="I87" s="138">
        <f t="shared" si="11"/>
        <v>9.12</v>
      </c>
      <c r="J87" s="17">
        <f t="shared" si="12"/>
        <v>2.279102384</v>
      </c>
      <c r="K87" s="110"/>
    </row>
    <row r="88">
      <c r="A88" s="106" t="s">
        <v>1412</v>
      </c>
      <c r="B88" s="16">
        <v>7.13</v>
      </c>
      <c r="C88" s="12">
        <v>45948.0</v>
      </c>
      <c r="D88" s="12"/>
      <c r="E88" s="12">
        <v>45950.0</v>
      </c>
      <c r="F88" s="107">
        <v>16.25</v>
      </c>
      <c r="G88" s="108">
        <f t="shared" si="10"/>
        <v>2</v>
      </c>
      <c r="H88" s="108"/>
      <c r="I88" s="138">
        <f t="shared" si="11"/>
        <v>9.12</v>
      </c>
      <c r="J88" s="17">
        <f t="shared" si="12"/>
        <v>2.279102384</v>
      </c>
      <c r="K88" s="110"/>
    </row>
    <row r="89">
      <c r="A89" s="106" t="s">
        <v>1413</v>
      </c>
      <c r="B89" s="16">
        <v>7.13</v>
      </c>
      <c r="C89" s="12">
        <v>45950.0</v>
      </c>
      <c r="D89" s="12"/>
      <c r="E89" s="12">
        <v>45950.0</v>
      </c>
      <c r="F89" s="107">
        <v>19.0</v>
      </c>
      <c r="G89" s="108">
        <f t="shared" si="10"/>
        <v>0</v>
      </c>
      <c r="H89" s="108"/>
      <c r="I89" s="138">
        <f t="shared" si="11"/>
        <v>11.87</v>
      </c>
      <c r="J89" s="17">
        <f t="shared" si="12"/>
        <v>2.664796634</v>
      </c>
      <c r="K89" s="110"/>
    </row>
    <row r="90">
      <c r="A90" s="106" t="s">
        <v>1414</v>
      </c>
      <c r="B90" s="16">
        <v>7.13</v>
      </c>
      <c r="C90" s="12">
        <v>45950.0</v>
      </c>
      <c r="D90" s="12"/>
      <c r="E90" s="12">
        <v>45950.0</v>
      </c>
      <c r="F90" s="107">
        <v>16.25</v>
      </c>
      <c r="G90" s="108">
        <f t="shared" si="10"/>
        <v>0</v>
      </c>
      <c r="H90" s="108"/>
      <c r="I90" s="138">
        <f t="shared" si="11"/>
        <v>9.12</v>
      </c>
      <c r="J90" s="17">
        <f t="shared" si="12"/>
        <v>2.279102384</v>
      </c>
      <c r="K90" s="110"/>
    </row>
    <row r="91">
      <c r="A91" s="106" t="s">
        <v>1412</v>
      </c>
      <c r="B91" s="16">
        <v>7.13</v>
      </c>
      <c r="C91" s="12">
        <v>45948.0</v>
      </c>
      <c r="D91" s="12"/>
      <c r="E91" s="12">
        <v>45950.0</v>
      </c>
      <c r="F91" s="107">
        <v>16.25</v>
      </c>
      <c r="G91" s="108">
        <f t="shared" si="10"/>
        <v>2</v>
      </c>
      <c r="H91" s="108"/>
      <c r="I91" s="138">
        <f t="shared" si="11"/>
        <v>9.12</v>
      </c>
      <c r="J91" s="17">
        <f t="shared" si="12"/>
        <v>2.279102384</v>
      </c>
      <c r="K91" s="110"/>
    </row>
    <row r="92">
      <c r="A92" s="106" t="s">
        <v>1415</v>
      </c>
      <c r="B92" s="16">
        <v>7.13</v>
      </c>
      <c r="C92" s="12">
        <v>45950.0</v>
      </c>
      <c r="D92" s="12"/>
      <c r="E92" s="12">
        <v>45951.0</v>
      </c>
      <c r="F92" s="107">
        <v>19.0</v>
      </c>
      <c r="G92" s="108">
        <f t="shared" si="10"/>
        <v>1</v>
      </c>
      <c r="H92" s="108"/>
      <c r="I92" s="138">
        <f t="shared" si="11"/>
        <v>11.87</v>
      </c>
      <c r="J92" s="17">
        <f t="shared" si="12"/>
        <v>2.664796634</v>
      </c>
      <c r="K92" s="110"/>
    </row>
    <row r="93">
      <c r="A93" s="106" t="s">
        <v>1416</v>
      </c>
      <c r="B93" s="16">
        <v>7.13</v>
      </c>
      <c r="C93" s="12">
        <v>45950.0</v>
      </c>
      <c r="D93" s="12"/>
      <c r="E93" s="12">
        <v>45951.0</v>
      </c>
      <c r="F93" s="107">
        <v>17.1</v>
      </c>
      <c r="G93" s="108">
        <f t="shared" si="10"/>
        <v>1</v>
      </c>
      <c r="H93" s="108"/>
      <c r="I93" s="138">
        <f t="shared" si="11"/>
        <v>9.97</v>
      </c>
      <c r="J93" s="17">
        <f t="shared" si="12"/>
        <v>2.398316971</v>
      </c>
      <c r="K93" s="110"/>
    </row>
    <row r="94">
      <c r="A94" s="106" t="s">
        <v>1417</v>
      </c>
      <c r="B94" s="16">
        <v>7.13</v>
      </c>
      <c r="C94" s="12">
        <v>45950.0</v>
      </c>
      <c r="D94" s="12"/>
      <c r="E94" s="12">
        <v>45951.0</v>
      </c>
      <c r="F94" s="107">
        <v>25.0</v>
      </c>
      <c r="G94" s="108">
        <f t="shared" si="10"/>
        <v>1</v>
      </c>
      <c r="H94" s="108"/>
      <c r="I94" s="138">
        <f t="shared" si="11"/>
        <v>17.87</v>
      </c>
      <c r="J94" s="17">
        <f t="shared" si="12"/>
        <v>3.50631136</v>
      </c>
      <c r="K94" s="110"/>
    </row>
    <row r="95">
      <c r="A95" s="106" t="s">
        <v>1418</v>
      </c>
      <c r="B95" s="16">
        <v>7.13</v>
      </c>
      <c r="C95" s="12">
        <v>45950.0</v>
      </c>
      <c r="D95" s="12"/>
      <c r="E95" s="12">
        <v>45951.0</v>
      </c>
      <c r="F95" s="107">
        <v>18.0</v>
      </c>
      <c r="G95" s="108">
        <f t="shared" si="10"/>
        <v>1</v>
      </c>
      <c r="H95" s="108"/>
      <c r="I95" s="138">
        <f t="shared" si="11"/>
        <v>10.87</v>
      </c>
      <c r="J95" s="17">
        <f t="shared" si="12"/>
        <v>2.52454418</v>
      </c>
      <c r="K95" s="110"/>
    </row>
    <row r="96">
      <c r="A96" s="106" t="s">
        <v>1419</v>
      </c>
      <c r="B96" s="16">
        <v>7.13</v>
      </c>
      <c r="C96" s="12">
        <v>45951.0</v>
      </c>
      <c r="D96" s="12"/>
      <c r="E96" s="12">
        <v>45952.0</v>
      </c>
      <c r="F96" s="107">
        <v>15.0</v>
      </c>
      <c r="G96" s="108">
        <f t="shared" si="10"/>
        <v>1</v>
      </c>
      <c r="H96" s="108"/>
      <c r="I96" s="138">
        <f t="shared" si="11"/>
        <v>7.87</v>
      </c>
      <c r="J96" s="17">
        <f t="shared" si="12"/>
        <v>2.103786816</v>
      </c>
      <c r="K96" s="110"/>
    </row>
    <row r="97">
      <c r="A97" s="106" t="s">
        <v>1420</v>
      </c>
      <c r="B97" s="16">
        <v>7.13</v>
      </c>
      <c r="C97" s="12">
        <v>45951.0</v>
      </c>
      <c r="D97" s="12"/>
      <c r="E97" s="12">
        <v>45952.0</v>
      </c>
      <c r="F97" s="107">
        <v>19.0</v>
      </c>
      <c r="G97" s="108">
        <f t="shared" si="10"/>
        <v>1</v>
      </c>
      <c r="H97" s="108"/>
      <c r="I97" s="138">
        <f t="shared" si="11"/>
        <v>11.87</v>
      </c>
      <c r="J97" s="17">
        <f t="shared" si="12"/>
        <v>2.664796634</v>
      </c>
      <c r="K97" s="110"/>
    </row>
    <row r="98">
      <c r="A98" s="106" t="s">
        <v>1421</v>
      </c>
      <c r="B98" s="16">
        <v>7.13</v>
      </c>
      <c r="C98" s="12">
        <v>45952.0</v>
      </c>
      <c r="D98" s="12"/>
      <c r="E98" s="12">
        <v>45952.0</v>
      </c>
      <c r="F98" s="107">
        <v>17.0</v>
      </c>
      <c r="G98" s="108">
        <f t="shared" si="10"/>
        <v>0</v>
      </c>
      <c r="H98" s="108"/>
      <c r="I98" s="138">
        <f t="shared" si="11"/>
        <v>9.87</v>
      </c>
      <c r="J98" s="17">
        <f t="shared" si="12"/>
        <v>2.384291725</v>
      </c>
      <c r="K98" s="110"/>
    </row>
    <row r="99">
      <c r="A99" s="106" t="s">
        <v>1422</v>
      </c>
      <c r="B99" s="16">
        <v>4.75</v>
      </c>
      <c r="C99" s="12">
        <v>45924.0</v>
      </c>
      <c r="D99" s="12"/>
      <c r="E99" s="12">
        <v>45953.0</v>
      </c>
      <c r="F99" s="107">
        <v>14.0</v>
      </c>
      <c r="G99" s="108">
        <f t="shared" si="10"/>
        <v>29</v>
      </c>
      <c r="H99" s="108"/>
      <c r="I99" s="138">
        <f t="shared" si="11"/>
        <v>9.25</v>
      </c>
      <c r="J99" s="17">
        <f t="shared" si="12"/>
        <v>2.947368421</v>
      </c>
      <c r="K99" s="110"/>
    </row>
    <row r="100">
      <c r="A100" s="106" t="s">
        <v>1423</v>
      </c>
      <c r="B100" s="16">
        <v>7.13</v>
      </c>
      <c r="C100" s="12">
        <v>45947.0</v>
      </c>
      <c r="D100" s="12"/>
      <c r="E100" s="12">
        <v>45953.0</v>
      </c>
      <c r="F100" s="107">
        <v>19.0</v>
      </c>
      <c r="G100" s="108">
        <f t="shared" si="10"/>
        <v>6</v>
      </c>
      <c r="H100" s="108"/>
      <c r="I100" s="138">
        <f t="shared" si="11"/>
        <v>11.87</v>
      </c>
      <c r="J100" s="17">
        <f t="shared" si="12"/>
        <v>2.664796634</v>
      </c>
      <c r="K100" s="110"/>
    </row>
    <row r="101">
      <c r="A101" s="106" t="s">
        <v>1424</v>
      </c>
      <c r="B101" s="16">
        <v>7.13</v>
      </c>
      <c r="C101" s="12">
        <v>45948.0</v>
      </c>
      <c r="D101" s="12"/>
      <c r="E101" s="12">
        <v>45953.0</v>
      </c>
      <c r="F101" s="107">
        <v>14.21</v>
      </c>
      <c r="G101" s="108">
        <f t="shared" si="10"/>
        <v>5</v>
      </c>
      <c r="H101" s="108"/>
      <c r="I101" s="138">
        <f t="shared" si="11"/>
        <v>7.08</v>
      </c>
      <c r="J101" s="17">
        <f t="shared" si="12"/>
        <v>1.992987377</v>
      </c>
      <c r="K101" s="110"/>
    </row>
    <row r="102">
      <c r="A102" s="106" t="s">
        <v>1425</v>
      </c>
      <c r="B102" s="16">
        <v>7.13</v>
      </c>
      <c r="C102" s="12">
        <v>45949.0</v>
      </c>
      <c r="D102" s="12"/>
      <c r="E102" s="12">
        <v>45953.0</v>
      </c>
      <c r="F102" s="107">
        <v>16.25</v>
      </c>
      <c r="G102" s="108">
        <f t="shared" si="10"/>
        <v>4</v>
      </c>
      <c r="H102" s="108"/>
      <c r="I102" s="138">
        <f t="shared" si="11"/>
        <v>9.12</v>
      </c>
      <c r="J102" s="17">
        <f t="shared" si="12"/>
        <v>2.279102384</v>
      </c>
      <c r="K102" s="110"/>
    </row>
    <row r="103">
      <c r="A103" s="106" t="s">
        <v>1426</v>
      </c>
      <c r="B103" s="16">
        <v>7.13</v>
      </c>
      <c r="C103" s="12">
        <v>45952.0</v>
      </c>
      <c r="D103" s="12"/>
      <c r="E103" s="12">
        <v>45953.0</v>
      </c>
      <c r="F103" s="107">
        <v>14.0</v>
      </c>
      <c r="G103" s="108">
        <f t="shared" si="10"/>
        <v>1</v>
      </c>
      <c r="H103" s="108"/>
      <c r="I103" s="138">
        <f t="shared" si="11"/>
        <v>6.87</v>
      </c>
      <c r="J103" s="17">
        <f t="shared" si="12"/>
        <v>1.963534362</v>
      </c>
      <c r="K103" s="110"/>
    </row>
    <row r="104">
      <c r="A104" s="106" t="s">
        <v>1427</v>
      </c>
      <c r="B104" s="16">
        <v>7.13</v>
      </c>
      <c r="C104" s="12">
        <v>45953.0</v>
      </c>
      <c r="D104" s="12"/>
      <c r="E104" s="12">
        <v>45953.0</v>
      </c>
      <c r="F104" s="107">
        <v>16.25</v>
      </c>
      <c r="G104" s="108">
        <f t="shared" si="10"/>
        <v>0</v>
      </c>
      <c r="H104" s="108"/>
      <c r="I104" s="138">
        <f t="shared" si="11"/>
        <v>9.12</v>
      </c>
      <c r="J104" s="17">
        <f t="shared" si="12"/>
        <v>2.279102384</v>
      </c>
      <c r="K104" s="110"/>
    </row>
    <row r="105">
      <c r="A105" s="106" t="s">
        <v>1428</v>
      </c>
      <c r="B105" s="16">
        <v>7.13</v>
      </c>
      <c r="C105" s="12">
        <v>45953.0</v>
      </c>
      <c r="D105" s="12"/>
      <c r="E105" s="12">
        <v>45953.0</v>
      </c>
      <c r="F105" s="107">
        <v>19.0</v>
      </c>
      <c r="G105" s="108">
        <f t="shared" si="10"/>
        <v>0</v>
      </c>
      <c r="H105" s="108"/>
      <c r="I105" s="138">
        <f t="shared" si="11"/>
        <v>11.87</v>
      </c>
      <c r="J105" s="17">
        <f t="shared" si="12"/>
        <v>2.664796634</v>
      </c>
      <c r="K105" s="110"/>
    </row>
    <row r="106">
      <c r="A106" s="106" t="s">
        <v>1429</v>
      </c>
      <c r="B106" s="16">
        <v>7.13</v>
      </c>
      <c r="C106" s="12">
        <v>45947.0</v>
      </c>
      <c r="D106" s="12"/>
      <c r="E106" s="12">
        <v>45954.0</v>
      </c>
      <c r="F106" s="107">
        <v>15.0</v>
      </c>
      <c r="G106" s="108">
        <f t="shared" si="10"/>
        <v>7</v>
      </c>
      <c r="H106" s="108"/>
      <c r="I106" s="138">
        <f t="shared" si="11"/>
        <v>7.87</v>
      </c>
      <c r="J106" s="17">
        <f t="shared" si="12"/>
        <v>2.103786816</v>
      </c>
      <c r="K106" s="110"/>
    </row>
    <row r="107">
      <c r="A107" s="106" t="s">
        <v>1430</v>
      </c>
      <c r="B107" s="16">
        <v>7.13</v>
      </c>
      <c r="C107" s="12">
        <v>45952.0</v>
      </c>
      <c r="D107" s="12"/>
      <c r="E107" s="12">
        <v>45954.0</v>
      </c>
      <c r="F107" s="107">
        <v>18.0</v>
      </c>
      <c r="G107" s="108">
        <f t="shared" si="10"/>
        <v>2</v>
      </c>
      <c r="H107" s="108"/>
      <c r="I107" s="138">
        <f t="shared" si="11"/>
        <v>10.87</v>
      </c>
      <c r="J107" s="17">
        <f t="shared" si="12"/>
        <v>2.52454418</v>
      </c>
      <c r="K107" s="110"/>
    </row>
    <row r="108">
      <c r="A108" s="106" t="s">
        <v>1431</v>
      </c>
      <c r="B108" s="16">
        <v>7.13</v>
      </c>
      <c r="C108" s="12">
        <v>45954.0</v>
      </c>
      <c r="D108" s="12"/>
      <c r="E108" s="12">
        <v>45954.0</v>
      </c>
      <c r="F108" s="107">
        <v>19.0</v>
      </c>
      <c r="G108" s="108">
        <f t="shared" si="10"/>
        <v>0</v>
      </c>
      <c r="H108" s="108"/>
      <c r="I108" s="138">
        <f t="shared" si="11"/>
        <v>11.87</v>
      </c>
      <c r="J108" s="17">
        <f t="shared" si="12"/>
        <v>2.664796634</v>
      </c>
      <c r="K108" s="110"/>
    </row>
    <row r="109">
      <c r="A109" s="106" t="s">
        <v>1432</v>
      </c>
      <c r="B109" s="16">
        <v>7.18</v>
      </c>
      <c r="C109" s="12">
        <v>45904.0</v>
      </c>
      <c r="D109" s="12"/>
      <c r="E109" s="12">
        <v>45955.0</v>
      </c>
      <c r="F109" s="107">
        <v>15.1</v>
      </c>
      <c r="G109" s="108">
        <f t="shared" si="10"/>
        <v>51</v>
      </c>
      <c r="H109" s="108"/>
      <c r="I109" s="138">
        <f t="shared" si="11"/>
        <v>7.92</v>
      </c>
      <c r="J109" s="17">
        <f t="shared" si="12"/>
        <v>2.103064067</v>
      </c>
      <c r="K109" s="110"/>
    </row>
    <row r="110">
      <c r="A110" s="106" t="s">
        <v>1433</v>
      </c>
      <c r="B110" s="16">
        <v>4.75</v>
      </c>
      <c r="C110" s="12">
        <v>45924.0</v>
      </c>
      <c r="D110" s="12"/>
      <c r="E110" s="12">
        <v>45955.0</v>
      </c>
      <c r="F110" s="107">
        <v>12.0</v>
      </c>
      <c r="G110" s="108">
        <f t="shared" si="10"/>
        <v>31</v>
      </c>
      <c r="H110" s="108"/>
      <c r="I110" s="138">
        <f t="shared" si="11"/>
        <v>7.25</v>
      </c>
      <c r="J110" s="17">
        <f t="shared" si="12"/>
        <v>2.526315789</v>
      </c>
      <c r="K110" s="110"/>
    </row>
    <row r="111">
      <c r="A111" s="106" t="s">
        <v>1434</v>
      </c>
      <c r="B111" s="16">
        <v>7.13</v>
      </c>
      <c r="C111" s="12">
        <v>45942.0</v>
      </c>
      <c r="D111" s="12"/>
      <c r="E111" s="12">
        <v>45955.0</v>
      </c>
      <c r="F111" s="107">
        <v>15.0</v>
      </c>
      <c r="G111" s="108">
        <f t="shared" si="10"/>
        <v>13</v>
      </c>
      <c r="H111" s="108"/>
      <c r="I111" s="138">
        <f t="shared" si="11"/>
        <v>7.87</v>
      </c>
      <c r="J111" s="17">
        <f t="shared" si="12"/>
        <v>2.103786816</v>
      </c>
      <c r="K111" s="110"/>
    </row>
    <row r="112">
      <c r="A112" s="106" t="s">
        <v>1435</v>
      </c>
      <c r="B112" s="16">
        <v>7.13</v>
      </c>
      <c r="C112" s="12">
        <v>45942.0</v>
      </c>
      <c r="D112" s="12"/>
      <c r="E112" s="12">
        <v>45955.0</v>
      </c>
      <c r="F112" s="107">
        <v>14.4</v>
      </c>
      <c r="G112" s="108">
        <f t="shared" si="10"/>
        <v>13</v>
      </c>
      <c r="H112" s="108"/>
      <c r="I112" s="138">
        <f t="shared" si="11"/>
        <v>7.27</v>
      </c>
      <c r="J112" s="17">
        <f t="shared" si="12"/>
        <v>2.019635344</v>
      </c>
      <c r="K112" s="110"/>
    </row>
    <row r="113">
      <c r="A113" s="106" t="s">
        <v>1436</v>
      </c>
      <c r="B113" s="16">
        <v>7.13</v>
      </c>
      <c r="C113" s="12">
        <v>45943.0</v>
      </c>
      <c r="D113" s="12"/>
      <c r="E113" s="12">
        <v>45955.0</v>
      </c>
      <c r="F113" s="107">
        <v>15.0</v>
      </c>
      <c r="G113" s="108">
        <f t="shared" si="10"/>
        <v>12</v>
      </c>
      <c r="H113" s="108"/>
      <c r="I113" s="138">
        <f t="shared" si="11"/>
        <v>7.87</v>
      </c>
      <c r="J113" s="17">
        <f t="shared" si="12"/>
        <v>2.103786816</v>
      </c>
      <c r="K113" s="110"/>
    </row>
    <row r="114">
      <c r="A114" s="106" t="s">
        <v>1437</v>
      </c>
      <c r="B114" s="16">
        <v>7.13</v>
      </c>
      <c r="C114" s="12">
        <v>45943.0</v>
      </c>
      <c r="D114" s="12"/>
      <c r="E114" s="12">
        <v>45955.0</v>
      </c>
      <c r="F114" s="107">
        <v>15.1</v>
      </c>
      <c r="G114" s="108">
        <f t="shared" si="10"/>
        <v>12</v>
      </c>
      <c r="H114" s="108"/>
      <c r="I114" s="138">
        <f t="shared" si="11"/>
        <v>7.97</v>
      </c>
      <c r="J114" s="17">
        <f t="shared" si="12"/>
        <v>2.117812062</v>
      </c>
      <c r="K114" s="110"/>
    </row>
    <row r="115">
      <c r="A115" s="106" t="s">
        <v>1438</v>
      </c>
      <c r="B115" s="16">
        <v>7.13</v>
      </c>
      <c r="C115" s="12">
        <v>45944.0</v>
      </c>
      <c r="D115" s="12"/>
      <c r="E115" s="12">
        <v>45955.0</v>
      </c>
      <c r="F115" s="107">
        <v>15.0</v>
      </c>
      <c r="G115" s="108">
        <f t="shared" si="10"/>
        <v>11</v>
      </c>
      <c r="H115" s="108"/>
      <c r="I115" s="138">
        <f t="shared" si="11"/>
        <v>7.87</v>
      </c>
      <c r="J115" s="17">
        <f t="shared" si="12"/>
        <v>2.103786816</v>
      </c>
      <c r="K115" s="110"/>
    </row>
    <row r="116">
      <c r="A116" s="106" t="s">
        <v>1439</v>
      </c>
      <c r="B116" s="16">
        <v>7.13</v>
      </c>
      <c r="C116" s="12">
        <v>45951.0</v>
      </c>
      <c r="D116" s="12"/>
      <c r="E116" s="12">
        <v>45955.0</v>
      </c>
      <c r="F116" s="107">
        <v>15.2</v>
      </c>
      <c r="G116" s="108">
        <f t="shared" si="10"/>
        <v>4</v>
      </c>
      <c r="H116" s="108"/>
      <c r="I116" s="138">
        <f t="shared" si="11"/>
        <v>8.07</v>
      </c>
      <c r="J116" s="17">
        <f t="shared" si="12"/>
        <v>2.131837307</v>
      </c>
      <c r="K116" s="110"/>
    </row>
    <row r="117">
      <c r="A117" s="106" t="s">
        <v>1440</v>
      </c>
      <c r="B117" s="16">
        <v>7.13</v>
      </c>
      <c r="C117" s="12">
        <v>45951.0</v>
      </c>
      <c r="D117" s="12"/>
      <c r="E117" s="12">
        <v>45955.0</v>
      </c>
      <c r="F117" s="107">
        <v>15.0</v>
      </c>
      <c r="G117" s="108">
        <f t="shared" si="10"/>
        <v>4</v>
      </c>
      <c r="H117" s="108"/>
      <c r="I117" s="138">
        <f t="shared" si="11"/>
        <v>7.87</v>
      </c>
      <c r="J117" s="17">
        <f t="shared" si="12"/>
        <v>2.103786816</v>
      </c>
      <c r="K117" s="110"/>
    </row>
    <row r="118">
      <c r="A118" s="106" t="s">
        <v>1441</v>
      </c>
      <c r="B118" s="16">
        <v>7.13</v>
      </c>
      <c r="C118" s="12">
        <v>45954.0</v>
      </c>
      <c r="D118" s="12"/>
      <c r="E118" s="12">
        <v>45955.0</v>
      </c>
      <c r="F118" s="107">
        <v>15.0</v>
      </c>
      <c r="G118" s="108">
        <f t="shared" si="10"/>
        <v>1</v>
      </c>
      <c r="H118" s="108"/>
      <c r="I118" s="138">
        <f t="shared" si="11"/>
        <v>7.87</v>
      </c>
      <c r="J118" s="17">
        <f t="shared" si="12"/>
        <v>2.103786816</v>
      </c>
      <c r="K118" s="110"/>
    </row>
    <row r="119">
      <c r="A119" s="106" t="s">
        <v>1442</v>
      </c>
      <c r="B119" s="16">
        <v>4.04</v>
      </c>
      <c r="C119" s="12">
        <v>45955.0</v>
      </c>
      <c r="D119" s="12"/>
      <c r="E119" s="12">
        <v>45955.0</v>
      </c>
      <c r="F119" s="107">
        <v>10.0</v>
      </c>
      <c r="G119" s="108">
        <f t="shared" si="10"/>
        <v>0</v>
      </c>
      <c r="H119" s="108"/>
      <c r="I119" s="138">
        <f t="shared" si="11"/>
        <v>5.96</v>
      </c>
      <c r="J119" s="17">
        <f t="shared" si="12"/>
        <v>2.475247525</v>
      </c>
      <c r="K119" s="110"/>
    </row>
    <row r="120">
      <c r="A120" s="106" t="s">
        <v>1443</v>
      </c>
      <c r="B120" s="16">
        <v>4.04</v>
      </c>
      <c r="C120" s="12">
        <v>45955.0</v>
      </c>
      <c r="D120" s="12"/>
      <c r="E120" s="12">
        <v>45955.0</v>
      </c>
      <c r="F120" s="107">
        <v>16.0</v>
      </c>
      <c r="G120" s="108">
        <f t="shared" si="10"/>
        <v>0</v>
      </c>
      <c r="H120" s="108"/>
      <c r="I120" s="138">
        <f t="shared" si="11"/>
        <v>11.96</v>
      </c>
      <c r="J120" s="17">
        <f t="shared" si="12"/>
        <v>3.96039604</v>
      </c>
      <c r="K120" s="110"/>
    </row>
    <row r="121">
      <c r="A121" s="106" t="s">
        <v>1444</v>
      </c>
      <c r="B121" s="16">
        <v>7.13</v>
      </c>
      <c r="C121" s="12">
        <v>45949.0</v>
      </c>
      <c r="D121" s="12"/>
      <c r="E121" s="12">
        <v>45955.0</v>
      </c>
      <c r="F121" s="107">
        <v>15.1</v>
      </c>
      <c r="G121" s="108">
        <f t="shared" si="10"/>
        <v>6</v>
      </c>
      <c r="H121" s="108"/>
      <c r="I121" s="138">
        <f t="shared" si="11"/>
        <v>7.97</v>
      </c>
      <c r="J121" s="17">
        <f t="shared" si="12"/>
        <v>2.117812062</v>
      </c>
      <c r="K121" s="110"/>
    </row>
    <row r="122">
      <c r="A122" s="106" t="s">
        <v>1445</v>
      </c>
      <c r="B122" s="16">
        <v>1.42</v>
      </c>
      <c r="C122" s="12">
        <v>45906.0</v>
      </c>
      <c r="D122" s="12"/>
      <c r="E122" s="12">
        <v>45956.0</v>
      </c>
      <c r="F122" s="138">
        <v>7.0</v>
      </c>
      <c r="G122" s="108">
        <f t="shared" si="10"/>
        <v>50</v>
      </c>
      <c r="H122" s="108"/>
      <c r="I122" s="138">
        <f t="shared" si="11"/>
        <v>5.58</v>
      </c>
      <c r="J122" s="17">
        <f t="shared" si="12"/>
        <v>4.929577465</v>
      </c>
      <c r="K122" s="110"/>
    </row>
    <row r="123">
      <c r="A123" s="106" t="s">
        <v>1446</v>
      </c>
      <c r="B123" s="16">
        <v>7.13</v>
      </c>
      <c r="C123" s="12">
        <v>45945.0</v>
      </c>
      <c r="D123" s="12"/>
      <c r="E123" s="12">
        <v>45956.0</v>
      </c>
      <c r="F123" s="138">
        <v>17.0</v>
      </c>
      <c r="G123" s="108">
        <f t="shared" si="10"/>
        <v>11</v>
      </c>
      <c r="H123" s="108"/>
      <c r="I123" s="138">
        <f t="shared" si="11"/>
        <v>9.87</v>
      </c>
      <c r="J123" s="17">
        <f t="shared" si="12"/>
        <v>2.384291725</v>
      </c>
      <c r="K123" s="110"/>
    </row>
    <row r="124">
      <c r="A124" s="106" t="s">
        <v>1447</v>
      </c>
      <c r="B124" s="16">
        <v>7.13</v>
      </c>
      <c r="C124" s="12">
        <v>45950.0</v>
      </c>
      <c r="D124" s="12"/>
      <c r="E124" s="12">
        <v>45956.0</v>
      </c>
      <c r="F124" s="138">
        <v>15.0</v>
      </c>
      <c r="G124" s="108">
        <f t="shared" si="10"/>
        <v>6</v>
      </c>
      <c r="H124" s="108"/>
      <c r="I124" s="138">
        <f t="shared" si="11"/>
        <v>7.87</v>
      </c>
      <c r="J124" s="17">
        <f t="shared" si="12"/>
        <v>2.103786816</v>
      </c>
      <c r="K124" s="110"/>
    </row>
    <row r="125">
      <c r="A125" s="106" t="s">
        <v>1448</v>
      </c>
      <c r="B125" s="16">
        <v>7.13</v>
      </c>
      <c r="C125" s="12">
        <v>45951.0</v>
      </c>
      <c r="D125" s="12"/>
      <c r="E125" s="12">
        <v>45956.0</v>
      </c>
      <c r="F125" s="138">
        <v>17.0</v>
      </c>
      <c r="G125" s="108">
        <f t="shared" si="10"/>
        <v>5</v>
      </c>
      <c r="H125" s="108"/>
      <c r="I125" s="138">
        <f t="shared" si="11"/>
        <v>9.87</v>
      </c>
      <c r="J125" s="17">
        <f t="shared" si="12"/>
        <v>2.384291725</v>
      </c>
      <c r="K125" s="110"/>
    </row>
    <row r="126">
      <c r="A126" s="106" t="s">
        <v>1449</v>
      </c>
      <c r="B126" s="16">
        <v>7.13</v>
      </c>
      <c r="C126" s="12">
        <v>45952.0</v>
      </c>
      <c r="D126" s="12"/>
      <c r="E126" s="12">
        <v>45956.0</v>
      </c>
      <c r="F126" s="138">
        <v>18.05</v>
      </c>
      <c r="G126" s="108">
        <f t="shared" si="10"/>
        <v>4</v>
      </c>
      <c r="H126" s="108"/>
      <c r="I126" s="138">
        <f t="shared" si="11"/>
        <v>10.92</v>
      </c>
      <c r="J126" s="17">
        <f t="shared" si="12"/>
        <v>2.531556802</v>
      </c>
      <c r="K126" s="110"/>
    </row>
    <row r="127">
      <c r="A127" s="106" t="s">
        <v>1450</v>
      </c>
      <c r="B127" s="16">
        <v>7.13</v>
      </c>
      <c r="C127" s="12">
        <v>45953.0</v>
      </c>
      <c r="D127" s="12"/>
      <c r="E127" s="12">
        <v>45956.0</v>
      </c>
      <c r="F127" s="138">
        <v>17.0</v>
      </c>
      <c r="G127" s="108">
        <f t="shared" si="10"/>
        <v>3</v>
      </c>
      <c r="H127" s="108"/>
      <c r="I127" s="138">
        <f t="shared" si="11"/>
        <v>9.87</v>
      </c>
      <c r="J127" s="17">
        <f t="shared" si="12"/>
        <v>2.384291725</v>
      </c>
      <c r="K127" s="110"/>
    </row>
    <row r="128">
      <c r="A128" s="106" t="s">
        <v>1451</v>
      </c>
      <c r="B128" s="16">
        <v>7.13</v>
      </c>
      <c r="C128" s="12">
        <v>45953.0</v>
      </c>
      <c r="D128" s="12"/>
      <c r="E128" s="12">
        <v>45956.0</v>
      </c>
      <c r="F128" s="138">
        <v>15.0</v>
      </c>
      <c r="G128" s="108">
        <f t="shared" si="10"/>
        <v>3</v>
      </c>
      <c r="H128" s="108"/>
      <c r="I128" s="138">
        <f t="shared" si="11"/>
        <v>7.87</v>
      </c>
      <c r="J128" s="17">
        <f t="shared" si="12"/>
        <v>2.103786816</v>
      </c>
      <c r="K128" s="110"/>
    </row>
    <row r="129">
      <c r="A129" s="106" t="s">
        <v>1452</v>
      </c>
      <c r="B129" s="16">
        <v>7.13</v>
      </c>
      <c r="C129" s="12">
        <v>45953.0</v>
      </c>
      <c r="D129" s="12"/>
      <c r="E129" s="12">
        <v>45956.0</v>
      </c>
      <c r="F129" s="138">
        <v>18.05</v>
      </c>
      <c r="G129" s="108">
        <f t="shared" si="10"/>
        <v>3</v>
      </c>
      <c r="H129" s="108"/>
      <c r="I129" s="138">
        <f t="shared" si="11"/>
        <v>10.92</v>
      </c>
      <c r="J129" s="17">
        <f t="shared" si="12"/>
        <v>2.531556802</v>
      </c>
      <c r="K129" s="110"/>
    </row>
    <row r="130">
      <c r="A130" s="106" t="s">
        <v>1453</v>
      </c>
      <c r="B130" s="16">
        <v>4.04</v>
      </c>
      <c r="C130" s="12">
        <v>45956.0</v>
      </c>
      <c r="D130" s="12"/>
      <c r="E130" s="12">
        <v>45956.0</v>
      </c>
      <c r="F130" s="138">
        <v>12.0</v>
      </c>
      <c r="G130" s="108">
        <f t="shared" si="10"/>
        <v>0</v>
      </c>
      <c r="H130" s="108"/>
      <c r="I130" s="138">
        <f t="shared" si="11"/>
        <v>7.96</v>
      </c>
      <c r="J130" s="17">
        <f t="shared" si="12"/>
        <v>2.97029703</v>
      </c>
      <c r="K130" s="110"/>
    </row>
    <row r="131">
      <c r="A131" s="106" t="s">
        <v>1454</v>
      </c>
      <c r="B131" s="16">
        <v>4.04</v>
      </c>
      <c r="C131" s="12">
        <v>45956.0</v>
      </c>
      <c r="D131" s="12"/>
      <c r="E131" s="12">
        <v>45956.0</v>
      </c>
      <c r="F131" s="138">
        <v>12.0</v>
      </c>
      <c r="G131" s="108">
        <f t="shared" si="10"/>
        <v>0</v>
      </c>
      <c r="H131" s="108"/>
      <c r="I131" s="138">
        <f t="shared" si="11"/>
        <v>7.96</v>
      </c>
      <c r="J131" s="17">
        <f t="shared" si="12"/>
        <v>2.97029703</v>
      </c>
      <c r="K131" s="110"/>
    </row>
    <row r="132">
      <c r="A132" s="112" t="str">
        <f>("TOTAL VENTE SEMAINE 4 : " &amp; COUNTA(B84:B131) )</f>
        <v>TOTAL VENTE SEMAINE 4 : 48</v>
      </c>
      <c r="B132" s="113"/>
      <c r="C132" s="114"/>
      <c r="D132" s="115"/>
      <c r="E132" s="115"/>
      <c r="F132" s="116">
        <f>SUM(F84:F131)</f>
        <v>765.06</v>
      </c>
      <c r="G132" s="117">
        <f>AVERAGE(G84:G131)</f>
        <v>7.75</v>
      </c>
      <c r="H132" s="117"/>
      <c r="I132" s="139">
        <f>SUM(I84:I131)</f>
        <v>451.31</v>
      </c>
      <c r="J132" s="118">
        <f>AVERAGE(J101:J131)</f>
        <v>2.443143193</v>
      </c>
      <c r="K132" s="119">
        <f>COUNTA(B84:B131)</f>
        <v>48</v>
      </c>
    </row>
    <row r="133">
      <c r="A133" s="132"/>
      <c r="B133" s="65"/>
      <c r="C133" s="133"/>
      <c r="D133" s="133"/>
      <c r="E133" s="133"/>
      <c r="F133" s="134"/>
      <c r="G133" s="135"/>
      <c r="H133" s="135"/>
    </row>
    <row r="134">
      <c r="A134" s="97" t="s">
        <v>1455</v>
      </c>
      <c r="B134" s="125"/>
      <c r="C134" s="126"/>
      <c r="D134" s="126"/>
      <c r="E134" s="126"/>
      <c r="F134" s="127"/>
      <c r="G134" s="128"/>
      <c r="H134" s="128"/>
      <c r="I134" s="129"/>
      <c r="J134" s="129"/>
      <c r="K134" s="105"/>
    </row>
    <row r="135">
      <c r="A135" s="106" t="s">
        <v>1456</v>
      </c>
      <c r="B135" s="16">
        <v>4.04</v>
      </c>
      <c r="C135" s="12">
        <v>45956.0</v>
      </c>
      <c r="D135" s="12"/>
      <c r="E135" s="12">
        <v>45957.0</v>
      </c>
      <c r="F135" s="138">
        <v>12.5</v>
      </c>
      <c r="G135" s="108">
        <f t="shared" ref="G135:G159" si="13">IF(ISBLANK(E135),"",E135-C135)</f>
        <v>1</v>
      </c>
      <c r="H135" s="108"/>
      <c r="I135" s="138">
        <f t="shared" ref="I135:I159" si="14">IF(F135="","",IF(F135-B135&lt;0,"",F135-B135))</f>
        <v>8.46</v>
      </c>
      <c r="J135" s="17">
        <f t="shared" ref="J135:J159" si="15">IF(F135="","",IF(F135/B135&lt;0,"",F135/B135))</f>
        <v>3.094059406</v>
      </c>
      <c r="K135" s="110"/>
    </row>
    <row r="136">
      <c r="A136" s="106" t="s">
        <v>1457</v>
      </c>
      <c r="B136" s="16">
        <v>4.04</v>
      </c>
      <c r="C136" s="12">
        <v>45956.0</v>
      </c>
      <c r="D136" s="12"/>
      <c r="E136" s="12">
        <v>45958.0</v>
      </c>
      <c r="F136" s="138">
        <v>12.8</v>
      </c>
      <c r="G136" s="108">
        <f t="shared" si="13"/>
        <v>2</v>
      </c>
      <c r="H136" s="108"/>
      <c r="I136" s="138">
        <f t="shared" si="14"/>
        <v>8.76</v>
      </c>
      <c r="J136" s="17">
        <f t="shared" si="15"/>
        <v>3.168316832</v>
      </c>
      <c r="K136" s="110"/>
    </row>
    <row r="137">
      <c r="A137" s="106" t="s">
        <v>1458</v>
      </c>
      <c r="B137" s="16">
        <v>4.04</v>
      </c>
      <c r="C137" s="12">
        <v>45956.0</v>
      </c>
      <c r="D137" s="12"/>
      <c r="E137" s="12">
        <v>45957.0</v>
      </c>
      <c r="F137" s="138">
        <v>12.5</v>
      </c>
      <c r="G137" s="108">
        <f t="shared" si="13"/>
        <v>1</v>
      </c>
      <c r="H137" s="108"/>
      <c r="I137" s="138">
        <f t="shared" si="14"/>
        <v>8.46</v>
      </c>
      <c r="J137" s="17">
        <f t="shared" si="15"/>
        <v>3.094059406</v>
      </c>
      <c r="K137" s="110"/>
    </row>
    <row r="138">
      <c r="A138" s="106" t="s">
        <v>1459</v>
      </c>
      <c r="B138" s="16">
        <v>4.04</v>
      </c>
      <c r="C138" s="12">
        <v>45957.0</v>
      </c>
      <c r="D138" s="12"/>
      <c r="E138" s="12">
        <v>45957.0</v>
      </c>
      <c r="F138" s="138">
        <v>16.0</v>
      </c>
      <c r="G138" s="108">
        <f t="shared" si="13"/>
        <v>0</v>
      </c>
      <c r="H138" s="108"/>
      <c r="I138" s="138">
        <f t="shared" si="14"/>
        <v>11.96</v>
      </c>
      <c r="J138" s="17">
        <f t="shared" si="15"/>
        <v>3.96039604</v>
      </c>
      <c r="K138" s="110"/>
    </row>
    <row r="139">
      <c r="A139" s="106" t="s">
        <v>1460</v>
      </c>
      <c r="B139" s="16">
        <v>4.04</v>
      </c>
      <c r="C139" s="12">
        <v>45957.0</v>
      </c>
      <c r="D139" s="12"/>
      <c r="E139" s="12">
        <v>45959.0</v>
      </c>
      <c r="F139" s="138">
        <v>15.0</v>
      </c>
      <c r="G139" s="108">
        <f t="shared" si="13"/>
        <v>2</v>
      </c>
      <c r="H139" s="108"/>
      <c r="I139" s="138">
        <f t="shared" si="14"/>
        <v>10.96</v>
      </c>
      <c r="J139" s="17">
        <f t="shared" si="15"/>
        <v>3.712871287</v>
      </c>
      <c r="K139" s="110"/>
    </row>
    <row r="140">
      <c r="A140" s="106" t="s">
        <v>1461</v>
      </c>
      <c r="B140" s="16">
        <v>4.04</v>
      </c>
      <c r="C140" s="12">
        <v>45957.0</v>
      </c>
      <c r="D140" s="12"/>
      <c r="E140" s="12">
        <v>45960.0</v>
      </c>
      <c r="F140" s="138">
        <v>10.0</v>
      </c>
      <c r="G140" s="108">
        <f t="shared" si="13"/>
        <v>3</v>
      </c>
      <c r="H140" s="108"/>
      <c r="I140" s="138">
        <f t="shared" si="14"/>
        <v>5.96</v>
      </c>
      <c r="J140" s="17">
        <f t="shared" si="15"/>
        <v>2.475247525</v>
      </c>
      <c r="K140" s="110"/>
    </row>
    <row r="141">
      <c r="A141" s="106" t="s">
        <v>1462</v>
      </c>
      <c r="B141" s="16">
        <v>4.04</v>
      </c>
      <c r="C141" s="12">
        <v>45957.0</v>
      </c>
      <c r="D141" s="12"/>
      <c r="E141" s="12">
        <v>45958.0</v>
      </c>
      <c r="F141" s="138">
        <v>12.0</v>
      </c>
      <c r="G141" s="108">
        <f t="shared" si="13"/>
        <v>1</v>
      </c>
      <c r="H141" s="108"/>
      <c r="I141" s="138">
        <f t="shared" si="14"/>
        <v>7.96</v>
      </c>
      <c r="J141" s="17">
        <f t="shared" si="15"/>
        <v>2.97029703</v>
      </c>
      <c r="K141" s="110"/>
    </row>
    <row r="142">
      <c r="A142" s="106" t="s">
        <v>1463</v>
      </c>
      <c r="B142" s="16">
        <v>4.04</v>
      </c>
      <c r="C142" s="12">
        <v>45957.0</v>
      </c>
      <c r="D142" s="12"/>
      <c r="E142" s="12">
        <v>45960.0</v>
      </c>
      <c r="F142" s="138">
        <v>13.7</v>
      </c>
      <c r="G142" s="108">
        <f t="shared" si="13"/>
        <v>3</v>
      </c>
      <c r="H142" s="108"/>
      <c r="I142" s="138">
        <f t="shared" si="14"/>
        <v>9.66</v>
      </c>
      <c r="J142" s="17">
        <f t="shared" si="15"/>
        <v>3.391089109</v>
      </c>
      <c r="K142" s="110"/>
    </row>
    <row r="143">
      <c r="A143" s="106" t="s">
        <v>1464</v>
      </c>
      <c r="B143" s="16">
        <v>4.04</v>
      </c>
      <c r="C143" s="12">
        <v>45958.0</v>
      </c>
      <c r="D143" s="12"/>
      <c r="E143" s="12">
        <v>45960.0</v>
      </c>
      <c r="F143" s="138">
        <v>10.0</v>
      </c>
      <c r="G143" s="108">
        <f t="shared" si="13"/>
        <v>2</v>
      </c>
      <c r="H143" s="108"/>
      <c r="I143" s="138">
        <f t="shared" si="14"/>
        <v>5.96</v>
      </c>
      <c r="J143" s="17">
        <f t="shared" si="15"/>
        <v>2.475247525</v>
      </c>
      <c r="K143" s="110"/>
    </row>
    <row r="144">
      <c r="A144" s="106" t="s">
        <v>1465</v>
      </c>
      <c r="B144" s="16">
        <v>4.04</v>
      </c>
      <c r="C144" s="12">
        <v>45958.0</v>
      </c>
      <c r="D144" s="12"/>
      <c r="E144" s="12">
        <v>45960.0</v>
      </c>
      <c r="F144" s="138">
        <v>12.0</v>
      </c>
      <c r="G144" s="108">
        <f t="shared" si="13"/>
        <v>2</v>
      </c>
      <c r="H144" s="108"/>
      <c r="I144" s="138">
        <f t="shared" si="14"/>
        <v>7.96</v>
      </c>
      <c r="J144" s="17">
        <f t="shared" si="15"/>
        <v>2.97029703</v>
      </c>
      <c r="K144" s="110"/>
    </row>
    <row r="145">
      <c r="A145" s="106" t="s">
        <v>1466</v>
      </c>
      <c r="B145" s="16">
        <v>4.04</v>
      </c>
      <c r="C145" s="12">
        <v>45958.0</v>
      </c>
      <c r="D145" s="12"/>
      <c r="E145" s="12">
        <v>45959.0</v>
      </c>
      <c r="F145" s="138">
        <v>15.0</v>
      </c>
      <c r="G145" s="108">
        <f t="shared" si="13"/>
        <v>1</v>
      </c>
      <c r="H145" s="108"/>
      <c r="I145" s="138">
        <f t="shared" si="14"/>
        <v>10.96</v>
      </c>
      <c r="J145" s="17">
        <f t="shared" si="15"/>
        <v>3.712871287</v>
      </c>
      <c r="K145" s="110"/>
    </row>
    <row r="146">
      <c r="A146" s="106" t="s">
        <v>1467</v>
      </c>
      <c r="B146" s="16">
        <v>4.04</v>
      </c>
      <c r="C146" s="12">
        <v>45958.0</v>
      </c>
      <c r="D146" s="12"/>
      <c r="E146" s="12">
        <v>45960.0</v>
      </c>
      <c r="F146" s="138">
        <v>15.0</v>
      </c>
      <c r="G146" s="108">
        <f t="shared" si="13"/>
        <v>2</v>
      </c>
      <c r="H146" s="108"/>
      <c r="I146" s="138">
        <f t="shared" si="14"/>
        <v>10.96</v>
      </c>
      <c r="J146" s="17">
        <f t="shared" si="15"/>
        <v>3.712871287</v>
      </c>
      <c r="K146" s="110"/>
    </row>
    <row r="147">
      <c r="A147" s="106" t="s">
        <v>1468</v>
      </c>
      <c r="B147" s="16">
        <v>4.04</v>
      </c>
      <c r="C147" s="12">
        <v>45958.0</v>
      </c>
      <c r="D147" s="12"/>
      <c r="E147" s="12">
        <v>45960.0</v>
      </c>
      <c r="F147" s="138">
        <v>10.0</v>
      </c>
      <c r="G147" s="108">
        <f t="shared" si="13"/>
        <v>2</v>
      </c>
      <c r="H147" s="108"/>
      <c r="I147" s="138">
        <f t="shared" si="14"/>
        <v>5.96</v>
      </c>
      <c r="J147" s="17">
        <f t="shared" si="15"/>
        <v>2.475247525</v>
      </c>
      <c r="K147" s="110"/>
    </row>
    <row r="148">
      <c r="A148" s="106" t="s">
        <v>1469</v>
      </c>
      <c r="B148" s="16">
        <v>4.04</v>
      </c>
      <c r="C148" s="12">
        <v>45959.0</v>
      </c>
      <c r="D148" s="12"/>
      <c r="E148" s="12">
        <v>45960.0</v>
      </c>
      <c r="F148" s="138">
        <v>13.7</v>
      </c>
      <c r="G148" s="108">
        <f t="shared" si="13"/>
        <v>1</v>
      </c>
      <c r="H148" s="108"/>
      <c r="I148" s="138">
        <f t="shared" si="14"/>
        <v>9.66</v>
      </c>
      <c r="J148" s="17">
        <f t="shared" si="15"/>
        <v>3.391089109</v>
      </c>
      <c r="K148" s="110"/>
    </row>
    <row r="149">
      <c r="A149" s="106" t="s">
        <v>1470</v>
      </c>
      <c r="B149" s="16">
        <v>1.42</v>
      </c>
      <c r="C149" s="12">
        <v>45906.0</v>
      </c>
      <c r="D149" s="12"/>
      <c r="E149" s="12">
        <v>45961.0</v>
      </c>
      <c r="F149" s="138">
        <v>5.0</v>
      </c>
      <c r="G149" s="108">
        <f t="shared" si="13"/>
        <v>55</v>
      </c>
      <c r="H149" s="108"/>
      <c r="I149" s="138">
        <f t="shared" si="14"/>
        <v>3.58</v>
      </c>
      <c r="J149" s="17">
        <f t="shared" si="15"/>
        <v>3.521126761</v>
      </c>
      <c r="K149" s="110"/>
    </row>
    <row r="150">
      <c r="A150" s="106" t="s">
        <v>1471</v>
      </c>
      <c r="B150" s="16">
        <v>7.13</v>
      </c>
      <c r="C150" s="12">
        <v>45942.0</v>
      </c>
      <c r="D150" s="12"/>
      <c r="E150" s="12">
        <v>45961.0</v>
      </c>
      <c r="F150" s="138">
        <v>16.0</v>
      </c>
      <c r="G150" s="108">
        <f t="shared" si="13"/>
        <v>19</v>
      </c>
      <c r="H150" s="108"/>
      <c r="I150" s="138">
        <f t="shared" si="14"/>
        <v>8.87</v>
      </c>
      <c r="J150" s="17">
        <f t="shared" si="15"/>
        <v>2.244039271</v>
      </c>
      <c r="K150" s="110"/>
    </row>
    <row r="151">
      <c r="A151" s="106" t="s">
        <v>1472</v>
      </c>
      <c r="B151" s="16">
        <v>7.13</v>
      </c>
      <c r="C151" s="12">
        <v>45943.0</v>
      </c>
      <c r="D151" s="12"/>
      <c r="E151" s="12">
        <v>45961.0</v>
      </c>
      <c r="F151" s="138">
        <v>14.0</v>
      </c>
      <c r="G151" s="108">
        <f t="shared" si="13"/>
        <v>18</v>
      </c>
      <c r="H151" s="108"/>
      <c r="I151" s="138">
        <f t="shared" si="14"/>
        <v>6.87</v>
      </c>
      <c r="J151" s="17">
        <f t="shared" si="15"/>
        <v>1.963534362</v>
      </c>
      <c r="K151" s="110"/>
    </row>
    <row r="152">
      <c r="A152" s="106" t="s">
        <v>1473</v>
      </c>
      <c r="B152" s="16">
        <v>7.13</v>
      </c>
      <c r="C152" s="12">
        <v>45944.0</v>
      </c>
      <c r="D152" s="12"/>
      <c r="E152" s="12">
        <v>45961.0</v>
      </c>
      <c r="F152" s="138">
        <v>13.6</v>
      </c>
      <c r="G152" s="108">
        <f t="shared" si="13"/>
        <v>17</v>
      </c>
      <c r="H152" s="108"/>
      <c r="I152" s="138">
        <f t="shared" si="14"/>
        <v>6.47</v>
      </c>
      <c r="J152" s="17">
        <f t="shared" si="15"/>
        <v>1.90743338</v>
      </c>
      <c r="K152" s="110"/>
    </row>
    <row r="153">
      <c r="A153" s="106" t="s">
        <v>1474</v>
      </c>
      <c r="B153" s="16">
        <v>7.13</v>
      </c>
      <c r="C153" s="12">
        <v>45953.0</v>
      </c>
      <c r="D153" s="12"/>
      <c r="E153" s="12">
        <v>45961.0</v>
      </c>
      <c r="F153" s="138">
        <v>13.6</v>
      </c>
      <c r="G153" s="108">
        <f t="shared" si="13"/>
        <v>8</v>
      </c>
      <c r="H153" s="108"/>
      <c r="I153" s="138">
        <f t="shared" si="14"/>
        <v>6.47</v>
      </c>
      <c r="J153" s="17">
        <f t="shared" si="15"/>
        <v>1.90743338</v>
      </c>
      <c r="K153" s="110"/>
    </row>
    <row r="154">
      <c r="A154" s="106" t="s">
        <v>1475</v>
      </c>
      <c r="B154" s="16">
        <v>7.13</v>
      </c>
      <c r="C154" s="12">
        <v>45953.0</v>
      </c>
      <c r="D154" s="12"/>
      <c r="E154" s="12">
        <v>45961.0</v>
      </c>
      <c r="F154" s="138">
        <v>14.0</v>
      </c>
      <c r="G154" s="108">
        <f t="shared" si="13"/>
        <v>8</v>
      </c>
      <c r="H154" s="108"/>
      <c r="I154" s="138">
        <f t="shared" si="14"/>
        <v>6.87</v>
      </c>
      <c r="J154" s="17">
        <f t="shared" si="15"/>
        <v>1.963534362</v>
      </c>
      <c r="K154" s="110"/>
    </row>
    <row r="155">
      <c r="A155" s="106" t="s">
        <v>1476</v>
      </c>
      <c r="B155" s="16">
        <v>4.04</v>
      </c>
      <c r="C155" s="12">
        <v>45958.0</v>
      </c>
      <c r="D155" s="12"/>
      <c r="E155" s="12">
        <v>45961.0</v>
      </c>
      <c r="F155" s="138">
        <v>14.0</v>
      </c>
      <c r="G155" s="108">
        <f t="shared" si="13"/>
        <v>3</v>
      </c>
      <c r="H155" s="108"/>
      <c r="I155" s="138">
        <f t="shared" si="14"/>
        <v>9.96</v>
      </c>
      <c r="J155" s="17">
        <f t="shared" si="15"/>
        <v>3.465346535</v>
      </c>
      <c r="K155" s="110"/>
    </row>
    <row r="156">
      <c r="A156" s="106" t="s">
        <v>1477</v>
      </c>
      <c r="B156" s="16">
        <v>4.04</v>
      </c>
      <c r="C156" s="12">
        <v>45959.0</v>
      </c>
      <c r="D156" s="12"/>
      <c r="E156" s="12">
        <v>45961.0</v>
      </c>
      <c r="F156" s="138">
        <v>7.2</v>
      </c>
      <c r="G156" s="108">
        <f t="shared" si="13"/>
        <v>2</v>
      </c>
      <c r="H156" s="108"/>
      <c r="I156" s="138">
        <f t="shared" si="14"/>
        <v>3.16</v>
      </c>
      <c r="J156" s="17">
        <f t="shared" si="15"/>
        <v>1.782178218</v>
      </c>
      <c r="K156" s="110"/>
    </row>
    <row r="157">
      <c r="A157" s="106" t="s">
        <v>1478</v>
      </c>
      <c r="B157" s="16">
        <v>4.04</v>
      </c>
      <c r="C157" s="12">
        <v>45959.0</v>
      </c>
      <c r="D157" s="12"/>
      <c r="E157" s="12">
        <v>45961.0</v>
      </c>
      <c r="F157" s="138">
        <v>15.0</v>
      </c>
      <c r="G157" s="108">
        <f t="shared" si="13"/>
        <v>2</v>
      </c>
      <c r="H157" s="108"/>
      <c r="I157" s="138">
        <f t="shared" si="14"/>
        <v>10.96</v>
      </c>
      <c r="J157" s="17">
        <f t="shared" si="15"/>
        <v>3.712871287</v>
      </c>
      <c r="K157" s="110"/>
    </row>
    <row r="158">
      <c r="A158" s="106" t="s">
        <v>1479</v>
      </c>
      <c r="B158" s="16">
        <v>4.04</v>
      </c>
      <c r="C158" s="12">
        <v>45959.0</v>
      </c>
      <c r="D158" s="12"/>
      <c r="E158" s="12">
        <v>45961.0</v>
      </c>
      <c r="F158" s="138">
        <v>15.0</v>
      </c>
      <c r="G158" s="108">
        <f t="shared" si="13"/>
        <v>2</v>
      </c>
      <c r="H158" s="108"/>
      <c r="I158" s="138">
        <f t="shared" si="14"/>
        <v>10.96</v>
      </c>
      <c r="J158" s="17">
        <f t="shared" si="15"/>
        <v>3.712871287</v>
      </c>
      <c r="K158" s="110"/>
    </row>
    <row r="159">
      <c r="A159" s="106" t="s">
        <v>1480</v>
      </c>
      <c r="B159" s="16">
        <v>7.09</v>
      </c>
      <c r="C159" s="12">
        <v>45960.0</v>
      </c>
      <c r="D159" s="12"/>
      <c r="E159" s="12">
        <v>45961.0</v>
      </c>
      <c r="F159" s="138">
        <v>14.0</v>
      </c>
      <c r="G159" s="108">
        <f t="shared" si="13"/>
        <v>1</v>
      </c>
      <c r="H159" s="108"/>
      <c r="I159" s="138">
        <f t="shared" si="14"/>
        <v>6.91</v>
      </c>
      <c r="J159" s="17">
        <f t="shared" si="15"/>
        <v>1.97461213</v>
      </c>
      <c r="K159" s="110"/>
    </row>
    <row r="160">
      <c r="A160" s="112" t="str">
        <f>("TOTAL VENTE SEMAINE 5 : " &amp; COUNTA(B135:B159) )</f>
        <v>TOTAL VENTE SEMAINE 5 : 25</v>
      </c>
      <c r="B160" s="113"/>
      <c r="C160" s="114"/>
      <c r="D160" s="115"/>
      <c r="E160" s="115"/>
      <c r="F160" s="116">
        <f>SUM(F135:F159)</f>
        <v>321.6</v>
      </c>
      <c r="G160" s="117">
        <f>AVERAGE(G135:G159)</f>
        <v>6.32</v>
      </c>
      <c r="H160" s="117"/>
      <c r="I160" s="139">
        <f>SUM(I135:I159)</f>
        <v>204.72</v>
      </c>
      <c r="J160" s="118">
        <f>AVERAGE(J139:J159)</f>
        <v>2.830576652</v>
      </c>
      <c r="K160" s="119">
        <f>COUNTA(C135:C159)</f>
        <v>25</v>
      </c>
    </row>
    <row r="161">
      <c r="A161" s="132"/>
      <c r="B161" s="65"/>
      <c r="C161" s="133"/>
      <c r="F161" s="140"/>
      <c r="G161" s="141"/>
      <c r="H161" s="141"/>
      <c r="I161" s="142"/>
      <c r="J161" s="143"/>
      <c r="K161" s="132"/>
    </row>
    <row r="162">
      <c r="A162" s="132" t="str">
        <f>("TOTAL VENTE MOIS : " &amp; SUM(K2:K160 ))</f>
        <v>TOTAL VENTE MOIS : 145</v>
      </c>
      <c r="B162" s="65"/>
      <c r="C162" s="133"/>
      <c r="F162" s="140">
        <f>SUM(F160,F132,F81,F31,F13)</f>
        <v>2424.52</v>
      </c>
      <c r="G162" s="141">
        <f>AVERAGE(G160,G132,G81,G31,G13)</f>
        <v>11.31073759</v>
      </c>
      <c r="H162" s="141"/>
      <c r="I162" s="142">
        <f>SUM(I132+I81+I31+I13+I160)</f>
        <v>1345.79</v>
      </c>
      <c r="J162" s="143">
        <f>AVERAGE(J160,J132,J81,J31,J13)</f>
        <v>2.797167259</v>
      </c>
      <c r="K162" s="132">
        <f>COUNTA(B3:B159)</f>
        <v>145</v>
      </c>
    </row>
    <row r="163">
      <c r="A163" s="144"/>
      <c r="B163" s="65"/>
      <c r="C163" s="144"/>
      <c r="D163" s="144"/>
      <c r="E163" s="144"/>
      <c r="F163" s="144"/>
      <c r="G163" s="144"/>
      <c r="H163" s="144"/>
      <c r="I163" s="144"/>
      <c r="J163" s="144"/>
      <c r="K163" s="144"/>
    </row>
    <row r="164">
      <c r="A164" s="39"/>
      <c r="B164" s="145"/>
      <c r="C164" s="39"/>
      <c r="D164" s="39"/>
      <c r="E164" s="39"/>
      <c r="F164" s="146"/>
      <c r="G164" s="147" t="str">
        <f t="shared" ref="G164:G319" si="16">IF(ISBLANK(E164),"",E164-C164)</f>
        <v/>
      </c>
      <c r="H164" s="147"/>
      <c r="I164" s="148" t="str">
        <f t="shared" ref="I164:I408" si="17">IF(F164="","",IF(F164-B164&lt;0,"",F164-B164))</f>
        <v/>
      </c>
      <c r="J164" s="146" t="str">
        <f t="shared" ref="J164:J296" si="18">IF(F164="","",IF(F164/B164&lt;0,"",F164/B164))</f>
        <v/>
      </c>
      <c r="K164" s="39"/>
    </row>
    <row r="165">
      <c r="A165" s="39"/>
      <c r="B165" s="145"/>
      <c r="C165" s="39"/>
      <c r="D165" s="39"/>
      <c r="E165" s="39"/>
      <c r="F165" s="146"/>
      <c r="G165" s="147" t="str">
        <f t="shared" si="16"/>
        <v/>
      </c>
      <c r="H165" s="147"/>
      <c r="I165" s="148" t="str">
        <f t="shared" si="17"/>
        <v/>
      </c>
      <c r="J165" s="146" t="str">
        <f t="shared" si="18"/>
        <v/>
      </c>
      <c r="K165" s="39"/>
    </row>
    <row r="166">
      <c r="A166" s="39"/>
      <c r="B166" s="145"/>
      <c r="C166" s="39"/>
      <c r="D166" s="39"/>
      <c r="E166" s="39"/>
      <c r="F166" s="146"/>
      <c r="G166" s="147" t="str">
        <f t="shared" si="16"/>
        <v/>
      </c>
      <c r="H166" s="147"/>
      <c r="I166" s="148" t="str">
        <f t="shared" si="17"/>
        <v/>
      </c>
      <c r="J166" s="146" t="str">
        <f t="shared" si="18"/>
        <v/>
      </c>
      <c r="K166" s="39"/>
    </row>
    <row r="167">
      <c r="A167" s="39"/>
      <c r="B167" s="145"/>
      <c r="C167" s="39"/>
      <c r="D167" s="39"/>
      <c r="E167" s="39"/>
      <c r="F167" s="146"/>
      <c r="G167" s="147" t="str">
        <f t="shared" si="16"/>
        <v/>
      </c>
      <c r="H167" s="147"/>
      <c r="I167" s="148" t="str">
        <f t="shared" si="17"/>
        <v/>
      </c>
      <c r="J167" s="146" t="str">
        <f t="shared" si="18"/>
        <v/>
      </c>
      <c r="K167" s="39"/>
    </row>
    <row r="168">
      <c r="A168" s="39"/>
      <c r="B168" s="145"/>
      <c r="C168" s="39"/>
      <c r="D168" s="39"/>
      <c r="E168" s="39"/>
      <c r="F168" s="146"/>
      <c r="G168" s="147" t="str">
        <f t="shared" si="16"/>
        <v/>
      </c>
      <c r="H168" s="147"/>
      <c r="I168" s="148" t="str">
        <f t="shared" si="17"/>
        <v/>
      </c>
      <c r="J168" s="146" t="str">
        <f t="shared" si="18"/>
        <v/>
      </c>
      <c r="K168" s="39"/>
    </row>
    <row r="169">
      <c r="A169" s="39"/>
      <c r="B169" s="145"/>
      <c r="C169" s="39"/>
      <c r="D169" s="39"/>
      <c r="E169" s="39"/>
      <c r="F169" s="146"/>
      <c r="G169" s="147" t="str">
        <f t="shared" si="16"/>
        <v/>
      </c>
      <c r="H169" s="147"/>
      <c r="I169" s="148" t="str">
        <f t="shared" si="17"/>
        <v/>
      </c>
      <c r="J169" s="146" t="str">
        <f t="shared" si="18"/>
        <v/>
      </c>
      <c r="K169" s="39"/>
    </row>
    <row r="170">
      <c r="A170" s="39"/>
      <c r="B170" s="145"/>
      <c r="C170" s="39"/>
      <c r="D170" s="39"/>
      <c r="E170" s="39"/>
      <c r="F170" s="146"/>
      <c r="G170" s="147" t="str">
        <f t="shared" si="16"/>
        <v/>
      </c>
      <c r="H170" s="147"/>
      <c r="I170" s="148" t="str">
        <f t="shared" si="17"/>
        <v/>
      </c>
      <c r="J170" s="146" t="str">
        <f t="shared" si="18"/>
        <v/>
      </c>
      <c r="K170" s="39"/>
    </row>
    <row r="171">
      <c r="A171" s="39"/>
      <c r="B171" s="145"/>
      <c r="C171" s="39"/>
      <c r="D171" s="39"/>
      <c r="E171" s="39"/>
      <c r="F171" s="146"/>
      <c r="G171" s="147" t="str">
        <f t="shared" si="16"/>
        <v/>
      </c>
      <c r="H171" s="147"/>
      <c r="I171" s="148" t="str">
        <f t="shared" si="17"/>
        <v/>
      </c>
      <c r="J171" s="146" t="str">
        <f t="shared" si="18"/>
        <v/>
      </c>
      <c r="K171" s="39"/>
    </row>
    <row r="172">
      <c r="A172" s="39"/>
      <c r="B172" s="145"/>
      <c r="C172" s="39"/>
      <c r="D172" s="39"/>
      <c r="E172" s="39"/>
      <c r="F172" s="146"/>
      <c r="G172" s="147" t="str">
        <f t="shared" si="16"/>
        <v/>
      </c>
      <c r="H172" s="147"/>
      <c r="I172" s="148" t="str">
        <f t="shared" si="17"/>
        <v/>
      </c>
      <c r="J172" s="146" t="str">
        <f t="shared" si="18"/>
        <v/>
      </c>
      <c r="K172" s="39"/>
    </row>
    <row r="173">
      <c r="A173" s="39"/>
      <c r="B173" s="145"/>
      <c r="C173" s="39"/>
      <c r="D173" s="39"/>
      <c r="E173" s="39"/>
      <c r="F173" s="146"/>
      <c r="G173" s="147" t="str">
        <f t="shared" si="16"/>
        <v/>
      </c>
      <c r="H173" s="147"/>
      <c r="I173" s="148" t="str">
        <f t="shared" si="17"/>
        <v/>
      </c>
      <c r="J173" s="146" t="str">
        <f t="shared" si="18"/>
        <v/>
      </c>
      <c r="K173" s="39"/>
    </row>
    <row r="174">
      <c r="A174" s="39"/>
      <c r="B174" s="145"/>
      <c r="C174" s="39"/>
      <c r="D174" s="39"/>
      <c r="E174" s="39"/>
      <c r="F174" s="146"/>
      <c r="G174" s="147" t="str">
        <f t="shared" si="16"/>
        <v/>
      </c>
      <c r="H174" s="147"/>
      <c r="I174" s="148" t="str">
        <f t="shared" si="17"/>
        <v/>
      </c>
      <c r="J174" s="146" t="str">
        <f t="shared" si="18"/>
        <v/>
      </c>
      <c r="K174" s="39"/>
    </row>
    <row r="175">
      <c r="A175" s="39"/>
      <c r="B175" s="145"/>
      <c r="C175" s="39"/>
      <c r="D175" s="39"/>
      <c r="E175" s="39"/>
      <c r="F175" s="146"/>
      <c r="G175" s="147" t="str">
        <f t="shared" si="16"/>
        <v/>
      </c>
      <c r="H175" s="147"/>
      <c r="I175" s="148" t="str">
        <f t="shared" si="17"/>
        <v/>
      </c>
      <c r="J175" s="146" t="str">
        <f t="shared" si="18"/>
        <v/>
      </c>
      <c r="K175" s="39"/>
    </row>
    <row r="176">
      <c r="A176" s="39"/>
      <c r="B176" s="145"/>
      <c r="C176" s="39"/>
      <c r="D176" s="39"/>
      <c r="E176" s="39"/>
      <c r="F176" s="146"/>
      <c r="G176" s="147" t="str">
        <f t="shared" si="16"/>
        <v/>
      </c>
      <c r="H176" s="147"/>
      <c r="I176" s="148" t="str">
        <f t="shared" si="17"/>
        <v/>
      </c>
      <c r="J176" s="146" t="str">
        <f t="shared" si="18"/>
        <v/>
      </c>
      <c r="K176" s="39"/>
    </row>
    <row r="177">
      <c r="A177" s="39"/>
      <c r="B177" s="145"/>
      <c r="C177" s="39"/>
      <c r="D177" s="39"/>
      <c r="E177" s="39"/>
      <c r="F177" s="146"/>
      <c r="G177" s="147" t="str">
        <f t="shared" si="16"/>
        <v/>
      </c>
      <c r="H177" s="147"/>
      <c r="I177" s="148" t="str">
        <f t="shared" si="17"/>
        <v/>
      </c>
      <c r="J177" s="146" t="str">
        <f t="shared" si="18"/>
        <v/>
      </c>
      <c r="K177" s="39"/>
    </row>
    <row r="178">
      <c r="A178" s="39"/>
      <c r="B178" s="145"/>
      <c r="C178" s="39"/>
      <c r="D178" s="39"/>
      <c r="E178" s="39"/>
      <c r="F178" s="146"/>
      <c r="G178" s="147" t="str">
        <f t="shared" si="16"/>
        <v/>
      </c>
      <c r="H178" s="147"/>
      <c r="I178" s="148" t="str">
        <f t="shared" si="17"/>
        <v/>
      </c>
      <c r="J178" s="146" t="str">
        <f t="shared" si="18"/>
        <v/>
      </c>
      <c r="K178" s="39"/>
    </row>
    <row r="179">
      <c r="A179" s="39"/>
      <c r="B179" s="145"/>
      <c r="C179" s="39"/>
      <c r="D179" s="39"/>
      <c r="E179" s="39"/>
      <c r="F179" s="146"/>
      <c r="G179" s="147" t="str">
        <f t="shared" si="16"/>
        <v/>
      </c>
      <c r="H179" s="147"/>
      <c r="I179" s="148" t="str">
        <f t="shared" si="17"/>
        <v/>
      </c>
      <c r="J179" s="146" t="str">
        <f t="shared" si="18"/>
        <v/>
      </c>
      <c r="K179" s="39"/>
    </row>
    <row r="180">
      <c r="A180" s="39"/>
      <c r="B180" s="145"/>
      <c r="C180" s="39"/>
      <c r="D180" s="39"/>
      <c r="E180" s="39"/>
      <c r="F180" s="146"/>
      <c r="G180" s="147" t="str">
        <f t="shared" si="16"/>
        <v/>
      </c>
      <c r="H180" s="147"/>
      <c r="I180" s="148" t="str">
        <f t="shared" si="17"/>
        <v/>
      </c>
      <c r="J180" s="146" t="str">
        <f t="shared" si="18"/>
        <v/>
      </c>
      <c r="K180" s="39"/>
    </row>
    <row r="181">
      <c r="A181" s="39"/>
      <c r="B181" s="145"/>
      <c r="C181" s="39"/>
      <c r="D181" s="39"/>
      <c r="E181" s="39"/>
      <c r="F181" s="146"/>
      <c r="G181" s="147" t="str">
        <f t="shared" si="16"/>
        <v/>
      </c>
      <c r="H181" s="147"/>
      <c r="I181" s="148" t="str">
        <f t="shared" si="17"/>
        <v/>
      </c>
      <c r="J181" s="146" t="str">
        <f t="shared" si="18"/>
        <v/>
      </c>
      <c r="K181" s="39"/>
    </row>
    <row r="182">
      <c r="A182" s="39"/>
      <c r="B182" s="145"/>
      <c r="C182" s="39"/>
      <c r="D182" s="39"/>
      <c r="E182" s="39"/>
      <c r="F182" s="146"/>
      <c r="G182" s="147" t="str">
        <f t="shared" si="16"/>
        <v/>
      </c>
      <c r="H182" s="147"/>
      <c r="I182" s="148" t="str">
        <f t="shared" si="17"/>
        <v/>
      </c>
      <c r="J182" s="146" t="str">
        <f t="shared" si="18"/>
        <v/>
      </c>
      <c r="K182" s="39"/>
    </row>
    <row r="183">
      <c r="A183" s="39"/>
      <c r="B183" s="145"/>
      <c r="C183" s="39"/>
      <c r="D183" s="39"/>
      <c r="E183" s="39"/>
      <c r="F183" s="146"/>
      <c r="G183" s="147" t="str">
        <f t="shared" si="16"/>
        <v/>
      </c>
      <c r="H183" s="147"/>
      <c r="I183" s="148" t="str">
        <f t="shared" si="17"/>
        <v/>
      </c>
      <c r="J183" s="146" t="str">
        <f t="shared" si="18"/>
        <v/>
      </c>
      <c r="K183" s="39"/>
    </row>
    <row r="184">
      <c r="A184" s="39"/>
      <c r="B184" s="145"/>
      <c r="C184" s="39"/>
      <c r="D184" s="39"/>
      <c r="E184" s="39"/>
      <c r="F184" s="146"/>
      <c r="G184" s="147" t="str">
        <f t="shared" si="16"/>
        <v/>
      </c>
      <c r="H184" s="147"/>
      <c r="I184" s="148" t="str">
        <f t="shared" si="17"/>
        <v/>
      </c>
      <c r="J184" s="146" t="str">
        <f t="shared" si="18"/>
        <v/>
      </c>
      <c r="K184" s="39"/>
    </row>
    <row r="185">
      <c r="A185" s="39"/>
      <c r="B185" s="145"/>
      <c r="C185" s="39"/>
      <c r="D185" s="39"/>
      <c r="E185" s="39"/>
      <c r="F185" s="146"/>
      <c r="G185" s="147" t="str">
        <f t="shared" si="16"/>
        <v/>
      </c>
      <c r="H185" s="147"/>
      <c r="I185" s="148" t="str">
        <f t="shared" si="17"/>
        <v/>
      </c>
      <c r="J185" s="146" t="str">
        <f t="shared" si="18"/>
        <v/>
      </c>
      <c r="K185" s="39"/>
    </row>
    <row r="186">
      <c r="A186" s="39"/>
      <c r="B186" s="145"/>
      <c r="C186" s="39"/>
      <c r="D186" s="39"/>
      <c r="E186" s="39"/>
      <c r="F186" s="146"/>
      <c r="G186" s="147" t="str">
        <f t="shared" si="16"/>
        <v/>
      </c>
      <c r="H186" s="147"/>
      <c r="I186" s="148" t="str">
        <f t="shared" si="17"/>
        <v/>
      </c>
      <c r="J186" s="146" t="str">
        <f t="shared" si="18"/>
        <v/>
      </c>
      <c r="K186" s="39"/>
    </row>
    <row r="187">
      <c r="A187" s="39"/>
      <c r="B187" s="145"/>
      <c r="C187" s="39"/>
      <c r="D187" s="39"/>
      <c r="E187" s="39"/>
      <c r="F187" s="146"/>
      <c r="G187" s="147" t="str">
        <f t="shared" si="16"/>
        <v/>
      </c>
      <c r="H187" s="147"/>
      <c r="I187" s="148" t="str">
        <f t="shared" si="17"/>
        <v/>
      </c>
      <c r="J187" s="146" t="str">
        <f t="shared" si="18"/>
        <v/>
      </c>
      <c r="K187" s="39"/>
    </row>
    <row r="188">
      <c r="A188" s="39"/>
      <c r="B188" s="145"/>
      <c r="C188" s="39"/>
      <c r="D188" s="39"/>
      <c r="E188" s="39"/>
      <c r="F188" s="146"/>
      <c r="G188" s="147" t="str">
        <f t="shared" si="16"/>
        <v/>
      </c>
      <c r="H188" s="147"/>
      <c r="I188" s="148" t="str">
        <f t="shared" si="17"/>
        <v/>
      </c>
      <c r="J188" s="146" t="str">
        <f t="shared" si="18"/>
        <v/>
      </c>
      <c r="K188" s="39"/>
    </row>
    <row r="189">
      <c r="A189" s="39"/>
      <c r="B189" s="145"/>
      <c r="C189" s="39"/>
      <c r="D189" s="39"/>
      <c r="E189" s="39"/>
      <c r="F189" s="146"/>
      <c r="G189" s="147" t="str">
        <f t="shared" si="16"/>
        <v/>
      </c>
      <c r="H189" s="147"/>
      <c r="I189" s="148" t="str">
        <f t="shared" si="17"/>
        <v/>
      </c>
      <c r="J189" s="146" t="str">
        <f t="shared" si="18"/>
        <v/>
      </c>
      <c r="K189" s="39"/>
    </row>
    <row r="190">
      <c r="A190" s="39"/>
      <c r="B190" s="145"/>
      <c r="C190" s="39"/>
      <c r="D190" s="39"/>
      <c r="E190" s="39"/>
      <c r="F190" s="146"/>
      <c r="G190" s="147" t="str">
        <f t="shared" si="16"/>
        <v/>
      </c>
      <c r="H190" s="147"/>
      <c r="I190" s="148" t="str">
        <f t="shared" si="17"/>
        <v/>
      </c>
      <c r="J190" s="146" t="str">
        <f t="shared" si="18"/>
        <v/>
      </c>
      <c r="K190" s="39"/>
    </row>
    <row r="191">
      <c r="A191" s="39"/>
      <c r="B191" s="145"/>
      <c r="C191" s="39"/>
      <c r="D191" s="39"/>
      <c r="E191" s="39"/>
      <c r="F191" s="146"/>
      <c r="G191" s="147" t="str">
        <f t="shared" si="16"/>
        <v/>
      </c>
      <c r="H191" s="147"/>
      <c r="I191" s="148" t="str">
        <f t="shared" si="17"/>
        <v/>
      </c>
      <c r="J191" s="146" t="str">
        <f t="shared" si="18"/>
        <v/>
      </c>
      <c r="K191" s="39"/>
    </row>
    <row r="192">
      <c r="A192" s="39"/>
      <c r="B192" s="145"/>
      <c r="C192" s="39"/>
      <c r="D192" s="39"/>
      <c r="E192" s="39"/>
      <c r="F192" s="146"/>
      <c r="G192" s="147" t="str">
        <f t="shared" si="16"/>
        <v/>
      </c>
      <c r="H192" s="147"/>
      <c r="I192" s="148" t="str">
        <f t="shared" si="17"/>
        <v/>
      </c>
      <c r="J192" s="146" t="str">
        <f t="shared" si="18"/>
        <v/>
      </c>
      <c r="K192" s="39"/>
    </row>
    <row r="193">
      <c r="A193" s="39"/>
      <c r="B193" s="145"/>
      <c r="C193" s="39"/>
      <c r="D193" s="39"/>
      <c r="E193" s="39"/>
      <c r="F193" s="146"/>
      <c r="G193" s="147" t="str">
        <f t="shared" si="16"/>
        <v/>
      </c>
      <c r="H193" s="147"/>
      <c r="I193" s="148" t="str">
        <f t="shared" si="17"/>
        <v/>
      </c>
      <c r="J193" s="146" t="str">
        <f t="shared" si="18"/>
        <v/>
      </c>
      <c r="K193" s="39"/>
    </row>
    <row r="194">
      <c r="A194" s="39"/>
      <c r="B194" s="145"/>
      <c r="C194" s="39"/>
      <c r="D194" s="39"/>
      <c r="E194" s="39"/>
      <c r="F194" s="146"/>
      <c r="G194" s="147" t="str">
        <f t="shared" si="16"/>
        <v/>
      </c>
      <c r="H194" s="147"/>
      <c r="I194" s="148" t="str">
        <f t="shared" si="17"/>
        <v/>
      </c>
      <c r="J194" s="146" t="str">
        <f t="shared" si="18"/>
        <v/>
      </c>
      <c r="K194" s="39"/>
    </row>
    <row r="195">
      <c r="A195" s="39"/>
      <c r="B195" s="145"/>
      <c r="C195" s="39"/>
      <c r="D195" s="39"/>
      <c r="E195" s="39"/>
      <c r="F195" s="146"/>
      <c r="G195" s="147" t="str">
        <f t="shared" si="16"/>
        <v/>
      </c>
      <c r="H195" s="147"/>
      <c r="I195" s="148" t="str">
        <f t="shared" si="17"/>
        <v/>
      </c>
      <c r="J195" s="146" t="str">
        <f t="shared" si="18"/>
        <v/>
      </c>
      <c r="K195" s="39"/>
    </row>
    <row r="196">
      <c r="A196" s="39"/>
      <c r="B196" s="145"/>
      <c r="C196" s="39"/>
      <c r="D196" s="39"/>
      <c r="E196" s="39"/>
      <c r="F196" s="146"/>
      <c r="G196" s="147" t="str">
        <f t="shared" si="16"/>
        <v/>
      </c>
      <c r="H196" s="147"/>
      <c r="I196" s="148" t="str">
        <f t="shared" si="17"/>
        <v/>
      </c>
      <c r="J196" s="146" t="str">
        <f t="shared" si="18"/>
        <v/>
      </c>
      <c r="K196" s="39"/>
    </row>
    <row r="197">
      <c r="A197" s="39"/>
      <c r="B197" s="145"/>
      <c r="C197" s="39"/>
      <c r="D197" s="39"/>
      <c r="E197" s="39"/>
      <c r="F197" s="146"/>
      <c r="G197" s="147" t="str">
        <f t="shared" si="16"/>
        <v/>
      </c>
      <c r="H197" s="147"/>
      <c r="I197" s="148" t="str">
        <f t="shared" si="17"/>
        <v/>
      </c>
      <c r="J197" s="146" t="str">
        <f t="shared" si="18"/>
        <v/>
      </c>
      <c r="K197" s="39"/>
    </row>
    <row r="198">
      <c r="A198" s="39"/>
      <c r="B198" s="145"/>
      <c r="C198" s="39"/>
      <c r="D198" s="39"/>
      <c r="E198" s="39"/>
      <c r="F198" s="146"/>
      <c r="G198" s="147" t="str">
        <f t="shared" si="16"/>
        <v/>
      </c>
      <c r="H198" s="147"/>
      <c r="I198" s="148" t="str">
        <f t="shared" si="17"/>
        <v/>
      </c>
      <c r="J198" s="146" t="str">
        <f t="shared" si="18"/>
        <v/>
      </c>
      <c r="K198" s="39"/>
    </row>
    <row r="199">
      <c r="A199" s="39"/>
      <c r="B199" s="145"/>
      <c r="C199" s="39"/>
      <c r="D199" s="39"/>
      <c r="E199" s="39"/>
      <c r="F199" s="146"/>
      <c r="G199" s="147" t="str">
        <f t="shared" si="16"/>
        <v/>
      </c>
      <c r="H199" s="147"/>
      <c r="I199" s="148" t="str">
        <f t="shared" si="17"/>
        <v/>
      </c>
      <c r="J199" s="146" t="str">
        <f t="shared" si="18"/>
        <v/>
      </c>
      <c r="K199" s="39"/>
    </row>
    <row r="200">
      <c r="A200" s="39"/>
      <c r="B200" s="145"/>
      <c r="C200" s="39"/>
      <c r="D200" s="39"/>
      <c r="E200" s="39"/>
      <c r="F200" s="146"/>
      <c r="G200" s="147" t="str">
        <f t="shared" si="16"/>
        <v/>
      </c>
      <c r="H200" s="147"/>
      <c r="I200" s="148" t="str">
        <f t="shared" si="17"/>
        <v/>
      </c>
      <c r="J200" s="146" t="str">
        <f t="shared" si="18"/>
        <v/>
      </c>
      <c r="K200" s="39"/>
    </row>
    <row r="201">
      <c r="A201" s="39"/>
      <c r="B201" s="145"/>
      <c r="C201" s="39"/>
      <c r="D201" s="39"/>
      <c r="E201" s="39"/>
      <c r="F201" s="146"/>
      <c r="G201" s="147" t="str">
        <f t="shared" si="16"/>
        <v/>
      </c>
      <c r="H201" s="147"/>
      <c r="I201" s="148" t="str">
        <f t="shared" si="17"/>
        <v/>
      </c>
      <c r="J201" s="146" t="str">
        <f t="shared" si="18"/>
        <v/>
      </c>
      <c r="K201" s="39"/>
    </row>
    <row r="202">
      <c r="A202" s="39"/>
      <c r="B202" s="145"/>
      <c r="C202" s="39"/>
      <c r="D202" s="39"/>
      <c r="E202" s="39"/>
      <c r="F202" s="146"/>
      <c r="G202" s="147" t="str">
        <f t="shared" si="16"/>
        <v/>
      </c>
      <c r="H202" s="147"/>
      <c r="I202" s="148" t="str">
        <f t="shared" si="17"/>
        <v/>
      </c>
      <c r="J202" s="146" t="str">
        <f t="shared" si="18"/>
        <v/>
      </c>
      <c r="K202" s="39"/>
    </row>
    <row r="203">
      <c r="A203" s="39"/>
      <c r="B203" s="145"/>
      <c r="C203" s="39"/>
      <c r="D203" s="39"/>
      <c r="E203" s="39"/>
      <c r="F203" s="146"/>
      <c r="G203" s="147" t="str">
        <f t="shared" si="16"/>
        <v/>
      </c>
      <c r="H203" s="147"/>
      <c r="I203" s="148" t="str">
        <f t="shared" si="17"/>
        <v/>
      </c>
      <c r="J203" s="146" t="str">
        <f t="shared" si="18"/>
        <v/>
      </c>
      <c r="K203" s="39"/>
    </row>
    <row r="204">
      <c r="A204" s="39"/>
      <c r="B204" s="145"/>
      <c r="C204" s="39"/>
      <c r="D204" s="39"/>
      <c r="E204" s="39"/>
      <c r="F204" s="146"/>
      <c r="G204" s="147" t="str">
        <f t="shared" si="16"/>
        <v/>
      </c>
      <c r="H204" s="147"/>
      <c r="I204" s="148" t="str">
        <f t="shared" si="17"/>
        <v/>
      </c>
      <c r="J204" s="146" t="str">
        <f t="shared" si="18"/>
        <v/>
      </c>
      <c r="K204" s="39"/>
    </row>
    <row r="205">
      <c r="A205" s="39"/>
      <c r="B205" s="145"/>
      <c r="C205" s="39"/>
      <c r="D205" s="39"/>
      <c r="E205" s="39"/>
      <c r="F205" s="146"/>
      <c r="G205" s="147" t="str">
        <f t="shared" si="16"/>
        <v/>
      </c>
      <c r="H205" s="147"/>
      <c r="I205" s="148" t="str">
        <f t="shared" si="17"/>
        <v/>
      </c>
      <c r="J205" s="146" t="str">
        <f t="shared" si="18"/>
        <v/>
      </c>
      <c r="K205" s="39"/>
    </row>
    <row r="206">
      <c r="A206" s="39"/>
      <c r="B206" s="145"/>
      <c r="C206" s="39"/>
      <c r="D206" s="39"/>
      <c r="E206" s="39"/>
      <c r="F206" s="146"/>
      <c r="G206" s="147" t="str">
        <f t="shared" si="16"/>
        <v/>
      </c>
      <c r="H206" s="147"/>
      <c r="I206" s="148" t="str">
        <f t="shared" si="17"/>
        <v/>
      </c>
      <c r="J206" s="146" t="str">
        <f t="shared" si="18"/>
        <v/>
      </c>
      <c r="K206" s="39"/>
    </row>
    <row r="207">
      <c r="A207" s="39"/>
      <c r="B207" s="145"/>
      <c r="C207" s="39"/>
      <c r="D207" s="39"/>
      <c r="E207" s="39"/>
      <c r="F207" s="146"/>
      <c r="G207" s="147" t="str">
        <f t="shared" si="16"/>
        <v/>
      </c>
      <c r="H207" s="147"/>
      <c r="I207" s="148" t="str">
        <f t="shared" si="17"/>
        <v/>
      </c>
      <c r="J207" s="146" t="str">
        <f t="shared" si="18"/>
        <v/>
      </c>
      <c r="K207" s="39"/>
    </row>
    <row r="208">
      <c r="A208" s="39"/>
      <c r="B208" s="145"/>
      <c r="C208" s="39"/>
      <c r="D208" s="39"/>
      <c r="E208" s="39"/>
      <c r="F208" s="146"/>
      <c r="G208" s="147" t="str">
        <f t="shared" si="16"/>
        <v/>
      </c>
      <c r="H208" s="147"/>
      <c r="I208" s="148" t="str">
        <f t="shared" si="17"/>
        <v/>
      </c>
      <c r="J208" s="146" t="str">
        <f t="shared" si="18"/>
        <v/>
      </c>
      <c r="K208" s="39"/>
    </row>
    <row r="209">
      <c r="A209" s="39"/>
      <c r="B209" s="145"/>
      <c r="C209" s="39"/>
      <c r="D209" s="39"/>
      <c r="E209" s="39"/>
      <c r="F209" s="146"/>
      <c r="G209" s="147" t="str">
        <f t="shared" si="16"/>
        <v/>
      </c>
      <c r="H209" s="147"/>
      <c r="I209" s="148" t="str">
        <f t="shared" si="17"/>
        <v/>
      </c>
      <c r="J209" s="146" t="str">
        <f t="shared" si="18"/>
        <v/>
      </c>
      <c r="K209" s="39"/>
    </row>
    <row r="210">
      <c r="A210" s="39"/>
      <c r="B210" s="145"/>
      <c r="C210" s="39"/>
      <c r="D210" s="39"/>
      <c r="E210" s="39"/>
      <c r="F210" s="146"/>
      <c r="G210" s="147" t="str">
        <f t="shared" si="16"/>
        <v/>
      </c>
      <c r="H210" s="147"/>
      <c r="I210" s="148" t="str">
        <f t="shared" si="17"/>
        <v/>
      </c>
      <c r="J210" s="146" t="str">
        <f t="shared" si="18"/>
        <v/>
      </c>
      <c r="K210" s="39"/>
    </row>
    <row r="211">
      <c r="A211" s="39"/>
      <c r="B211" s="145"/>
      <c r="C211" s="39"/>
      <c r="D211" s="39"/>
      <c r="E211" s="39"/>
      <c r="F211" s="146"/>
      <c r="G211" s="147" t="str">
        <f t="shared" si="16"/>
        <v/>
      </c>
      <c r="H211" s="147"/>
      <c r="I211" s="148" t="str">
        <f t="shared" si="17"/>
        <v/>
      </c>
      <c r="J211" s="146" t="str">
        <f t="shared" si="18"/>
        <v/>
      </c>
      <c r="K211" s="39"/>
    </row>
    <row r="212">
      <c r="A212" s="39"/>
      <c r="B212" s="145"/>
      <c r="C212" s="39"/>
      <c r="D212" s="39"/>
      <c r="E212" s="39"/>
      <c r="F212" s="146"/>
      <c r="G212" s="147" t="str">
        <f t="shared" si="16"/>
        <v/>
      </c>
      <c r="H212" s="147"/>
      <c r="I212" s="148" t="str">
        <f t="shared" si="17"/>
        <v/>
      </c>
      <c r="J212" s="146" t="str">
        <f t="shared" si="18"/>
        <v/>
      </c>
      <c r="K212" s="39"/>
    </row>
    <row r="213">
      <c r="A213" s="39"/>
      <c r="B213" s="145"/>
      <c r="C213" s="39"/>
      <c r="D213" s="39"/>
      <c r="E213" s="39"/>
      <c r="F213" s="146"/>
      <c r="G213" s="147" t="str">
        <f t="shared" si="16"/>
        <v/>
      </c>
      <c r="H213" s="147"/>
      <c r="I213" s="148" t="str">
        <f t="shared" si="17"/>
        <v/>
      </c>
      <c r="J213" s="146" t="str">
        <f t="shared" si="18"/>
        <v/>
      </c>
      <c r="K213" s="39"/>
    </row>
    <row r="214">
      <c r="A214" s="39"/>
      <c r="B214" s="145"/>
      <c r="C214" s="39"/>
      <c r="D214" s="39"/>
      <c r="E214" s="39"/>
      <c r="F214" s="146"/>
      <c r="G214" s="147" t="str">
        <f t="shared" si="16"/>
        <v/>
      </c>
      <c r="H214" s="147"/>
      <c r="I214" s="148" t="str">
        <f t="shared" si="17"/>
        <v/>
      </c>
      <c r="J214" s="146" t="str">
        <f t="shared" si="18"/>
        <v/>
      </c>
      <c r="K214" s="39"/>
    </row>
    <row r="215">
      <c r="A215" s="39"/>
      <c r="B215" s="145"/>
      <c r="C215" s="39"/>
      <c r="D215" s="39"/>
      <c r="E215" s="39"/>
      <c r="F215" s="146"/>
      <c r="G215" s="147" t="str">
        <f t="shared" si="16"/>
        <v/>
      </c>
      <c r="H215" s="147"/>
      <c r="I215" s="148" t="str">
        <f t="shared" si="17"/>
        <v/>
      </c>
      <c r="J215" s="146" t="str">
        <f t="shared" si="18"/>
        <v/>
      </c>
      <c r="K215" s="39"/>
    </row>
    <row r="216">
      <c r="A216" s="39"/>
      <c r="B216" s="145"/>
      <c r="C216" s="39"/>
      <c r="D216" s="39"/>
      <c r="E216" s="39"/>
      <c r="F216" s="146"/>
      <c r="G216" s="147" t="str">
        <f t="shared" si="16"/>
        <v/>
      </c>
      <c r="H216" s="147"/>
      <c r="I216" s="148" t="str">
        <f t="shared" si="17"/>
        <v/>
      </c>
      <c r="J216" s="146" t="str">
        <f t="shared" si="18"/>
        <v/>
      </c>
      <c r="K216" s="39"/>
    </row>
    <row r="217">
      <c r="A217" s="39"/>
      <c r="B217" s="145"/>
      <c r="C217" s="39"/>
      <c r="D217" s="39"/>
      <c r="E217" s="39"/>
      <c r="F217" s="146"/>
      <c r="G217" s="147" t="str">
        <f t="shared" si="16"/>
        <v/>
      </c>
      <c r="H217" s="147"/>
      <c r="I217" s="148" t="str">
        <f t="shared" si="17"/>
        <v/>
      </c>
      <c r="J217" s="146" t="str">
        <f t="shared" si="18"/>
        <v/>
      </c>
      <c r="K217" s="39"/>
    </row>
    <row r="218">
      <c r="A218" s="39"/>
      <c r="B218" s="145"/>
      <c r="C218" s="39"/>
      <c r="D218" s="39"/>
      <c r="E218" s="39"/>
      <c r="F218" s="146"/>
      <c r="G218" s="147" t="str">
        <f t="shared" si="16"/>
        <v/>
      </c>
      <c r="H218" s="147"/>
      <c r="I218" s="148" t="str">
        <f t="shared" si="17"/>
        <v/>
      </c>
      <c r="J218" s="146" t="str">
        <f t="shared" si="18"/>
        <v/>
      </c>
      <c r="K218" s="39"/>
    </row>
    <row r="219">
      <c r="A219" s="39"/>
      <c r="B219" s="145"/>
      <c r="C219" s="39"/>
      <c r="D219" s="39"/>
      <c r="E219" s="39"/>
      <c r="F219" s="146"/>
      <c r="G219" s="147" t="str">
        <f t="shared" si="16"/>
        <v/>
      </c>
      <c r="H219" s="147"/>
      <c r="I219" s="148" t="str">
        <f t="shared" si="17"/>
        <v/>
      </c>
      <c r="J219" s="146" t="str">
        <f t="shared" si="18"/>
        <v/>
      </c>
      <c r="K219" s="39"/>
    </row>
    <row r="220">
      <c r="A220" s="39"/>
      <c r="B220" s="145"/>
      <c r="C220" s="39"/>
      <c r="D220" s="39"/>
      <c r="E220" s="39"/>
      <c r="F220" s="146"/>
      <c r="G220" s="147" t="str">
        <f t="shared" si="16"/>
        <v/>
      </c>
      <c r="H220" s="147"/>
      <c r="I220" s="148" t="str">
        <f t="shared" si="17"/>
        <v/>
      </c>
      <c r="J220" s="146" t="str">
        <f t="shared" si="18"/>
        <v/>
      </c>
      <c r="K220" s="39"/>
    </row>
    <row r="221">
      <c r="A221" s="39"/>
      <c r="B221" s="145"/>
      <c r="C221" s="39"/>
      <c r="D221" s="39"/>
      <c r="E221" s="39"/>
      <c r="F221" s="146"/>
      <c r="G221" s="147" t="str">
        <f t="shared" si="16"/>
        <v/>
      </c>
      <c r="H221" s="147"/>
      <c r="I221" s="148" t="str">
        <f t="shared" si="17"/>
        <v/>
      </c>
      <c r="J221" s="146" t="str">
        <f t="shared" si="18"/>
        <v/>
      </c>
      <c r="K221" s="39"/>
    </row>
    <row r="222">
      <c r="A222" s="39"/>
      <c r="B222" s="145"/>
      <c r="C222" s="39"/>
      <c r="D222" s="39"/>
      <c r="E222" s="39"/>
      <c r="F222" s="146"/>
      <c r="G222" s="147" t="str">
        <f t="shared" si="16"/>
        <v/>
      </c>
      <c r="H222" s="147"/>
      <c r="I222" s="148" t="str">
        <f t="shared" si="17"/>
        <v/>
      </c>
      <c r="J222" s="146" t="str">
        <f t="shared" si="18"/>
        <v/>
      </c>
      <c r="K222" s="39"/>
    </row>
    <row r="223">
      <c r="A223" s="39"/>
      <c r="B223" s="145"/>
      <c r="C223" s="39"/>
      <c r="D223" s="39"/>
      <c r="E223" s="39"/>
      <c r="F223" s="146"/>
      <c r="G223" s="147" t="str">
        <f t="shared" si="16"/>
        <v/>
      </c>
      <c r="H223" s="147"/>
      <c r="I223" s="148" t="str">
        <f t="shared" si="17"/>
        <v/>
      </c>
      <c r="J223" s="146" t="str">
        <f t="shared" si="18"/>
        <v/>
      </c>
      <c r="K223" s="39"/>
    </row>
    <row r="224">
      <c r="A224" s="39"/>
      <c r="B224" s="145"/>
      <c r="C224" s="39"/>
      <c r="D224" s="39"/>
      <c r="E224" s="39"/>
      <c r="F224" s="146"/>
      <c r="G224" s="147" t="str">
        <f t="shared" si="16"/>
        <v/>
      </c>
      <c r="H224" s="147"/>
      <c r="I224" s="148" t="str">
        <f t="shared" si="17"/>
        <v/>
      </c>
      <c r="J224" s="146" t="str">
        <f t="shared" si="18"/>
        <v/>
      </c>
      <c r="K224" s="39"/>
    </row>
    <row r="225">
      <c r="A225" s="39"/>
      <c r="B225" s="145"/>
      <c r="C225" s="39"/>
      <c r="D225" s="39"/>
      <c r="E225" s="39"/>
      <c r="F225" s="146"/>
      <c r="G225" s="147" t="str">
        <f t="shared" si="16"/>
        <v/>
      </c>
      <c r="H225" s="147"/>
      <c r="I225" s="148" t="str">
        <f t="shared" si="17"/>
        <v/>
      </c>
      <c r="J225" s="146" t="str">
        <f t="shared" si="18"/>
        <v/>
      </c>
      <c r="K225" s="39"/>
    </row>
    <row r="226">
      <c r="A226" s="39"/>
      <c r="B226" s="145"/>
      <c r="C226" s="39"/>
      <c r="D226" s="39"/>
      <c r="E226" s="39"/>
      <c r="F226" s="146"/>
      <c r="G226" s="147" t="str">
        <f t="shared" si="16"/>
        <v/>
      </c>
      <c r="H226" s="147"/>
      <c r="I226" s="148" t="str">
        <f t="shared" si="17"/>
        <v/>
      </c>
      <c r="J226" s="146" t="str">
        <f t="shared" si="18"/>
        <v/>
      </c>
      <c r="K226" s="39"/>
    </row>
    <row r="227">
      <c r="A227" s="39"/>
      <c r="B227" s="145"/>
      <c r="C227" s="39"/>
      <c r="D227" s="39"/>
      <c r="E227" s="39"/>
      <c r="F227" s="146"/>
      <c r="G227" s="147" t="str">
        <f t="shared" si="16"/>
        <v/>
      </c>
      <c r="H227" s="147"/>
      <c r="I227" s="148" t="str">
        <f t="shared" si="17"/>
        <v/>
      </c>
      <c r="J227" s="146" t="str">
        <f t="shared" si="18"/>
        <v/>
      </c>
      <c r="K227" s="39"/>
    </row>
    <row r="228">
      <c r="A228" s="39"/>
      <c r="B228" s="145"/>
      <c r="C228" s="39"/>
      <c r="D228" s="39"/>
      <c r="E228" s="39"/>
      <c r="F228" s="146"/>
      <c r="G228" s="147" t="str">
        <f t="shared" si="16"/>
        <v/>
      </c>
      <c r="H228" s="147"/>
      <c r="I228" s="148" t="str">
        <f t="shared" si="17"/>
        <v/>
      </c>
      <c r="J228" s="146" t="str">
        <f t="shared" si="18"/>
        <v/>
      </c>
      <c r="K228" s="39"/>
    </row>
    <row r="229">
      <c r="A229" s="39"/>
      <c r="B229" s="145"/>
      <c r="C229" s="39"/>
      <c r="D229" s="39"/>
      <c r="E229" s="39"/>
      <c r="F229" s="146"/>
      <c r="G229" s="147" t="str">
        <f t="shared" si="16"/>
        <v/>
      </c>
      <c r="H229" s="147"/>
      <c r="I229" s="148" t="str">
        <f t="shared" si="17"/>
        <v/>
      </c>
      <c r="J229" s="146" t="str">
        <f t="shared" si="18"/>
        <v/>
      </c>
      <c r="K229" s="39"/>
    </row>
    <row r="230">
      <c r="A230" s="39"/>
      <c r="B230" s="145"/>
      <c r="C230" s="39"/>
      <c r="D230" s="39"/>
      <c r="E230" s="39"/>
      <c r="F230" s="146"/>
      <c r="G230" s="147" t="str">
        <f t="shared" si="16"/>
        <v/>
      </c>
      <c r="H230" s="147"/>
      <c r="I230" s="148" t="str">
        <f t="shared" si="17"/>
        <v/>
      </c>
      <c r="J230" s="146" t="str">
        <f t="shared" si="18"/>
        <v/>
      </c>
      <c r="K230" s="39"/>
    </row>
    <row r="231">
      <c r="A231" s="39"/>
      <c r="B231" s="145"/>
      <c r="C231" s="39"/>
      <c r="D231" s="39"/>
      <c r="E231" s="39"/>
      <c r="F231" s="146"/>
      <c r="G231" s="147" t="str">
        <f t="shared" si="16"/>
        <v/>
      </c>
      <c r="H231" s="147"/>
      <c r="I231" s="148" t="str">
        <f t="shared" si="17"/>
        <v/>
      </c>
      <c r="J231" s="146" t="str">
        <f t="shared" si="18"/>
        <v/>
      </c>
      <c r="K231" s="39"/>
    </row>
    <row r="232">
      <c r="A232" s="39"/>
      <c r="B232" s="145"/>
      <c r="C232" s="39"/>
      <c r="D232" s="39"/>
      <c r="E232" s="39"/>
      <c r="F232" s="146"/>
      <c r="G232" s="147" t="str">
        <f t="shared" si="16"/>
        <v/>
      </c>
      <c r="H232" s="147"/>
      <c r="I232" s="148" t="str">
        <f t="shared" si="17"/>
        <v/>
      </c>
      <c r="J232" s="146" t="str">
        <f t="shared" si="18"/>
        <v/>
      </c>
      <c r="K232" s="39"/>
    </row>
    <row r="233">
      <c r="A233" s="39"/>
      <c r="B233" s="145"/>
      <c r="C233" s="39"/>
      <c r="D233" s="39"/>
      <c r="E233" s="39"/>
      <c r="F233" s="146"/>
      <c r="G233" s="147" t="str">
        <f t="shared" si="16"/>
        <v/>
      </c>
      <c r="H233" s="147"/>
      <c r="I233" s="148" t="str">
        <f t="shared" si="17"/>
        <v/>
      </c>
      <c r="J233" s="146" t="str">
        <f t="shared" si="18"/>
        <v/>
      </c>
      <c r="K233" s="39"/>
    </row>
    <row r="234">
      <c r="A234" s="39"/>
      <c r="B234" s="145"/>
      <c r="C234" s="39"/>
      <c r="D234" s="39"/>
      <c r="E234" s="39"/>
      <c r="F234" s="146"/>
      <c r="G234" s="147" t="str">
        <f t="shared" si="16"/>
        <v/>
      </c>
      <c r="H234" s="147"/>
      <c r="I234" s="148" t="str">
        <f t="shared" si="17"/>
        <v/>
      </c>
      <c r="J234" s="146" t="str">
        <f t="shared" si="18"/>
        <v/>
      </c>
      <c r="K234" s="39"/>
    </row>
    <row r="235">
      <c r="A235" s="39"/>
      <c r="B235" s="145"/>
      <c r="C235" s="39"/>
      <c r="D235" s="39"/>
      <c r="E235" s="39"/>
      <c r="F235" s="146"/>
      <c r="G235" s="147" t="str">
        <f t="shared" si="16"/>
        <v/>
      </c>
      <c r="H235" s="147"/>
      <c r="I235" s="148" t="str">
        <f t="shared" si="17"/>
        <v/>
      </c>
      <c r="J235" s="146" t="str">
        <f t="shared" si="18"/>
        <v/>
      </c>
      <c r="K235" s="39"/>
    </row>
    <row r="236">
      <c r="A236" s="39"/>
      <c r="B236" s="145"/>
      <c r="C236" s="39"/>
      <c r="D236" s="39"/>
      <c r="E236" s="39"/>
      <c r="F236" s="146"/>
      <c r="G236" s="147" t="str">
        <f t="shared" si="16"/>
        <v/>
      </c>
      <c r="H236" s="147"/>
      <c r="I236" s="148" t="str">
        <f t="shared" si="17"/>
        <v/>
      </c>
      <c r="J236" s="146" t="str">
        <f t="shared" si="18"/>
        <v/>
      </c>
      <c r="K236" s="39"/>
    </row>
    <row r="237">
      <c r="A237" s="39"/>
      <c r="B237" s="145"/>
      <c r="C237" s="39"/>
      <c r="D237" s="39"/>
      <c r="E237" s="39"/>
      <c r="F237" s="146"/>
      <c r="G237" s="147" t="str">
        <f t="shared" si="16"/>
        <v/>
      </c>
      <c r="H237" s="147"/>
      <c r="I237" s="148" t="str">
        <f t="shared" si="17"/>
        <v/>
      </c>
      <c r="J237" s="146" t="str">
        <f t="shared" si="18"/>
        <v/>
      </c>
      <c r="K237" s="39"/>
    </row>
    <row r="238">
      <c r="A238" s="39"/>
      <c r="B238" s="145"/>
      <c r="C238" s="39"/>
      <c r="D238" s="39"/>
      <c r="E238" s="39"/>
      <c r="F238" s="146"/>
      <c r="G238" s="147" t="str">
        <f t="shared" si="16"/>
        <v/>
      </c>
      <c r="H238" s="147"/>
      <c r="I238" s="148" t="str">
        <f t="shared" si="17"/>
        <v/>
      </c>
      <c r="J238" s="146" t="str">
        <f t="shared" si="18"/>
        <v/>
      </c>
      <c r="K238" s="39"/>
    </row>
    <row r="239">
      <c r="A239" s="39"/>
      <c r="B239" s="145"/>
      <c r="C239" s="39"/>
      <c r="D239" s="39"/>
      <c r="E239" s="39"/>
      <c r="F239" s="146"/>
      <c r="G239" s="147" t="str">
        <f t="shared" si="16"/>
        <v/>
      </c>
      <c r="H239" s="147"/>
      <c r="I239" s="148" t="str">
        <f t="shared" si="17"/>
        <v/>
      </c>
      <c r="J239" s="146" t="str">
        <f t="shared" si="18"/>
        <v/>
      </c>
      <c r="K239" s="39"/>
    </row>
    <row r="240">
      <c r="A240" s="39"/>
      <c r="B240" s="145"/>
      <c r="C240" s="39"/>
      <c r="D240" s="39"/>
      <c r="E240" s="39"/>
      <c r="F240" s="146"/>
      <c r="G240" s="147" t="str">
        <f t="shared" si="16"/>
        <v/>
      </c>
      <c r="H240" s="147"/>
      <c r="I240" s="148" t="str">
        <f t="shared" si="17"/>
        <v/>
      </c>
      <c r="J240" s="146" t="str">
        <f t="shared" si="18"/>
        <v/>
      </c>
      <c r="K240" s="39"/>
    </row>
    <row r="241">
      <c r="A241" s="39"/>
      <c r="B241" s="145"/>
      <c r="C241" s="39"/>
      <c r="D241" s="39"/>
      <c r="E241" s="39"/>
      <c r="F241" s="146"/>
      <c r="G241" s="147" t="str">
        <f t="shared" si="16"/>
        <v/>
      </c>
      <c r="H241" s="147"/>
      <c r="I241" s="148" t="str">
        <f t="shared" si="17"/>
        <v/>
      </c>
      <c r="J241" s="146" t="str">
        <f t="shared" si="18"/>
        <v/>
      </c>
      <c r="K241" s="39"/>
    </row>
    <row r="242">
      <c r="A242" s="39"/>
      <c r="B242" s="145"/>
      <c r="C242" s="39"/>
      <c r="D242" s="39"/>
      <c r="E242" s="39"/>
      <c r="F242" s="146"/>
      <c r="G242" s="147" t="str">
        <f t="shared" si="16"/>
        <v/>
      </c>
      <c r="H242" s="147"/>
      <c r="I242" s="148" t="str">
        <f t="shared" si="17"/>
        <v/>
      </c>
      <c r="J242" s="146" t="str">
        <f t="shared" si="18"/>
        <v/>
      </c>
      <c r="K242" s="39"/>
    </row>
    <row r="243">
      <c r="A243" s="39"/>
      <c r="B243" s="145"/>
      <c r="C243" s="39"/>
      <c r="D243" s="39"/>
      <c r="E243" s="39"/>
      <c r="F243" s="146"/>
      <c r="G243" s="147" t="str">
        <f t="shared" si="16"/>
        <v/>
      </c>
      <c r="H243" s="147"/>
      <c r="I243" s="148" t="str">
        <f t="shared" si="17"/>
        <v/>
      </c>
      <c r="J243" s="146" t="str">
        <f t="shared" si="18"/>
        <v/>
      </c>
      <c r="K243" s="39"/>
    </row>
    <row r="244">
      <c r="A244" s="39"/>
      <c r="B244" s="145"/>
      <c r="C244" s="39"/>
      <c r="D244" s="39"/>
      <c r="E244" s="39"/>
      <c r="F244" s="146"/>
      <c r="G244" s="147" t="str">
        <f t="shared" si="16"/>
        <v/>
      </c>
      <c r="H244" s="147"/>
      <c r="I244" s="148" t="str">
        <f t="shared" si="17"/>
        <v/>
      </c>
      <c r="J244" s="146" t="str">
        <f t="shared" si="18"/>
        <v/>
      </c>
      <c r="K244" s="39"/>
    </row>
    <row r="245">
      <c r="A245" s="39"/>
      <c r="B245" s="145"/>
      <c r="C245" s="39"/>
      <c r="D245" s="39"/>
      <c r="E245" s="39"/>
      <c r="F245" s="146"/>
      <c r="G245" s="147" t="str">
        <f t="shared" si="16"/>
        <v/>
      </c>
      <c r="H245" s="147"/>
      <c r="I245" s="148" t="str">
        <f t="shared" si="17"/>
        <v/>
      </c>
      <c r="J245" s="146" t="str">
        <f t="shared" si="18"/>
        <v/>
      </c>
      <c r="K245" s="39"/>
    </row>
    <row r="246">
      <c r="A246" s="39"/>
      <c r="B246" s="145"/>
      <c r="C246" s="39"/>
      <c r="D246" s="39"/>
      <c r="E246" s="39"/>
      <c r="F246" s="146"/>
      <c r="G246" s="147" t="str">
        <f t="shared" si="16"/>
        <v/>
      </c>
      <c r="H246" s="147"/>
      <c r="I246" s="148" t="str">
        <f t="shared" si="17"/>
        <v/>
      </c>
      <c r="J246" s="146" t="str">
        <f t="shared" si="18"/>
        <v/>
      </c>
      <c r="K246" s="39"/>
    </row>
    <row r="247">
      <c r="A247" s="39"/>
      <c r="B247" s="145"/>
      <c r="C247" s="39"/>
      <c r="D247" s="39"/>
      <c r="E247" s="39"/>
      <c r="F247" s="146"/>
      <c r="G247" s="147" t="str">
        <f t="shared" si="16"/>
        <v/>
      </c>
      <c r="H247" s="147"/>
      <c r="I247" s="148" t="str">
        <f t="shared" si="17"/>
        <v/>
      </c>
      <c r="J247" s="146" t="str">
        <f t="shared" si="18"/>
        <v/>
      </c>
      <c r="K247" s="39"/>
    </row>
    <row r="248">
      <c r="A248" s="39"/>
      <c r="B248" s="145"/>
      <c r="C248" s="39"/>
      <c r="D248" s="39"/>
      <c r="E248" s="39"/>
      <c r="F248" s="146"/>
      <c r="G248" s="147" t="str">
        <f t="shared" si="16"/>
        <v/>
      </c>
      <c r="H248" s="147"/>
      <c r="I248" s="148" t="str">
        <f t="shared" si="17"/>
        <v/>
      </c>
      <c r="J248" s="146" t="str">
        <f t="shared" si="18"/>
        <v/>
      </c>
      <c r="K248" s="39"/>
    </row>
    <row r="249">
      <c r="A249" s="39"/>
      <c r="B249" s="145"/>
      <c r="C249" s="39"/>
      <c r="D249" s="39"/>
      <c r="E249" s="39"/>
      <c r="F249" s="146"/>
      <c r="G249" s="147" t="str">
        <f t="shared" si="16"/>
        <v/>
      </c>
      <c r="H249" s="147"/>
      <c r="I249" s="148" t="str">
        <f t="shared" si="17"/>
        <v/>
      </c>
      <c r="J249" s="146" t="str">
        <f t="shared" si="18"/>
        <v/>
      </c>
      <c r="K249" s="39"/>
    </row>
    <row r="250">
      <c r="A250" s="39"/>
      <c r="B250" s="145"/>
      <c r="C250" s="39"/>
      <c r="D250" s="39"/>
      <c r="E250" s="39"/>
      <c r="F250" s="146"/>
      <c r="G250" s="147" t="str">
        <f t="shared" si="16"/>
        <v/>
      </c>
      <c r="H250" s="147"/>
      <c r="I250" s="148" t="str">
        <f t="shared" si="17"/>
        <v/>
      </c>
      <c r="J250" s="146" t="str">
        <f t="shared" si="18"/>
        <v/>
      </c>
      <c r="K250" s="39"/>
    </row>
    <row r="251">
      <c r="A251" s="39"/>
      <c r="B251" s="145"/>
      <c r="C251" s="39"/>
      <c r="D251" s="39"/>
      <c r="E251" s="39"/>
      <c r="F251" s="146"/>
      <c r="G251" s="147" t="str">
        <f t="shared" si="16"/>
        <v/>
      </c>
      <c r="H251" s="147"/>
      <c r="I251" s="148" t="str">
        <f t="shared" si="17"/>
        <v/>
      </c>
      <c r="J251" s="146" t="str">
        <f t="shared" si="18"/>
        <v/>
      </c>
      <c r="K251" s="39"/>
    </row>
    <row r="252">
      <c r="A252" s="39"/>
      <c r="B252" s="145"/>
      <c r="C252" s="39"/>
      <c r="D252" s="39"/>
      <c r="E252" s="39"/>
      <c r="F252" s="146"/>
      <c r="G252" s="147" t="str">
        <f t="shared" si="16"/>
        <v/>
      </c>
      <c r="H252" s="147"/>
      <c r="I252" s="148" t="str">
        <f t="shared" si="17"/>
        <v/>
      </c>
      <c r="J252" s="146" t="str">
        <f t="shared" si="18"/>
        <v/>
      </c>
      <c r="K252" s="39"/>
    </row>
    <row r="253">
      <c r="A253" s="39"/>
      <c r="B253" s="145"/>
      <c r="C253" s="39"/>
      <c r="D253" s="39"/>
      <c r="E253" s="39"/>
      <c r="F253" s="146"/>
      <c r="G253" s="147" t="str">
        <f t="shared" si="16"/>
        <v/>
      </c>
      <c r="H253" s="147"/>
      <c r="I253" s="148" t="str">
        <f t="shared" si="17"/>
        <v/>
      </c>
      <c r="J253" s="146" t="str">
        <f t="shared" si="18"/>
        <v/>
      </c>
      <c r="K253" s="39"/>
    </row>
    <row r="254">
      <c r="A254" s="39"/>
      <c r="B254" s="145"/>
      <c r="C254" s="39"/>
      <c r="D254" s="39"/>
      <c r="E254" s="39"/>
      <c r="F254" s="146"/>
      <c r="G254" s="147" t="str">
        <f t="shared" si="16"/>
        <v/>
      </c>
      <c r="H254" s="147"/>
      <c r="I254" s="148" t="str">
        <f t="shared" si="17"/>
        <v/>
      </c>
      <c r="J254" s="146" t="str">
        <f t="shared" si="18"/>
        <v/>
      </c>
      <c r="K254" s="39"/>
    </row>
    <row r="255">
      <c r="A255" s="39"/>
      <c r="B255" s="145"/>
      <c r="C255" s="39"/>
      <c r="D255" s="39"/>
      <c r="E255" s="39"/>
      <c r="F255" s="146"/>
      <c r="G255" s="147" t="str">
        <f t="shared" si="16"/>
        <v/>
      </c>
      <c r="H255" s="147"/>
      <c r="I255" s="148" t="str">
        <f t="shared" si="17"/>
        <v/>
      </c>
      <c r="J255" s="146" t="str">
        <f t="shared" si="18"/>
        <v/>
      </c>
      <c r="K255" s="39"/>
    </row>
    <row r="256">
      <c r="A256" s="39"/>
      <c r="B256" s="145"/>
      <c r="C256" s="39"/>
      <c r="D256" s="39"/>
      <c r="E256" s="39"/>
      <c r="F256" s="146"/>
      <c r="G256" s="147" t="str">
        <f t="shared" si="16"/>
        <v/>
      </c>
      <c r="H256" s="147"/>
      <c r="I256" s="148" t="str">
        <f t="shared" si="17"/>
        <v/>
      </c>
      <c r="J256" s="146" t="str">
        <f t="shared" si="18"/>
        <v/>
      </c>
      <c r="K256" s="39"/>
    </row>
    <row r="257">
      <c r="A257" s="39"/>
      <c r="B257" s="145"/>
      <c r="C257" s="39"/>
      <c r="D257" s="39"/>
      <c r="E257" s="39"/>
      <c r="F257" s="146"/>
      <c r="G257" s="147" t="str">
        <f t="shared" si="16"/>
        <v/>
      </c>
      <c r="H257" s="147"/>
      <c r="I257" s="148" t="str">
        <f t="shared" si="17"/>
        <v/>
      </c>
      <c r="J257" s="146" t="str">
        <f t="shared" si="18"/>
        <v/>
      </c>
      <c r="K257" s="39"/>
    </row>
    <row r="258">
      <c r="A258" s="39"/>
      <c r="B258" s="145"/>
      <c r="C258" s="39"/>
      <c r="D258" s="39"/>
      <c r="E258" s="39"/>
      <c r="F258" s="146"/>
      <c r="G258" s="147" t="str">
        <f t="shared" si="16"/>
        <v/>
      </c>
      <c r="H258" s="147"/>
      <c r="I258" s="148" t="str">
        <f t="shared" si="17"/>
        <v/>
      </c>
      <c r="J258" s="146" t="str">
        <f t="shared" si="18"/>
        <v/>
      </c>
      <c r="K258" s="39"/>
    </row>
    <row r="259">
      <c r="A259" s="39"/>
      <c r="B259" s="145"/>
      <c r="C259" s="39"/>
      <c r="D259" s="39"/>
      <c r="E259" s="39"/>
      <c r="F259" s="146"/>
      <c r="G259" s="147" t="str">
        <f t="shared" si="16"/>
        <v/>
      </c>
      <c r="H259" s="147"/>
      <c r="I259" s="148" t="str">
        <f t="shared" si="17"/>
        <v/>
      </c>
      <c r="J259" s="146" t="str">
        <f t="shared" si="18"/>
        <v/>
      </c>
      <c r="K259" s="39"/>
    </row>
    <row r="260">
      <c r="A260" s="39"/>
      <c r="B260" s="145"/>
      <c r="C260" s="39"/>
      <c r="D260" s="39"/>
      <c r="E260" s="39"/>
      <c r="F260" s="146"/>
      <c r="G260" s="147" t="str">
        <f t="shared" si="16"/>
        <v/>
      </c>
      <c r="H260" s="147"/>
      <c r="I260" s="148" t="str">
        <f t="shared" si="17"/>
        <v/>
      </c>
      <c r="J260" s="146" t="str">
        <f t="shared" si="18"/>
        <v/>
      </c>
      <c r="K260" s="39"/>
    </row>
    <row r="261">
      <c r="A261" s="39"/>
      <c r="B261" s="145"/>
      <c r="C261" s="39"/>
      <c r="D261" s="39"/>
      <c r="E261" s="39"/>
      <c r="F261" s="146"/>
      <c r="G261" s="147" t="str">
        <f t="shared" si="16"/>
        <v/>
      </c>
      <c r="H261" s="147"/>
      <c r="I261" s="148" t="str">
        <f t="shared" si="17"/>
        <v/>
      </c>
      <c r="J261" s="146" t="str">
        <f t="shared" si="18"/>
        <v/>
      </c>
      <c r="K261" s="39"/>
    </row>
    <row r="262">
      <c r="A262" s="39"/>
      <c r="B262" s="145"/>
      <c r="C262" s="39"/>
      <c r="D262" s="39"/>
      <c r="E262" s="39"/>
      <c r="F262" s="146"/>
      <c r="G262" s="147" t="str">
        <f t="shared" si="16"/>
        <v/>
      </c>
      <c r="H262" s="147"/>
      <c r="I262" s="148" t="str">
        <f t="shared" si="17"/>
        <v/>
      </c>
      <c r="J262" s="146" t="str">
        <f t="shared" si="18"/>
        <v/>
      </c>
      <c r="K262" s="39"/>
    </row>
    <row r="263">
      <c r="A263" s="39"/>
      <c r="B263" s="145"/>
      <c r="C263" s="39"/>
      <c r="D263" s="39"/>
      <c r="E263" s="39"/>
      <c r="F263" s="146"/>
      <c r="G263" s="147" t="str">
        <f t="shared" si="16"/>
        <v/>
      </c>
      <c r="H263" s="147"/>
      <c r="I263" s="148" t="str">
        <f t="shared" si="17"/>
        <v/>
      </c>
      <c r="J263" s="146" t="str">
        <f t="shared" si="18"/>
        <v/>
      </c>
      <c r="K263" s="39"/>
    </row>
    <row r="264">
      <c r="A264" s="39"/>
      <c r="B264" s="145"/>
      <c r="C264" s="39"/>
      <c r="D264" s="39"/>
      <c r="E264" s="39"/>
      <c r="F264" s="146"/>
      <c r="G264" s="147" t="str">
        <f t="shared" si="16"/>
        <v/>
      </c>
      <c r="H264" s="147"/>
      <c r="I264" s="148" t="str">
        <f t="shared" si="17"/>
        <v/>
      </c>
      <c r="J264" s="146" t="str">
        <f t="shared" si="18"/>
        <v/>
      </c>
      <c r="K264" s="39"/>
    </row>
    <row r="265">
      <c r="A265" s="39"/>
      <c r="B265" s="145"/>
      <c r="C265" s="39"/>
      <c r="D265" s="39"/>
      <c r="E265" s="39"/>
      <c r="F265" s="146"/>
      <c r="G265" s="147" t="str">
        <f t="shared" si="16"/>
        <v/>
      </c>
      <c r="H265" s="147"/>
      <c r="I265" s="148" t="str">
        <f t="shared" si="17"/>
        <v/>
      </c>
      <c r="J265" s="146" t="str">
        <f t="shared" si="18"/>
        <v/>
      </c>
      <c r="K265" s="39"/>
    </row>
    <row r="266">
      <c r="A266" s="39"/>
      <c r="B266" s="145"/>
      <c r="C266" s="39"/>
      <c r="D266" s="39"/>
      <c r="E266" s="39"/>
      <c r="F266" s="146"/>
      <c r="G266" s="147" t="str">
        <f t="shared" si="16"/>
        <v/>
      </c>
      <c r="H266" s="147"/>
      <c r="I266" s="148" t="str">
        <f t="shared" si="17"/>
        <v/>
      </c>
      <c r="J266" s="146" t="str">
        <f t="shared" si="18"/>
        <v/>
      </c>
      <c r="K266" s="39"/>
    </row>
    <row r="267">
      <c r="A267" s="39"/>
      <c r="B267" s="145"/>
      <c r="C267" s="39"/>
      <c r="D267" s="39"/>
      <c r="E267" s="39"/>
      <c r="F267" s="146"/>
      <c r="G267" s="147" t="str">
        <f t="shared" si="16"/>
        <v/>
      </c>
      <c r="H267" s="147"/>
      <c r="I267" s="148" t="str">
        <f t="shared" si="17"/>
        <v/>
      </c>
      <c r="J267" s="146" t="str">
        <f t="shared" si="18"/>
        <v/>
      </c>
      <c r="K267" s="39"/>
    </row>
    <row r="268">
      <c r="A268" s="39"/>
      <c r="B268" s="145"/>
      <c r="C268" s="39"/>
      <c r="D268" s="39"/>
      <c r="E268" s="39"/>
      <c r="F268" s="146"/>
      <c r="G268" s="147" t="str">
        <f t="shared" si="16"/>
        <v/>
      </c>
      <c r="H268" s="147"/>
      <c r="I268" s="148" t="str">
        <f t="shared" si="17"/>
        <v/>
      </c>
      <c r="J268" s="146" t="str">
        <f t="shared" si="18"/>
        <v/>
      </c>
      <c r="K268" s="39"/>
    </row>
    <row r="269">
      <c r="A269" s="39"/>
      <c r="B269" s="145"/>
      <c r="C269" s="39"/>
      <c r="D269" s="39"/>
      <c r="E269" s="39"/>
      <c r="F269" s="146"/>
      <c r="G269" s="147" t="str">
        <f t="shared" si="16"/>
        <v/>
      </c>
      <c r="H269" s="147"/>
      <c r="I269" s="148" t="str">
        <f t="shared" si="17"/>
        <v/>
      </c>
      <c r="J269" s="146" t="str">
        <f t="shared" si="18"/>
        <v/>
      </c>
      <c r="K269" s="39"/>
    </row>
    <row r="270">
      <c r="A270" s="39"/>
      <c r="B270" s="145"/>
      <c r="C270" s="39"/>
      <c r="D270" s="39"/>
      <c r="E270" s="39"/>
      <c r="F270" s="146"/>
      <c r="G270" s="147" t="str">
        <f t="shared" si="16"/>
        <v/>
      </c>
      <c r="H270" s="147"/>
      <c r="I270" s="148" t="str">
        <f t="shared" si="17"/>
        <v/>
      </c>
      <c r="J270" s="146" t="str">
        <f t="shared" si="18"/>
        <v/>
      </c>
      <c r="K270" s="39"/>
    </row>
    <row r="271">
      <c r="A271" s="39"/>
      <c r="B271" s="145"/>
      <c r="C271" s="39"/>
      <c r="D271" s="39"/>
      <c r="E271" s="39"/>
      <c r="F271" s="146"/>
      <c r="G271" s="147" t="str">
        <f t="shared" si="16"/>
        <v/>
      </c>
      <c r="H271" s="147"/>
      <c r="I271" s="148" t="str">
        <f t="shared" si="17"/>
        <v/>
      </c>
      <c r="J271" s="146" t="str">
        <f t="shared" si="18"/>
        <v/>
      </c>
      <c r="K271" s="39"/>
    </row>
    <row r="272">
      <c r="A272" s="39"/>
      <c r="B272" s="145"/>
      <c r="C272" s="39"/>
      <c r="D272" s="39"/>
      <c r="E272" s="39"/>
      <c r="F272" s="146"/>
      <c r="G272" s="147" t="str">
        <f t="shared" si="16"/>
        <v/>
      </c>
      <c r="H272" s="147"/>
      <c r="I272" s="148" t="str">
        <f t="shared" si="17"/>
        <v/>
      </c>
      <c r="J272" s="146" t="str">
        <f t="shared" si="18"/>
        <v/>
      </c>
      <c r="K272" s="39"/>
    </row>
    <row r="273">
      <c r="A273" s="39"/>
      <c r="B273" s="145"/>
      <c r="C273" s="39"/>
      <c r="D273" s="39"/>
      <c r="E273" s="39"/>
      <c r="F273" s="146"/>
      <c r="G273" s="147" t="str">
        <f t="shared" si="16"/>
        <v/>
      </c>
      <c r="H273" s="147"/>
      <c r="I273" s="148" t="str">
        <f t="shared" si="17"/>
        <v/>
      </c>
      <c r="J273" s="146" t="str">
        <f t="shared" si="18"/>
        <v/>
      </c>
      <c r="K273" s="39"/>
    </row>
    <row r="274">
      <c r="A274" s="39"/>
      <c r="B274" s="145"/>
      <c r="C274" s="39"/>
      <c r="D274" s="39"/>
      <c r="E274" s="39"/>
      <c r="F274" s="146"/>
      <c r="G274" s="147" t="str">
        <f t="shared" si="16"/>
        <v/>
      </c>
      <c r="H274" s="147"/>
      <c r="I274" s="148" t="str">
        <f t="shared" si="17"/>
        <v/>
      </c>
      <c r="J274" s="146" t="str">
        <f t="shared" si="18"/>
        <v/>
      </c>
      <c r="K274" s="39"/>
    </row>
    <row r="275">
      <c r="A275" s="39"/>
      <c r="B275" s="145"/>
      <c r="C275" s="39"/>
      <c r="D275" s="39"/>
      <c r="E275" s="39"/>
      <c r="F275" s="146"/>
      <c r="G275" s="147" t="str">
        <f t="shared" si="16"/>
        <v/>
      </c>
      <c r="H275" s="147"/>
      <c r="I275" s="148" t="str">
        <f t="shared" si="17"/>
        <v/>
      </c>
      <c r="J275" s="146" t="str">
        <f t="shared" si="18"/>
        <v/>
      </c>
      <c r="K275" s="39"/>
    </row>
    <row r="276">
      <c r="A276" s="39"/>
      <c r="B276" s="145"/>
      <c r="C276" s="39"/>
      <c r="D276" s="39"/>
      <c r="E276" s="39"/>
      <c r="F276" s="146"/>
      <c r="G276" s="147" t="str">
        <f t="shared" si="16"/>
        <v/>
      </c>
      <c r="H276" s="147"/>
      <c r="I276" s="148" t="str">
        <f t="shared" si="17"/>
        <v/>
      </c>
      <c r="J276" s="146" t="str">
        <f t="shared" si="18"/>
        <v/>
      </c>
      <c r="K276" s="39"/>
    </row>
    <row r="277">
      <c r="A277" s="39"/>
      <c r="B277" s="145"/>
      <c r="C277" s="39"/>
      <c r="D277" s="39"/>
      <c r="E277" s="39"/>
      <c r="F277" s="146"/>
      <c r="G277" s="147" t="str">
        <f t="shared" si="16"/>
        <v/>
      </c>
      <c r="H277" s="147"/>
      <c r="I277" s="148" t="str">
        <f t="shared" si="17"/>
        <v/>
      </c>
      <c r="J277" s="146" t="str">
        <f t="shared" si="18"/>
        <v/>
      </c>
      <c r="K277" s="39"/>
    </row>
    <row r="278">
      <c r="A278" s="39"/>
      <c r="B278" s="145"/>
      <c r="C278" s="39"/>
      <c r="D278" s="39"/>
      <c r="E278" s="39"/>
      <c r="F278" s="146"/>
      <c r="G278" s="147" t="str">
        <f t="shared" si="16"/>
        <v/>
      </c>
      <c r="H278" s="147"/>
      <c r="I278" s="148" t="str">
        <f t="shared" si="17"/>
        <v/>
      </c>
      <c r="J278" s="146" t="str">
        <f t="shared" si="18"/>
        <v/>
      </c>
      <c r="K278" s="39"/>
    </row>
    <row r="279">
      <c r="A279" s="39"/>
      <c r="B279" s="145"/>
      <c r="C279" s="39"/>
      <c r="D279" s="39"/>
      <c r="E279" s="39"/>
      <c r="F279" s="146"/>
      <c r="G279" s="147" t="str">
        <f t="shared" si="16"/>
        <v/>
      </c>
      <c r="H279" s="147"/>
      <c r="I279" s="148" t="str">
        <f t="shared" si="17"/>
        <v/>
      </c>
      <c r="J279" s="146" t="str">
        <f t="shared" si="18"/>
        <v/>
      </c>
      <c r="K279" s="39"/>
    </row>
    <row r="280">
      <c r="A280" s="39"/>
      <c r="B280" s="145"/>
      <c r="C280" s="39"/>
      <c r="D280" s="39"/>
      <c r="E280" s="39"/>
      <c r="F280" s="146"/>
      <c r="G280" s="147" t="str">
        <f t="shared" si="16"/>
        <v/>
      </c>
      <c r="H280" s="147"/>
      <c r="I280" s="148" t="str">
        <f t="shared" si="17"/>
        <v/>
      </c>
      <c r="J280" s="146" t="str">
        <f t="shared" si="18"/>
        <v/>
      </c>
      <c r="K280" s="39"/>
    </row>
    <row r="281">
      <c r="A281" s="39"/>
      <c r="B281" s="145"/>
      <c r="C281" s="39"/>
      <c r="D281" s="39"/>
      <c r="E281" s="39"/>
      <c r="F281" s="146"/>
      <c r="G281" s="147" t="str">
        <f t="shared" si="16"/>
        <v/>
      </c>
      <c r="H281" s="147"/>
      <c r="I281" s="148" t="str">
        <f t="shared" si="17"/>
        <v/>
      </c>
      <c r="J281" s="146" t="str">
        <f t="shared" si="18"/>
        <v/>
      </c>
      <c r="K281" s="39"/>
    </row>
    <row r="282">
      <c r="A282" s="39"/>
      <c r="B282" s="145"/>
      <c r="C282" s="39"/>
      <c r="D282" s="39"/>
      <c r="E282" s="39"/>
      <c r="F282" s="146"/>
      <c r="G282" s="147" t="str">
        <f t="shared" si="16"/>
        <v/>
      </c>
      <c r="H282" s="147"/>
      <c r="I282" s="148" t="str">
        <f t="shared" si="17"/>
        <v/>
      </c>
      <c r="J282" s="146" t="str">
        <f t="shared" si="18"/>
        <v/>
      </c>
      <c r="K282" s="39"/>
    </row>
    <row r="283">
      <c r="A283" s="39"/>
      <c r="B283" s="145"/>
      <c r="C283" s="39"/>
      <c r="D283" s="39"/>
      <c r="E283" s="39"/>
      <c r="F283" s="146"/>
      <c r="G283" s="147" t="str">
        <f t="shared" si="16"/>
        <v/>
      </c>
      <c r="H283" s="147"/>
      <c r="I283" s="148" t="str">
        <f t="shared" si="17"/>
        <v/>
      </c>
      <c r="J283" s="146" t="str">
        <f t="shared" si="18"/>
        <v/>
      </c>
      <c r="K283" s="39"/>
    </row>
    <row r="284">
      <c r="A284" s="39"/>
      <c r="B284" s="145"/>
      <c r="C284" s="39"/>
      <c r="D284" s="39"/>
      <c r="E284" s="39"/>
      <c r="F284" s="146"/>
      <c r="G284" s="147" t="str">
        <f t="shared" si="16"/>
        <v/>
      </c>
      <c r="H284" s="147"/>
      <c r="I284" s="148" t="str">
        <f t="shared" si="17"/>
        <v/>
      </c>
      <c r="J284" s="146" t="str">
        <f t="shared" si="18"/>
        <v/>
      </c>
      <c r="K284" s="39"/>
    </row>
    <row r="285">
      <c r="A285" s="39"/>
      <c r="B285" s="145"/>
      <c r="C285" s="39"/>
      <c r="D285" s="39"/>
      <c r="E285" s="39"/>
      <c r="F285" s="146"/>
      <c r="G285" s="147" t="str">
        <f t="shared" si="16"/>
        <v/>
      </c>
      <c r="H285" s="147"/>
      <c r="I285" s="148" t="str">
        <f t="shared" si="17"/>
        <v/>
      </c>
      <c r="J285" s="146" t="str">
        <f t="shared" si="18"/>
        <v/>
      </c>
      <c r="K285" s="39"/>
    </row>
    <row r="286">
      <c r="A286" s="39"/>
      <c r="B286" s="145"/>
      <c r="C286" s="39"/>
      <c r="D286" s="39"/>
      <c r="E286" s="39"/>
      <c r="F286" s="146"/>
      <c r="G286" s="147" t="str">
        <f t="shared" si="16"/>
        <v/>
      </c>
      <c r="H286" s="147"/>
      <c r="I286" s="148" t="str">
        <f t="shared" si="17"/>
        <v/>
      </c>
      <c r="J286" s="146" t="str">
        <f t="shared" si="18"/>
        <v/>
      </c>
      <c r="K286" s="39"/>
    </row>
    <row r="287">
      <c r="A287" s="39"/>
      <c r="B287" s="145"/>
      <c r="C287" s="39"/>
      <c r="D287" s="39"/>
      <c r="E287" s="39"/>
      <c r="F287" s="146"/>
      <c r="G287" s="147" t="str">
        <f t="shared" si="16"/>
        <v/>
      </c>
      <c r="H287" s="147"/>
      <c r="I287" s="148" t="str">
        <f t="shared" si="17"/>
        <v/>
      </c>
      <c r="J287" s="146" t="str">
        <f t="shared" si="18"/>
        <v/>
      </c>
      <c r="K287" s="39"/>
    </row>
    <row r="288">
      <c r="A288" s="39"/>
      <c r="B288" s="145"/>
      <c r="C288" s="39"/>
      <c r="D288" s="39"/>
      <c r="E288" s="39"/>
      <c r="F288" s="146"/>
      <c r="G288" s="147" t="str">
        <f t="shared" si="16"/>
        <v/>
      </c>
      <c r="H288" s="147"/>
      <c r="I288" s="148" t="str">
        <f t="shared" si="17"/>
        <v/>
      </c>
      <c r="J288" s="146" t="str">
        <f t="shared" si="18"/>
        <v/>
      </c>
      <c r="K288" s="39"/>
    </row>
    <row r="289">
      <c r="A289" s="39"/>
      <c r="B289" s="145"/>
      <c r="C289" s="39"/>
      <c r="D289" s="39"/>
      <c r="E289" s="39"/>
      <c r="F289" s="146"/>
      <c r="G289" s="147" t="str">
        <f t="shared" si="16"/>
        <v/>
      </c>
      <c r="H289" s="147"/>
      <c r="I289" s="148" t="str">
        <f t="shared" si="17"/>
        <v/>
      </c>
      <c r="J289" s="146" t="str">
        <f t="shared" si="18"/>
        <v/>
      </c>
      <c r="K289" s="39"/>
    </row>
    <row r="290">
      <c r="A290" s="39"/>
      <c r="B290" s="145"/>
      <c r="C290" s="39"/>
      <c r="D290" s="39"/>
      <c r="E290" s="39"/>
      <c r="F290" s="146"/>
      <c r="G290" s="147" t="str">
        <f t="shared" si="16"/>
        <v/>
      </c>
      <c r="H290" s="147"/>
      <c r="I290" s="148" t="str">
        <f t="shared" si="17"/>
        <v/>
      </c>
      <c r="J290" s="146" t="str">
        <f t="shared" si="18"/>
        <v/>
      </c>
      <c r="K290" s="39"/>
    </row>
    <row r="291">
      <c r="A291" s="39"/>
      <c r="B291" s="145"/>
      <c r="C291" s="39"/>
      <c r="D291" s="39"/>
      <c r="E291" s="39"/>
      <c r="F291" s="146"/>
      <c r="G291" s="147" t="str">
        <f t="shared" si="16"/>
        <v/>
      </c>
      <c r="H291" s="147"/>
      <c r="I291" s="148" t="str">
        <f t="shared" si="17"/>
        <v/>
      </c>
      <c r="J291" s="146" t="str">
        <f t="shared" si="18"/>
        <v/>
      </c>
      <c r="K291" s="39"/>
    </row>
    <row r="292">
      <c r="A292" s="39"/>
      <c r="B292" s="145"/>
      <c r="C292" s="39"/>
      <c r="D292" s="39"/>
      <c r="E292" s="39"/>
      <c r="F292" s="146"/>
      <c r="G292" s="147" t="str">
        <f t="shared" si="16"/>
        <v/>
      </c>
      <c r="H292" s="147"/>
      <c r="I292" s="148" t="str">
        <f t="shared" si="17"/>
        <v/>
      </c>
      <c r="J292" s="146" t="str">
        <f t="shared" si="18"/>
        <v/>
      </c>
      <c r="K292" s="39"/>
    </row>
    <row r="293">
      <c r="A293" s="39"/>
      <c r="B293" s="145"/>
      <c r="C293" s="39"/>
      <c r="D293" s="39"/>
      <c r="E293" s="39"/>
      <c r="F293" s="146"/>
      <c r="G293" s="147" t="str">
        <f t="shared" si="16"/>
        <v/>
      </c>
      <c r="H293" s="147"/>
      <c r="I293" s="148" t="str">
        <f t="shared" si="17"/>
        <v/>
      </c>
      <c r="J293" s="146" t="str">
        <f t="shared" si="18"/>
        <v/>
      </c>
      <c r="K293" s="39"/>
    </row>
    <row r="294">
      <c r="A294" s="39"/>
      <c r="B294" s="145"/>
      <c r="C294" s="39"/>
      <c r="D294" s="39"/>
      <c r="E294" s="39"/>
      <c r="F294" s="146"/>
      <c r="G294" s="147" t="str">
        <f t="shared" si="16"/>
        <v/>
      </c>
      <c r="H294" s="147"/>
      <c r="I294" s="148" t="str">
        <f t="shared" si="17"/>
        <v/>
      </c>
      <c r="J294" s="146" t="str">
        <f t="shared" si="18"/>
        <v/>
      </c>
      <c r="K294" s="39"/>
    </row>
    <row r="295">
      <c r="A295" s="39"/>
      <c r="B295" s="145"/>
      <c r="C295" s="39"/>
      <c r="D295" s="39"/>
      <c r="E295" s="39"/>
      <c r="F295" s="146"/>
      <c r="G295" s="147" t="str">
        <f t="shared" si="16"/>
        <v/>
      </c>
      <c r="H295" s="147"/>
      <c r="I295" s="148" t="str">
        <f t="shared" si="17"/>
        <v/>
      </c>
      <c r="J295" s="146" t="str">
        <f t="shared" si="18"/>
        <v/>
      </c>
      <c r="K295" s="39"/>
    </row>
    <row r="296">
      <c r="A296" s="39"/>
      <c r="B296" s="145"/>
      <c r="C296" s="39"/>
      <c r="D296" s="39"/>
      <c r="E296" s="39"/>
      <c r="F296" s="146"/>
      <c r="G296" s="147" t="str">
        <f t="shared" si="16"/>
        <v/>
      </c>
      <c r="H296" s="147"/>
      <c r="I296" s="148" t="str">
        <f t="shared" si="17"/>
        <v/>
      </c>
      <c r="J296" s="146" t="str">
        <f t="shared" si="18"/>
        <v/>
      </c>
      <c r="K296" s="39"/>
    </row>
    <row r="297">
      <c r="A297" s="39"/>
      <c r="B297" s="145"/>
      <c r="C297" s="39"/>
      <c r="D297" s="39"/>
      <c r="E297" s="39"/>
      <c r="F297" s="146"/>
      <c r="G297" s="147" t="str">
        <f t="shared" si="16"/>
        <v/>
      </c>
      <c r="H297" s="147"/>
      <c r="I297" s="148" t="str">
        <f t="shared" si="17"/>
        <v/>
      </c>
      <c r="J297" s="39"/>
      <c r="K297" s="39"/>
    </row>
    <row r="298">
      <c r="A298" s="39"/>
      <c r="B298" s="145"/>
      <c r="C298" s="39"/>
      <c r="D298" s="39"/>
      <c r="E298" s="39"/>
      <c r="F298" s="146"/>
      <c r="G298" s="147" t="str">
        <f t="shared" si="16"/>
        <v/>
      </c>
      <c r="H298" s="147"/>
      <c r="I298" s="148" t="str">
        <f t="shared" si="17"/>
        <v/>
      </c>
      <c r="J298" s="39"/>
      <c r="K298" s="39"/>
    </row>
    <row r="299">
      <c r="A299" s="39"/>
      <c r="B299" s="145"/>
      <c r="C299" s="39"/>
      <c r="D299" s="39"/>
      <c r="E299" s="39"/>
      <c r="F299" s="146"/>
      <c r="G299" s="147" t="str">
        <f t="shared" si="16"/>
        <v/>
      </c>
      <c r="H299" s="147"/>
      <c r="I299" s="148" t="str">
        <f t="shared" si="17"/>
        <v/>
      </c>
      <c r="J299" s="39"/>
      <c r="K299" s="39"/>
    </row>
    <row r="300">
      <c r="A300" s="39"/>
      <c r="B300" s="145"/>
      <c r="C300" s="39"/>
      <c r="D300" s="39"/>
      <c r="E300" s="39"/>
      <c r="F300" s="146"/>
      <c r="G300" s="147" t="str">
        <f t="shared" si="16"/>
        <v/>
      </c>
      <c r="H300" s="147"/>
      <c r="I300" s="148" t="str">
        <f t="shared" si="17"/>
        <v/>
      </c>
      <c r="J300" s="39"/>
      <c r="K300" s="39"/>
    </row>
    <row r="301">
      <c r="A301" s="39"/>
      <c r="B301" s="145"/>
      <c r="C301" s="39"/>
      <c r="D301" s="39"/>
      <c r="E301" s="39"/>
      <c r="F301" s="146"/>
      <c r="G301" s="147" t="str">
        <f t="shared" si="16"/>
        <v/>
      </c>
      <c r="H301" s="147"/>
      <c r="I301" s="148" t="str">
        <f t="shared" si="17"/>
        <v/>
      </c>
      <c r="J301" s="39"/>
      <c r="K301" s="39"/>
    </row>
    <row r="302">
      <c r="A302" s="39"/>
      <c r="B302" s="145"/>
      <c r="C302" s="39"/>
      <c r="D302" s="39"/>
      <c r="E302" s="39"/>
      <c r="F302" s="146"/>
      <c r="G302" s="147" t="str">
        <f t="shared" si="16"/>
        <v/>
      </c>
      <c r="H302" s="147"/>
      <c r="I302" s="148" t="str">
        <f t="shared" si="17"/>
        <v/>
      </c>
      <c r="J302" s="39"/>
      <c r="K302" s="39"/>
    </row>
    <row r="303">
      <c r="A303" s="39"/>
      <c r="B303" s="145"/>
      <c r="C303" s="39"/>
      <c r="D303" s="39"/>
      <c r="E303" s="39"/>
      <c r="F303" s="146"/>
      <c r="G303" s="147" t="str">
        <f t="shared" si="16"/>
        <v/>
      </c>
      <c r="H303" s="147"/>
      <c r="I303" s="148" t="str">
        <f t="shared" si="17"/>
        <v/>
      </c>
      <c r="J303" s="39"/>
      <c r="K303" s="39"/>
    </row>
    <row r="304">
      <c r="A304" s="39"/>
      <c r="B304" s="145"/>
      <c r="C304" s="39"/>
      <c r="D304" s="39"/>
      <c r="E304" s="39"/>
      <c r="F304" s="146"/>
      <c r="G304" s="147" t="str">
        <f t="shared" si="16"/>
        <v/>
      </c>
      <c r="H304" s="147"/>
      <c r="I304" s="148" t="str">
        <f t="shared" si="17"/>
        <v/>
      </c>
      <c r="J304" s="39"/>
      <c r="K304" s="39"/>
    </row>
    <row r="305">
      <c r="A305" s="39"/>
      <c r="B305" s="145"/>
      <c r="C305" s="39"/>
      <c r="D305" s="39"/>
      <c r="E305" s="39"/>
      <c r="F305" s="146"/>
      <c r="G305" s="147" t="str">
        <f t="shared" si="16"/>
        <v/>
      </c>
      <c r="H305" s="147"/>
      <c r="I305" s="148" t="str">
        <f t="shared" si="17"/>
        <v/>
      </c>
      <c r="J305" s="39"/>
      <c r="K305" s="39"/>
    </row>
    <row r="306">
      <c r="A306" s="39"/>
      <c r="B306" s="145"/>
      <c r="C306" s="39"/>
      <c r="D306" s="39"/>
      <c r="E306" s="39"/>
      <c r="F306" s="146"/>
      <c r="G306" s="147" t="str">
        <f t="shared" si="16"/>
        <v/>
      </c>
      <c r="H306" s="147"/>
      <c r="I306" s="148" t="str">
        <f t="shared" si="17"/>
        <v/>
      </c>
      <c r="J306" s="39"/>
      <c r="K306" s="39"/>
    </row>
    <row r="307">
      <c r="A307" s="39"/>
      <c r="B307" s="145"/>
      <c r="C307" s="39"/>
      <c r="D307" s="39"/>
      <c r="E307" s="39"/>
      <c r="F307" s="146"/>
      <c r="G307" s="147" t="str">
        <f t="shared" si="16"/>
        <v/>
      </c>
      <c r="H307" s="147"/>
      <c r="I307" s="148" t="str">
        <f t="shared" si="17"/>
        <v/>
      </c>
      <c r="J307" s="39"/>
      <c r="K307" s="39"/>
    </row>
    <row r="308">
      <c r="A308" s="39"/>
      <c r="B308" s="145"/>
      <c r="C308" s="39"/>
      <c r="D308" s="39"/>
      <c r="E308" s="39"/>
      <c r="F308" s="146"/>
      <c r="G308" s="147" t="str">
        <f t="shared" si="16"/>
        <v/>
      </c>
      <c r="H308" s="147"/>
      <c r="I308" s="148" t="str">
        <f t="shared" si="17"/>
        <v/>
      </c>
      <c r="J308" s="39"/>
      <c r="K308" s="39"/>
    </row>
    <row r="309">
      <c r="A309" s="39"/>
      <c r="B309" s="145"/>
      <c r="C309" s="39"/>
      <c r="D309" s="39"/>
      <c r="E309" s="39"/>
      <c r="F309" s="146"/>
      <c r="G309" s="147" t="str">
        <f t="shared" si="16"/>
        <v/>
      </c>
      <c r="H309" s="147"/>
      <c r="I309" s="148" t="str">
        <f t="shared" si="17"/>
        <v/>
      </c>
      <c r="J309" s="39"/>
      <c r="K309" s="39"/>
    </row>
    <row r="310">
      <c r="A310" s="39"/>
      <c r="B310" s="145"/>
      <c r="C310" s="39"/>
      <c r="D310" s="39"/>
      <c r="E310" s="39"/>
      <c r="F310" s="146"/>
      <c r="G310" s="147" t="str">
        <f t="shared" si="16"/>
        <v/>
      </c>
      <c r="H310" s="147"/>
      <c r="I310" s="148" t="str">
        <f t="shared" si="17"/>
        <v/>
      </c>
      <c r="J310" s="39"/>
      <c r="K310" s="39"/>
    </row>
    <row r="311">
      <c r="A311" s="39"/>
      <c r="B311" s="145"/>
      <c r="C311" s="39"/>
      <c r="D311" s="39"/>
      <c r="E311" s="39"/>
      <c r="F311" s="146"/>
      <c r="G311" s="147" t="str">
        <f t="shared" si="16"/>
        <v/>
      </c>
      <c r="H311" s="147"/>
      <c r="I311" s="148" t="str">
        <f t="shared" si="17"/>
        <v/>
      </c>
      <c r="J311" s="39"/>
      <c r="K311" s="39"/>
    </row>
    <row r="312">
      <c r="A312" s="39"/>
      <c r="B312" s="145"/>
      <c r="C312" s="39"/>
      <c r="D312" s="39"/>
      <c r="E312" s="39"/>
      <c r="F312" s="146"/>
      <c r="G312" s="147" t="str">
        <f t="shared" si="16"/>
        <v/>
      </c>
      <c r="H312" s="147"/>
      <c r="I312" s="148" t="str">
        <f t="shared" si="17"/>
        <v/>
      </c>
      <c r="J312" s="39"/>
      <c r="K312" s="39"/>
    </row>
    <row r="313">
      <c r="A313" s="39"/>
      <c r="B313" s="145"/>
      <c r="C313" s="39"/>
      <c r="D313" s="39"/>
      <c r="E313" s="39"/>
      <c r="F313" s="146"/>
      <c r="G313" s="147" t="str">
        <f t="shared" si="16"/>
        <v/>
      </c>
      <c r="H313" s="147"/>
      <c r="I313" s="148" t="str">
        <f t="shared" si="17"/>
        <v/>
      </c>
      <c r="J313" s="39"/>
      <c r="K313" s="39"/>
    </row>
    <row r="314">
      <c r="A314" s="39"/>
      <c r="B314" s="145"/>
      <c r="C314" s="39"/>
      <c r="D314" s="39"/>
      <c r="E314" s="39"/>
      <c r="F314" s="146"/>
      <c r="G314" s="147" t="str">
        <f t="shared" si="16"/>
        <v/>
      </c>
      <c r="H314" s="147"/>
      <c r="I314" s="148" t="str">
        <f t="shared" si="17"/>
        <v/>
      </c>
      <c r="J314" s="39"/>
      <c r="K314" s="39"/>
    </row>
    <row r="315">
      <c r="A315" s="39"/>
      <c r="B315" s="145"/>
      <c r="C315" s="39"/>
      <c r="D315" s="39"/>
      <c r="E315" s="39"/>
      <c r="F315" s="146"/>
      <c r="G315" s="147" t="str">
        <f t="shared" si="16"/>
        <v/>
      </c>
      <c r="H315" s="147"/>
      <c r="I315" s="148" t="str">
        <f t="shared" si="17"/>
        <v/>
      </c>
      <c r="J315" s="39"/>
      <c r="K315" s="39"/>
    </row>
    <row r="316">
      <c r="A316" s="39"/>
      <c r="B316" s="145"/>
      <c r="C316" s="39"/>
      <c r="D316" s="39"/>
      <c r="E316" s="39"/>
      <c r="F316" s="146"/>
      <c r="G316" s="147" t="str">
        <f t="shared" si="16"/>
        <v/>
      </c>
      <c r="H316" s="147"/>
      <c r="I316" s="148" t="str">
        <f t="shared" si="17"/>
        <v/>
      </c>
      <c r="J316" s="39"/>
      <c r="K316" s="39"/>
    </row>
    <row r="317">
      <c r="A317" s="39"/>
      <c r="B317" s="145"/>
      <c r="C317" s="39"/>
      <c r="D317" s="39"/>
      <c r="E317" s="39"/>
      <c r="F317" s="146"/>
      <c r="G317" s="147" t="str">
        <f t="shared" si="16"/>
        <v/>
      </c>
      <c r="H317" s="147"/>
      <c r="I317" s="148" t="str">
        <f t="shared" si="17"/>
        <v/>
      </c>
      <c r="J317" s="39"/>
      <c r="K317" s="39"/>
    </row>
    <row r="318">
      <c r="A318" s="39"/>
      <c r="B318" s="145"/>
      <c r="C318" s="39"/>
      <c r="D318" s="39"/>
      <c r="E318" s="39"/>
      <c r="F318" s="146"/>
      <c r="G318" s="147" t="str">
        <f t="shared" si="16"/>
        <v/>
      </c>
      <c r="H318" s="147"/>
      <c r="I318" s="148" t="str">
        <f t="shared" si="17"/>
        <v/>
      </c>
      <c r="J318" s="39"/>
      <c r="K318" s="39"/>
    </row>
    <row r="319">
      <c r="A319" s="39"/>
      <c r="B319" s="145"/>
      <c r="C319" s="39"/>
      <c r="D319" s="39"/>
      <c r="E319" s="39"/>
      <c r="F319" s="146"/>
      <c r="G319" s="147" t="str">
        <f t="shared" si="16"/>
        <v/>
      </c>
      <c r="H319" s="147"/>
      <c r="I319" s="148" t="str">
        <f t="shared" si="17"/>
        <v/>
      </c>
      <c r="J319" s="39"/>
      <c r="K319" s="39"/>
    </row>
    <row r="320">
      <c r="A320" s="39"/>
      <c r="B320" s="145"/>
      <c r="C320" s="39"/>
      <c r="D320" s="39"/>
      <c r="E320" s="39"/>
      <c r="F320" s="146"/>
      <c r="G320" s="39"/>
      <c r="H320" s="39"/>
      <c r="I320" s="148" t="str">
        <f t="shared" si="17"/>
        <v/>
      </c>
      <c r="J320" s="39"/>
      <c r="K320" s="39"/>
    </row>
    <row r="321">
      <c r="A321" s="39"/>
      <c r="B321" s="145"/>
      <c r="C321" s="39"/>
      <c r="D321" s="39"/>
      <c r="E321" s="39"/>
      <c r="F321" s="146"/>
      <c r="G321" s="39"/>
      <c r="H321" s="39"/>
      <c r="I321" s="148" t="str">
        <f t="shared" si="17"/>
        <v/>
      </c>
      <c r="J321" s="39"/>
      <c r="K321" s="39"/>
    </row>
    <row r="322">
      <c r="A322" s="39"/>
      <c r="B322" s="145"/>
      <c r="C322" s="39"/>
      <c r="D322" s="39"/>
      <c r="E322" s="39"/>
      <c r="F322" s="146"/>
      <c r="G322" s="39"/>
      <c r="H322" s="39"/>
      <c r="I322" s="148" t="str">
        <f t="shared" si="17"/>
        <v/>
      </c>
      <c r="J322" s="39"/>
      <c r="K322" s="39"/>
    </row>
    <row r="323">
      <c r="A323" s="39"/>
      <c r="B323" s="145"/>
      <c r="C323" s="39"/>
      <c r="D323" s="39"/>
      <c r="E323" s="39"/>
      <c r="F323" s="146"/>
      <c r="G323" s="39"/>
      <c r="H323" s="39"/>
      <c r="I323" s="148" t="str">
        <f t="shared" si="17"/>
        <v/>
      </c>
      <c r="J323" s="39"/>
      <c r="K323" s="39"/>
    </row>
    <row r="324">
      <c r="A324" s="39"/>
      <c r="B324" s="145"/>
      <c r="C324" s="39"/>
      <c r="D324" s="39"/>
      <c r="E324" s="39"/>
      <c r="F324" s="146"/>
      <c r="G324" s="39"/>
      <c r="H324" s="39"/>
      <c r="I324" s="148" t="str">
        <f t="shared" si="17"/>
        <v/>
      </c>
      <c r="J324" s="39"/>
      <c r="K324" s="39"/>
    </row>
    <row r="325">
      <c r="A325" s="39"/>
      <c r="B325" s="145"/>
      <c r="C325" s="39"/>
      <c r="D325" s="39"/>
      <c r="E325" s="39"/>
      <c r="F325" s="146"/>
      <c r="G325" s="39"/>
      <c r="H325" s="39"/>
      <c r="I325" s="148" t="str">
        <f t="shared" si="17"/>
        <v/>
      </c>
      <c r="J325" s="39"/>
      <c r="K325" s="39"/>
    </row>
    <row r="326">
      <c r="A326" s="39"/>
      <c r="B326" s="145"/>
      <c r="C326" s="39"/>
      <c r="D326" s="39"/>
      <c r="E326" s="39"/>
      <c r="F326" s="146"/>
      <c r="G326" s="39"/>
      <c r="H326" s="39"/>
      <c r="I326" s="148" t="str">
        <f t="shared" si="17"/>
        <v/>
      </c>
      <c r="J326" s="39"/>
      <c r="K326" s="39"/>
    </row>
    <row r="327">
      <c r="A327" s="39"/>
      <c r="B327" s="145"/>
      <c r="C327" s="39"/>
      <c r="D327" s="39"/>
      <c r="E327" s="39"/>
      <c r="F327" s="146"/>
      <c r="G327" s="39"/>
      <c r="H327" s="39"/>
      <c r="I327" s="148" t="str">
        <f t="shared" si="17"/>
        <v/>
      </c>
      <c r="J327" s="39"/>
      <c r="K327" s="39"/>
    </row>
    <row r="328">
      <c r="A328" s="39"/>
      <c r="B328" s="145"/>
      <c r="C328" s="39"/>
      <c r="D328" s="39"/>
      <c r="E328" s="39"/>
      <c r="F328" s="146"/>
      <c r="G328" s="39"/>
      <c r="H328" s="39"/>
      <c r="I328" s="148" t="str">
        <f t="shared" si="17"/>
        <v/>
      </c>
      <c r="J328" s="39"/>
      <c r="K328" s="39"/>
    </row>
    <row r="329">
      <c r="A329" s="39"/>
      <c r="B329" s="145"/>
      <c r="C329" s="39"/>
      <c r="D329" s="39"/>
      <c r="E329" s="39"/>
      <c r="F329" s="146"/>
      <c r="G329" s="39"/>
      <c r="H329" s="39"/>
      <c r="I329" s="148" t="str">
        <f t="shared" si="17"/>
        <v/>
      </c>
      <c r="J329" s="39"/>
      <c r="K329" s="39"/>
    </row>
    <row r="330">
      <c r="A330" s="39"/>
      <c r="B330" s="145"/>
      <c r="C330" s="39"/>
      <c r="D330" s="39"/>
      <c r="E330" s="39"/>
      <c r="F330" s="146"/>
      <c r="G330" s="39"/>
      <c r="H330" s="39"/>
      <c r="I330" s="148" t="str">
        <f t="shared" si="17"/>
        <v/>
      </c>
      <c r="J330" s="39"/>
      <c r="K330" s="39"/>
    </row>
    <row r="331">
      <c r="A331" s="39"/>
      <c r="B331" s="145"/>
      <c r="C331" s="39"/>
      <c r="D331" s="39"/>
      <c r="E331" s="39"/>
      <c r="F331" s="146"/>
      <c r="G331" s="39"/>
      <c r="H331" s="39"/>
      <c r="I331" s="148" t="str">
        <f t="shared" si="17"/>
        <v/>
      </c>
      <c r="J331" s="39"/>
      <c r="K331" s="39"/>
    </row>
    <row r="332">
      <c r="A332" s="39"/>
      <c r="B332" s="145"/>
      <c r="C332" s="39"/>
      <c r="D332" s="39"/>
      <c r="E332" s="39"/>
      <c r="F332" s="146"/>
      <c r="G332" s="39"/>
      <c r="H332" s="39"/>
      <c r="I332" s="148" t="str">
        <f t="shared" si="17"/>
        <v/>
      </c>
      <c r="J332" s="39"/>
      <c r="K332" s="39"/>
    </row>
    <row r="333">
      <c r="A333" s="39"/>
      <c r="B333" s="145"/>
      <c r="C333" s="39"/>
      <c r="D333" s="39"/>
      <c r="E333" s="39"/>
      <c r="F333" s="146"/>
      <c r="G333" s="39"/>
      <c r="H333" s="39"/>
      <c r="I333" s="148" t="str">
        <f t="shared" si="17"/>
        <v/>
      </c>
      <c r="J333" s="39"/>
      <c r="K333" s="39"/>
    </row>
    <row r="334">
      <c r="A334" s="39"/>
      <c r="B334" s="145"/>
      <c r="C334" s="39"/>
      <c r="D334" s="39"/>
      <c r="E334" s="39"/>
      <c r="F334" s="146"/>
      <c r="G334" s="39"/>
      <c r="H334" s="39"/>
      <c r="I334" s="148" t="str">
        <f t="shared" si="17"/>
        <v/>
      </c>
      <c r="J334" s="39"/>
      <c r="K334" s="39"/>
    </row>
    <row r="335">
      <c r="A335" s="39"/>
      <c r="B335" s="145"/>
      <c r="C335" s="39"/>
      <c r="D335" s="39"/>
      <c r="E335" s="39"/>
      <c r="F335" s="146"/>
      <c r="G335" s="39"/>
      <c r="H335" s="39"/>
      <c r="I335" s="148" t="str">
        <f t="shared" si="17"/>
        <v/>
      </c>
      <c r="J335" s="39"/>
      <c r="K335" s="39"/>
    </row>
    <row r="336">
      <c r="A336" s="39"/>
      <c r="B336" s="145"/>
      <c r="C336" s="39"/>
      <c r="D336" s="39"/>
      <c r="E336" s="39"/>
      <c r="F336" s="146"/>
      <c r="G336" s="39"/>
      <c r="H336" s="39"/>
      <c r="I336" s="148" t="str">
        <f t="shared" si="17"/>
        <v/>
      </c>
      <c r="J336" s="39"/>
      <c r="K336" s="39"/>
    </row>
    <row r="337">
      <c r="A337" s="39"/>
      <c r="B337" s="145"/>
      <c r="C337" s="39"/>
      <c r="D337" s="39"/>
      <c r="E337" s="39"/>
      <c r="F337" s="146"/>
      <c r="G337" s="39"/>
      <c r="H337" s="39"/>
      <c r="I337" s="148" t="str">
        <f t="shared" si="17"/>
        <v/>
      </c>
      <c r="J337" s="39"/>
      <c r="K337" s="39"/>
    </row>
    <row r="338">
      <c r="A338" s="39"/>
      <c r="B338" s="145"/>
      <c r="C338" s="39"/>
      <c r="D338" s="39"/>
      <c r="E338" s="39"/>
      <c r="F338" s="146"/>
      <c r="G338" s="39"/>
      <c r="H338" s="39"/>
      <c r="I338" s="148" t="str">
        <f t="shared" si="17"/>
        <v/>
      </c>
      <c r="J338" s="39"/>
      <c r="K338" s="39"/>
    </row>
    <row r="339">
      <c r="A339" s="39"/>
      <c r="B339" s="145"/>
      <c r="C339" s="39"/>
      <c r="D339" s="39"/>
      <c r="E339" s="39"/>
      <c r="F339" s="146"/>
      <c r="G339" s="39"/>
      <c r="H339" s="39"/>
      <c r="I339" s="148" t="str">
        <f t="shared" si="17"/>
        <v/>
      </c>
      <c r="J339" s="39"/>
      <c r="K339" s="39"/>
    </row>
    <row r="340">
      <c r="A340" s="39"/>
      <c r="B340" s="145"/>
      <c r="C340" s="39"/>
      <c r="D340" s="39"/>
      <c r="E340" s="39"/>
      <c r="F340" s="146"/>
      <c r="G340" s="39"/>
      <c r="H340" s="39"/>
      <c r="I340" s="148" t="str">
        <f t="shared" si="17"/>
        <v/>
      </c>
      <c r="J340" s="39"/>
      <c r="K340" s="39"/>
    </row>
    <row r="341">
      <c r="A341" s="39"/>
      <c r="B341" s="145"/>
      <c r="C341" s="39"/>
      <c r="D341" s="39"/>
      <c r="E341" s="39"/>
      <c r="F341" s="146"/>
      <c r="G341" s="39"/>
      <c r="H341" s="39"/>
      <c r="I341" s="148" t="str">
        <f t="shared" si="17"/>
        <v/>
      </c>
      <c r="J341" s="39"/>
      <c r="K341" s="39"/>
    </row>
    <row r="342">
      <c r="A342" s="39"/>
      <c r="B342" s="145"/>
      <c r="C342" s="39"/>
      <c r="D342" s="39"/>
      <c r="E342" s="39"/>
      <c r="F342" s="146"/>
      <c r="G342" s="39"/>
      <c r="H342" s="39"/>
      <c r="I342" s="148" t="str">
        <f t="shared" si="17"/>
        <v/>
      </c>
      <c r="J342" s="39"/>
      <c r="K342" s="39"/>
    </row>
    <row r="343">
      <c r="A343" s="39"/>
      <c r="B343" s="145"/>
      <c r="C343" s="39"/>
      <c r="D343" s="39"/>
      <c r="E343" s="39"/>
      <c r="F343" s="146"/>
      <c r="G343" s="39"/>
      <c r="H343" s="39"/>
      <c r="I343" s="148" t="str">
        <f t="shared" si="17"/>
        <v/>
      </c>
      <c r="J343" s="39"/>
      <c r="K343" s="39"/>
    </row>
    <row r="344">
      <c r="A344" s="39"/>
      <c r="B344" s="145"/>
      <c r="C344" s="39"/>
      <c r="D344" s="39"/>
      <c r="E344" s="39"/>
      <c r="F344" s="146"/>
      <c r="G344" s="39"/>
      <c r="H344" s="39"/>
      <c r="I344" s="148" t="str">
        <f t="shared" si="17"/>
        <v/>
      </c>
      <c r="J344" s="39"/>
      <c r="K344" s="39"/>
    </row>
    <row r="345">
      <c r="A345" s="39"/>
      <c r="B345" s="145"/>
      <c r="C345" s="39"/>
      <c r="D345" s="39"/>
      <c r="E345" s="39"/>
      <c r="F345" s="146"/>
      <c r="G345" s="39"/>
      <c r="H345" s="39"/>
      <c r="I345" s="148" t="str">
        <f t="shared" si="17"/>
        <v/>
      </c>
      <c r="J345" s="39"/>
      <c r="K345" s="39"/>
    </row>
    <row r="346">
      <c r="A346" s="39"/>
      <c r="B346" s="145"/>
      <c r="C346" s="39"/>
      <c r="D346" s="39"/>
      <c r="E346" s="39"/>
      <c r="F346" s="146"/>
      <c r="G346" s="39"/>
      <c r="H346" s="39"/>
      <c r="I346" s="148" t="str">
        <f t="shared" si="17"/>
        <v/>
      </c>
      <c r="J346" s="39"/>
      <c r="K346" s="39"/>
    </row>
    <row r="347">
      <c r="A347" s="39"/>
      <c r="B347" s="145"/>
      <c r="C347" s="39"/>
      <c r="D347" s="39"/>
      <c r="E347" s="39"/>
      <c r="F347" s="146"/>
      <c r="G347" s="39"/>
      <c r="H347" s="39"/>
      <c r="I347" s="148" t="str">
        <f t="shared" si="17"/>
        <v/>
      </c>
      <c r="J347" s="39"/>
      <c r="K347" s="39"/>
    </row>
    <row r="348">
      <c r="A348" s="39"/>
      <c r="B348" s="145"/>
      <c r="C348" s="39"/>
      <c r="D348" s="39"/>
      <c r="E348" s="39"/>
      <c r="F348" s="146"/>
      <c r="G348" s="39"/>
      <c r="H348" s="39"/>
      <c r="I348" s="148" t="str">
        <f t="shared" si="17"/>
        <v/>
      </c>
      <c r="J348" s="39"/>
      <c r="K348" s="39"/>
    </row>
    <row r="349">
      <c r="A349" s="39"/>
      <c r="B349" s="145"/>
      <c r="C349" s="39"/>
      <c r="D349" s="39"/>
      <c r="E349" s="39"/>
      <c r="F349" s="146"/>
      <c r="G349" s="39"/>
      <c r="H349" s="39"/>
      <c r="I349" s="148" t="str">
        <f t="shared" si="17"/>
        <v/>
      </c>
      <c r="J349" s="39"/>
      <c r="K349" s="39"/>
    </row>
    <row r="350">
      <c r="A350" s="39"/>
      <c r="B350" s="145"/>
      <c r="C350" s="39"/>
      <c r="D350" s="39"/>
      <c r="E350" s="39"/>
      <c r="F350" s="146"/>
      <c r="G350" s="39"/>
      <c r="H350" s="39"/>
      <c r="I350" s="148" t="str">
        <f t="shared" si="17"/>
        <v/>
      </c>
      <c r="J350" s="39"/>
      <c r="K350" s="39"/>
    </row>
    <row r="351">
      <c r="A351" s="39"/>
      <c r="B351" s="145"/>
      <c r="C351" s="39"/>
      <c r="D351" s="39"/>
      <c r="E351" s="39"/>
      <c r="F351" s="146"/>
      <c r="G351" s="39"/>
      <c r="H351" s="39"/>
      <c r="I351" s="148" t="str">
        <f t="shared" si="17"/>
        <v/>
      </c>
      <c r="J351" s="39"/>
      <c r="K351" s="39"/>
    </row>
    <row r="352">
      <c r="A352" s="39"/>
      <c r="B352" s="145"/>
      <c r="C352" s="39"/>
      <c r="D352" s="39"/>
      <c r="E352" s="39"/>
      <c r="F352" s="146"/>
      <c r="G352" s="39"/>
      <c r="H352" s="39"/>
      <c r="I352" s="148" t="str">
        <f t="shared" si="17"/>
        <v/>
      </c>
      <c r="J352" s="39"/>
      <c r="K352" s="39"/>
    </row>
    <row r="353">
      <c r="A353" s="39"/>
      <c r="B353" s="145"/>
      <c r="C353" s="39"/>
      <c r="D353" s="39"/>
      <c r="E353" s="39"/>
      <c r="F353" s="146"/>
      <c r="G353" s="39"/>
      <c r="H353" s="39"/>
      <c r="I353" s="148" t="str">
        <f t="shared" si="17"/>
        <v/>
      </c>
      <c r="J353" s="39"/>
      <c r="K353" s="39"/>
    </row>
    <row r="354">
      <c r="A354" s="39"/>
      <c r="B354" s="145"/>
      <c r="C354" s="39"/>
      <c r="D354" s="39"/>
      <c r="E354" s="39"/>
      <c r="F354" s="146"/>
      <c r="G354" s="39"/>
      <c r="H354" s="39"/>
      <c r="I354" s="148" t="str">
        <f t="shared" si="17"/>
        <v/>
      </c>
      <c r="J354" s="39"/>
      <c r="K354" s="39"/>
    </row>
    <row r="355">
      <c r="A355" s="39"/>
      <c r="B355" s="145"/>
      <c r="C355" s="39"/>
      <c r="D355" s="39"/>
      <c r="E355" s="39"/>
      <c r="F355" s="146"/>
      <c r="G355" s="39"/>
      <c r="H355" s="39"/>
      <c r="I355" s="148" t="str">
        <f t="shared" si="17"/>
        <v/>
      </c>
      <c r="J355" s="39"/>
      <c r="K355" s="39"/>
    </row>
    <row r="356">
      <c r="A356" s="39"/>
      <c r="B356" s="145"/>
      <c r="C356" s="39"/>
      <c r="D356" s="39"/>
      <c r="E356" s="39"/>
      <c r="F356" s="146"/>
      <c r="G356" s="39"/>
      <c r="H356" s="39"/>
      <c r="I356" s="148" t="str">
        <f t="shared" si="17"/>
        <v/>
      </c>
      <c r="J356" s="39"/>
      <c r="K356" s="39"/>
    </row>
    <row r="357">
      <c r="A357" s="39"/>
      <c r="B357" s="145"/>
      <c r="C357" s="39"/>
      <c r="D357" s="39"/>
      <c r="E357" s="39"/>
      <c r="F357" s="146"/>
      <c r="G357" s="39"/>
      <c r="H357" s="39"/>
      <c r="I357" s="148" t="str">
        <f t="shared" si="17"/>
        <v/>
      </c>
      <c r="J357" s="39"/>
      <c r="K357" s="39"/>
    </row>
    <row r="358">
      <c r="A358" s="39"/>
      <c r="B358" s="145"/>
      <c r="C358" s="39"/>
      <c r="D358" s="39"/>
      <c r="E358" s="39"/>
      <c r="F358" s="146"/>
      <c r="G358" s="39"/>
      <c r="H358" s="39"/>
      <c r="I358" s="148" t="str">
        <f t="shared" si="17"/>
        <v/>
      </c>
      <c r="J358" s="39"/>
      <c r="K358" s="39"/>
    </row>
    <row r="359">
      <c r="A359" s="39"/>
      <c r="B359" s="145"/>
      <c r="C359" s="39"/>
      <c r="D359" s="39"/>
      <c r="E359" s="39"/>
      <c r="F359" s="146"/>
      <c r="G359" s="39"/>
      <c r="H359" s="39"/>
      <c r="I359" s="148" t="str">
        <f t="shared" si="17"/>
        <v/>
      </c>
      <c r="J359" s="39"/>
      <c r="K359" s="39"/>
    </row>
    <row r="360">
      <c r="A360" s="39"/>
      <c r="B360" s="145"/>
      <c r="C360" s="39"/>
      <c r="D360" s="39"/>
      <c r="E360" s="39"/>
      <c r="F360" s="146"/>
      <c r="G360" s="39"/>
      <c r="H360" s="39"/>
      <c r="I360" s="148" t="str">
        <f t="shared" si="17"/>
        <v/>
      </c>
      <c r="J360" s="39"/>
      <c r="K360" s="39"/>
    </row>
    <row r="361">
      <c r="A361" s="39"/>
      <c r="B361" s="145"/>
      <c r="C361" s="39"/>
      <c r="D361" s="39"/>
      <c r="E361" s="39"/>
      <c r="F361" s="146"/>
      <c r="G361" s="39"/>
      <c r="H361" s="39"/>
      <c r="I361" s="148" t="str">
        <f t="shared" si="17"/>
        <v/>
      </c>
      <c r="J361" s="39"/>
      <c r="K361" s="39"/>
    </row>
    <row r="362">
      <c r="A362" s="39"/>
      <c r="B362" s="145"/>
      <c r="C362" s="39"/>
      <c r="D362" s="39"/>
      <c r="E362" s="39"/>
      <c r="F362" s="146"/>
      <c r="G362" s="39"/>
      <c r="H362" s="39"/>
      <c r="I362" s="148" t="str">
        <f t="shared" si="17"/>
        <v/>
      </c>
      <c r="J362" s="39"/>
      <c r="K362" s="39"/>
    </row>
    <row r="363">
      <c r="A363" s="39"/>
      <c r="B363" s="145"/>
      <c r="C363" s="39"/>
      <c r="D363" s="39"/>
      <c r="E363" s="39"/>
      <c r="F363" s="146"/>
      <c r="G363" s="39"/>
      <c r="H363" s="39"/>
      <c r="I363" s="148" t="str">
        <f t="shared" si="17"/>
        <v/>
      </c>
      <c r="J363" s="39"/>
      <c r="K363" s="39"/>
    </row>
    <row r="364">
      <c r="A364" s="39"/>
      <c r="B364" s="145"/>
      <c r="C364" s="39"/>
      <c r="D364" s="39"/>
      <c r="E364" s="39"/>
      <c r="F364" s="146"/>
      <c r="G364" s="39"/>
      <c r="H364" s="39"/>
      <c r="I364" s="148" t="str">
        <f t="shared" si="17"/>
        <v/>
      </c>
      <c r="J364" s="39"/>
      <c r="K364" s="39"/>
    </row>
    <row r="365">
      <c r="A365" s="39"/>
      <c r="B365" s="145"/>
      <c r="C365" s="39"/>
      <c r="D365" s="39"/>
      <c r="E365" s="39"/>
      <c r="F365" s="146"/>
      <c r="G365" s="39"/>
      <c r="H365" s="39"/>
      <c r="I365" s="148" t="str">
        <f t="shared" si="17"/>
        <v/>
      </c>
      <c r="J365" s="39"/>
      <c r="K365" s="39"/>
    </row>
    <row r="366">
      <c r="A366" s="39"/>
      <c r="B366" s="145"/>
      <c r="C366" s="39"/>
      <c r="D366" s="39"/>
      <c r="E366" s="39"/>
      <c r="F366" s="146"/>
      <c r="G366" s="39"/>
      <c r="H366" s="39"/>
      <c r="I366" s="148" t="str">
        <f t="shared" si="17"/>
        <v/>
      </c>
      <c r="J366" s="39"/>
      <c r="K366" s="39"/>
    </row>
    <row r="367">
      <c r="A367" s="39"/>
      <c r="B367" s="145"/>
      <c r="C367" s="39"/>
      <c r="D367" s="39"/>
      <c r="E367" s="39"/>
      <c r="F367" s="146"/>
      <c r="G367" s="39"/>
      <c r="H367" s="39"/>
      <c r="I367" s="148" t="str">
        <f t="shared" si="17"/>
        <v/>
      </c>
      <c r="J367" s="39"/>
      <c r="K367" s="39"/>
    </row>
    <row r="368">
      <c r="A368" s="39"/>
      <c r="B368" s="145"/>
      <c r="C368" s="39"/>
      <c r="D368" s="39"/>
      <c r="E368" s="39"/>
      <c r="F368" s="146"/>
      <c r="G368" s="39"/>
      <c r="H368" s="39"/>
      <c r="I368" s="148" t="str">
        <f t="shared" si="17"/>
        <v/>
      </c>
      <c r="J368" s="39"/>
      <c r="K368" s="39"/>
    </row>
    <row r="369">
      <c r="A369" s="39"/>
      <c r="B369" s="145"/>
      <c r="C369" s="39"/>
      <c r="D369" s="39"/>
      <c r="E369" s="39"/>
      <c r="F369" s="146"/>
      <c r="G369" s="39"/>
      <c r="H369" s="39"/>
      <c r="I369" s="148" t="str">
        <f t="shared" si="17"/>
        <v/>
      </c>
      <c r="J369" s="39"/>
      <c r="K369" s="39"/>
    </row>
    <row r="370">
      <c r="A370" s="39"/>
      <c r="B370" s="145"/>
      <c r="C370" s="39"/>
      <c r="D370" s="39"/>
      <c r="E370" s="39"/>
      <c r="F370" s="146"/>
      <c r="G370" s="39"/>
      <c r="H370" s="39"/>
      <c r="I370" s="148" t="str">
        <f t="shared" si="17"/>
        <v/>
      </c>
      <c r="J370" s="39"/>
      <c r="K370" s="39"/>
    </row>
    <row r="371">
      <c r="A371" s="39"/>
      <c r="B371" s="145"/>
      <c r="C371" s="39"/>
      <c r="D371" s="39"/>
      <c r="E371" s="39"/>
      <c r="F371" s="146"/>
      <c r="G371" s="39"/>
      <c r="H371" s="39"/>
      <c r="I371" s="148" t="str">
        <f t="shared" si="17"/>
        <v/>
      </c>
      <c r="J371" s="39"/>
      <c r="K371" s="39"/>
    </row>
    <row r="372">
      <c r="A372" s="39"/>
      <c r="B372" s="145"/>
      <c r="C372" s="39"/>
      <c r="D372" s="39"/>
      <c r="E372" s="39"/>
      <c r="F372" s="146"/>
      <c r="G372" s="39"/>
      <c r="H372" s="39"/>
      <c r="I372" s="148" t="str">
        <f t="shared" si="17"/>
        <v/>
      </c>
      <c r="J372" s="39"/>
      <c r="K372" s="39"/>
    </row>
    <row r="373">
      <c r="A373" s="39"/>
      <c r="B373" s="145"/>
      <c r="C373" s="39"/>
      <c r="D373" s="39"/>
      <c r="E373" s="39"/>
      <c r="F373" s="146"/>
      <c r="G373" s="39"/>
      <c r="H373" s="39"/>
      <c r="I373" s="148" t="str">
        <f t="shared" si="17"/>
        <v/>
      </c>
      <c r="J373" s="39"/>
      <c r="K373" s="39"/>
    </row>
    <row r="374">
      <c r="A374" s="39"/>
      <c r="B374" s="145"/>
      <c r="C374" s="39"/>
      <c r="D374" s="39"/>
      <c r="E374" s="39"/>
      <c r="F374" s="146"/>
      <c r="G374" s="39"/>
      <c r="H374" s="39"/>
      <c r="I374" s="148" t="str">
        <f t="shared" si="17"/>
        <v/>
      </c>
      <c r="J374" s="39"/>
      <c r="K374" s="39"/>
    </row>
    <row r="375">
      <c r="A375" s="39"/>
      <c r="B375" s="145"/>
      <c r="C375" s="39"/>
      <c r="D375" s="39"/>
      <c r="E375" s="39"/>
      <c r="F375" s="146"/>
      <c r="G375" s="39"/>
      <c r="H375" s="39"/>
      <c r="I375" s="148" t="str">
        <f t="shared" si="17"/>
        <v/>
      </c>
      <c r="J375" s="39"/>
      <c r="K375" s="39"/>
    </row>
    <row r="376">
      <c r="A376" s="39"/>
      <c r="B376" s="145"/>
      <c r="C376" s="39"/>
      <c r="D376" s="39"/>
      <c r="E376" s="39"/>
      <c r="F376" s="146"/>
      <c r="G376" s="39"/>
      <c r="H376" s="39"/>
      <c r="I376" s="148" t="str">
        <f t="shared" si="17"/>
        <v/>
      </c>
      <c r="J376" s="39"/>
      <c r="K376" s="39"/>
    </row>
    <row r="377">
      <c r="A377" s="39"/>
      <c r="B377" s="145"/>
      <c r="C377" s="39"/>
      <c r="D377" s="39"/>
      <c r="E377" s="39"/>
      <c r="F377" s="146"/>
      <c r="G377" s="39"/>
      <c r="H377" s="39"/>
      <c r="I377" s="148" t="str">
        <f t="shared" si="17"/>
        <v/>
      </c>
      <c r="J377" s="39"/>
      <c r="K377" s="39"/>
    </row>
    <row r="378">
      <c r="A378" s="39"/>
      <c r="B378" s="145"/>
      <c r="C378" s="39"/>
      <c r="D378" s="39"/>
      <c r="E378" s="39"/>
      <c r="F378" s="146"/>
      <c r="G378" s="39"/>
      <c r="H378" s="39"/>
      <c r="I378" s="148" t="str">
        <f t="shared" si="17"/>
        <v/>
      </c>
      <c r="J378" s="39"/>
      <c r="K378" s="39"/>
    </row>
    <row r="379">
      <c r="A379" s="39"/>
      <c r="B379" s="145"/>
      <c r="C379" s="39"/>
      <c r="D379" s="39"/>
      <c r="E379" s="39"/>
      <c r="F379" s="146"/>
      <c r="G379" s="39"/>
      <c r="H379" s="39"/>
      <c r="I379" s="148" t="str">
        <f t="shared" si="17"/>
        <v/>
      </c>
      <c r="J379" s="39"/>
      <c r="K379" s="39"/>
    </row>
    <row r="380">
      <c r="A380" s="39"/>
      <c r="B380" s="145"/>
      <c r="C380" s="39"/>
      <c r="D380" s="39"/>
      <c r="E380" s="39"/>
      <c r="F380" s="146"/>
      <c r="G380" s="39"/>
      <c r="H380" s="39"/>
      <c r="I380" s="148" t="str">
        <f t="shared" si="17"/>
        <v/>
      </c>
      <c r="J380" s="39"/>
      <c r="K380" s="39"/>
    </row>
    <row r="381">
      <c r="A381" s="39"/>
      <c r="B381" s="145"/>
      <c r="C381" s="39"/>
      <c r="D381" s="39"/>
      <c r="E381" s="39"/>
      <c r="F381" s="146"/>
      <c r="G381" s="39"/>
      <c r="H381" s="39"/>
      <c r="I381" s="148" t="str">
        <f t="shared" si="17"/>
        <v/>
      </c>
      <c r="J381" s="39"/>
      <c r="K381" s="39"/>
    </row>
    <row r="382">
      <c r="A382" s="39"/>
      <c r="B382" s="145"/>
      <c r="C382" s="39"/>
      <c r="D382" s="39"/>
      <c r="E382" s="39"/>
      <c r="F382" s="146"/>
      <c r="G382" s="39"/>
      <c r="H382" s="39"/>
      <c r="I382" s="148" t="str">
        <f t="shared" si="17"/>
        <v/>
      </c>
      <c r="J382" s="39"/>
      <c r="K382" s="39"/>
    </row>
    <row r="383">
      <c r="A383" s="39"/>
      <c r="B383" s="145"/>
      <c r="C383" s="39"/>
      <c r="D383" s="39"/>
      <c r="E383" s="39"/>
      <c r="F383" s="146"/>
      <c r="G383" s="39"/>
      <c r="H383" s="39"/>
      <c r="I383" s="148" t="str">
        <f t="shared" si="17"/>
        <v/>
      </c>
      <c r="J383" s="39"/>
      <c r="K383" s="39"/>
    </row>
    <row r="384">
      <c r="A384" s="39"/>
      <c r="B384" s="145"/>
      <c r="C384" s="39"/>
      <c r="D384" s="39"/>
      <c r="E384" s="39"/>
      <c r="F384" s="146"/>
      <c r="G384" s="39"/>
      <c r="H384" s="39"/>
      <c r="I384" s="148" t="str">
        <f t="shared" si="17"/>
        <v/>
      </c>
      <c r="J384" s="39"/>
      <c r="K384" s="39"/>
    </row>
    <row r="385">
      <c r="A385" s="39"/>
      <c r="B385" s="145"/>
      <c r="C385" s="39"/>
      <c r="D385" s="39"/>
      <c r="E385" s="39"/>
      <c r="F385" s="146"/>
      <c r="G385" s="39"/>
      <c r="H385" s="39"/>
      <c r="I385" s="148" t="str">
        <f t="shared" si="17"/>
        <v/>
      </c>
      <c r="J385" s="39"/>
      <c r="K385" s="39"/>
    </row>
    <row r="386">
      <c r="A386" s="39"/>
      <c r="B386" s="145"/>
      <c r="C386" s="39"/>
      <c r="D386" s="39"/>
      <c r="E386" s="39"/>
      <c r="F386" s="146"/>
      <c r="G386" s="39"/>
      <c r="H386" s="39"/>
      <c r="I386" s="148" t="str">
        <f t="shared" si="17"/>
        <v/>
      </c>
      <c r="J386" s="39"/>
      <c r="K386" s="39"/>
    </row>
    <row r="387">
      <c r="A387" s="39"/>
      <c r="B387" s="145"/>
      <c r="C387" s="39"/>
      <c r="D387" s="39"/>
      <c r="E387" s="39"/>
      <c r="F387" s="146"/>
      <c r="G387" s="39"/>
      <c r="H387" s="39"/>
      <c r="I387" s="148" t="str">
        <f t="shared" si="17"/>
        <v/>
      </c>
      <c r="J387" s="39"/>
      <c r="K387" s="39"/>
    </row>
    <row r="388">
      <c r="A388" s="39"/>
      <c r="B388" s="145"/>
      <c r="C388" s="39"/>
      <c r="D388" s="39"/>
      <c r="E388" s="39"/>
      <c r="F388" s="146"/>
      <c r="G388" s="39"/>
      <c r="H388" s="39"/>
      <c r="I388" s="148" t="str">
        <f t="shared" si="17"/>
        <v/>
      </c>
      <c r="J388" s="39"/>
      <c r="K388" s="39"/>
    </row>
    <row r="389">
      <c r="A389" s="39"/>
      <c r="B389" s="145"/>
      <c r="C389" s="39"/>
      <c r="D389" s="39"/>
      <c r="E389" s="39"/>
      <c r="F389" s="146"/>
      <c r="G389" s="39"/>
      <c r="H389" s="39"/>
      <c r="I389" s="148" t="str">
        <f t="shared" si="17"/>
        <v/>
      </c>
      <c r="J389" s="39"/>
      <c r="K389" s="39"/>
    </row>
    <row r="390">
      <c r="A390" s="39"/>
      <c r="B390" s="145"/>
      <c r="C390" s="39"/>
      <c r="D390" s="39"/>
      <c r="E390" s="39"/>
      <c r="F390" s="146"/>
      <c r="G390" s="39"/>
      <c r="H390" s="39"/>
      <c r="I390" s="148" t="str">
        <f t="shared" si="17"/>
        <v/>
      </c>
      <c r="J390" s="39"/>
      <c r="K390" s="39"/>
    </row>
    <row r="391">
      <c r="A391" s="39"/>
      <c r="B391" s="145"/>
      <c r="C391" s="39"/>
      <c r="D391" s="39"/>
      <c r="E391" s="39"/>
      <c r="F391" s="146"/>
      <c r="G391" s="39"/>
      <c r="H391" s="39"/>
      <c r="I391" s="148" t="str">
        <f t="shared" si="17"/>
        <v/>
      </c>
      <c r="J391" s="39"/>
      <c r="K391" s="39"/>
    </row>
    <row r="392">
      <c r="A392" s="39"/>
      <c r="B392" s="145"/>
      <c r="C392" s="39"/>
      <c r="D392" s="39"/>
      <c r="E392" s="39"/>
      <c r="F392" s="146"/>
      <c r="G392" s="39"/>
      <c r="H392" s="39"/>
      <c r="I392" s="148" t="str">
        <f t="shared" si="17"/>
        <v/>
      </c>
      <c r="J392" s="39"/>
      <c r="K392" s="39"/>
    </row>
    <row r="393">
      <c r="A393" s="39"/>
      <c r="B393" s="145"/>
      <c r="C393" s="39"/>
      <c r="D393" s="39"/>
      <c r="E393" s="39"/>
      <c r="F393" s="146"/>
      <c r="G393" s="39"/>
      <c r="H393" s="39"/>
      <c r="I393" s="148" t="str">
        <f t="shared" si="17"/>
        <v/>
      </c>
      <c r="J393" s="39"/>
      <c r="K393" s="39"/>
    </row>
    <row r="394">
      <c r="A394" s="39"/>
      <c r="B394" s="145"/>
      <c r="C394" s="39"/>
      <c r="D394" s="39"/>
      <c r="E394" s="39"/>
      <c r="F394" s="146"/>
      <c r="G394" s="39"/>
      <c r="H394" s="39"/>
      <c r="I394" s="148" t="str">
        <f t="shared" si="17"/>
        <v/>
      </c>
      <c r="J394" s="39"/>
      <c r="K394" s="39"/>
    </row>
    <row r="395">
      <c r="A395" s="39"/>
      <c r="B395" s="145"/>
      <c r="C395" s="39"/>
      <c r="D395" s="39"/>
      <c r="E395" s="39"/>
      <c r="F395" s="146"/>
      <c r="G395" s="39"/>
      <c r="H395" s="39"/>
      <c r="I395" s="148" t="str">
        <f t="shared" si="17"/>
        <v/>
      </c>
      <c r="J395" s="39"/>
      <c r="K395" s="39"/>
    </row>
    <row r="396">
      <c r="A396" s="39"/>
      <c r="B396" s="145"/>
      <c r="C396" s="39"/>
      <c r="D396" s="39"/>
      <c r="E396" s="39"/>
      <c r="F396" s="146"/>
      <c r="G396" s="39"/>
      <c r="H396" s="39"/>
      <c r="I396" s="148" t="str">
        <f t="shared" si="17"/>
        <v/>
      </c>
      <c r="J396" s="39"/>
      <c r="K396" s="39"/>
    </row>
    <row r="397">
      <c r="A397" s="39"/>
      <c r="B397" s="145"/>
      <c r="C397" s="39"/>
      <c r="D397" s="39"/>
      <c r="E397" s="39"/>
      <c r="F397" s="146"/>
      <c r="G397" s="39"/>
      <c r="H397" s="39"/>
      <c r="I397" s="148" t="str">
        <f t="shared" si="17"/>
        <v/>
      </c>
      <c r="J397" s="39"/>
      <c r="K397" s="39"/>
    </row>
    <row r="398">
      <c r="A398" s="39"/>
      <c r="B398" s="145"/>
      <c r="C398" s="39"/>
      <c r="D398" s="39"/>
      <c r="E398" s="39"/>
      <c r="F398" s="146"/>
      <c r="G398" s="39"/>
      <c r="H398" s="39"/>
      <c r="I398" s="148" t="str">
        <f t="shared" si="17"/>
        <v/>
      </c>
      <c r="J398" s="39"/>
      <c r="K398" s="39"/>
    </row>
    <row r="399">
      <c r="A399" s="39"/>
      <c r="B399" s="145"/>
      <c r="C399" s="39"/>
      <c r="D399" s="39"/>
      <c r="E399" s="39"/>
      <c r="F399" s="146"/>
      <c r="G399" s="39"/>
      <c r="H399" s="39"/>
      <c r="I399" s="148" t="str">
        <f t="shared" si="17"/>
        <v/>
      </c>
      <c r="J399" s="39"/>
      <c r="K399" s="39"/>
    </row>
    <row r="400">
      <c r="A400" s="39"/>
      <c r="B400" s="145"/>
      <c r="C400" s="39"/>
      <c r="D400" s="39"/>
      <c r="E400" s="39"/>
      <c r="F400" s="146"/>
      <c r="G400" s="39"/>
      <c r="H400" s="39"/>
      <c r="I400" s="148" t="str">
        <f t="shared" si="17"/>
        <v/>
      </c>
      <c r="J400" s="39"/>
      <c r="K400" s="39"/>
    </row>
    <row r="401">
      <c r="A401" s="39"/>
      <c r="B401" s="145"/>
      <c r="C401" s="39"/>
      <c r="D401" s="39"/>
      <c r="E401" s="39"/>
      <c r="F401" s="146"/>
      <c r="G401" s="39"/>
      <c r="H401" s="39"/>
      <c r="I401" s="148" t="str">
        <f t="shared" si="17"/>
        <v/>
      </c>
      <c r="J401" s="39"/>
      <c r="K401" s="39"/>
    </row>
    <row r="402">
      <c r="A402" s="39"/>
      <c r="B402" s="145"/>
      <c r="C402" s="39"/>
      <c r="D402" s="39"/>
      <c r="E402" s="39"/>
      <c r="F402" s="146"/>
      <c r="G402" s="39"/>
      <c r="H402" s="39"/>
      <c r="I402" s="148" t="str">
        <f t="shared" si="17"/>
        <v/>
      </c>
      <c r="J402" s="39"/>
      <c r="K402" s="39"/>
    </row>
    <row r="403">
      <c r="A403" s="39"/>
      <c r="B403" s="145"/>
      <c r="C403" s="39"/>
      <c r="D403" s="39"/>
      <c r="E403" s="39"/>
      <c r="F403" s="146"/>
      <c r="G403" s="39"/>
      <c r="H403" s="39"/>
      <c r="I403" s="148" t="str">
        <f t="shared" si="17"/>
        <v/>
      </c>
      <c r="J403" s="39"/>
      <c r="K403" s="39"/>
    </row>
    <row r="404">
      <c r="A404" s="39"/>
      <c r="B404" s="145"/>
      <c r="C404" s="39"/>
      <c r="D404" s="39"/>
      <c r="E404" s="39"/>
      <c r="F404" s="146"/>
      <c r="G404" s="39"/>
      <c r="H404" s="39"/>
      <c r="I404" s="148" t="str">
        <f t="shared" si="17"/>
        <v/>
      </c>
      <c r="J404" s="39"/>
      <c r="K404" s="39"/>
    </row>
    <row r="405">
      <c r="A405" s="39"/>
      <c r="B405" s="145"/>
      <c r="C405" s="39"/>
      <c r="D405" s="39"/>
      <c r="E405" s="39"/>
      <c r="F405" s="146"/>
      <c r="G405" s="39"/>
      <c r="H405" s="39"/>
      <c r="I405" s="148" t="str">
        <f t="shared" si="17"/>
        <v/>
      </c>
      <c r="J405" s="39"/>
      <c r="K405" s="39"/>
    </row>
    <row r="406">
      <c r="A406" s="39"/>
      <c r="B406" s="145"/>
      <c r="C406" s="39"/>
      <c r="D406" s="39"/>
      <c r="E406" s="39"/>
      <c r="F406" s="146"/>
      <c r="G406" s="39"/>
      <c r="H406" s="39"/>
      <c r="I406" s="148" t="str">
        <f t="shared" si="17"/>
        <v/>
      </c>
      <c r="J406" s="39"/>
      <c r="K406" s="39"/>
    </row>
    <row r="407">
      <c r="A407" s="39"/>
      <c r="B407" s="145"/>
      <c r="C407" s="39"/>
      <c r="D407" s="39"/>
      <c r="E407" s="39"/>
      <c r="F407" s="146"/>
      <c r="G407" s="39"/>
      <c r="H407" s="39"/>
      <c r="I407" s="148" t="str">
        <f t="shared" si="17"/>
        <v/>
      </c>
      <c r="J407" s="39"/>
      <c r="K407" s="39"/>
    </row>
    <row r="408">
      <c r="A408" s="39"/>
      <c r="B408" s="145"/>
      <c r="C408" s="39"/>
      <c r="D408" s="39"/>
      <c r="E408" s="39"/>
      <c r="F408" s="146"/>
      <c r="G408" s="39"/>
      <c r="H408" s="39"/>
      <c r="I408" s="148" t="str">
        <f t="shared" si="17"/>
        <v/>
      </c>
      <c r="J408" s="39"/>
      <c r="K408" s="39"/>
    </row>
    <row r="409">
      <c r="A409" s="39"/>
      <c r="B409" s="145"/>
      <c r="C409" s="39"/>
      <c r="D409" s="39"/>
      <c r="E409" s="39"/>
      <c r="F409" s="146"/>
      <c r="G409" s="39"/>
      <c r="H409" s="39"/>
      <c r="I409" s="148"/>
      <c r="J409" s="39"/>
      <c r="K409" s="39"/>
    </row>
    <row r="410">
      <c r="A410" s="39"/>
      <c r="B410" s="145"/>
      <c r="C410" s="39"/>
      <c r="D410" s="39"/>
      <c r="E410" s="39"/>
      <c r="F410" s="146"/>
      <c r="G410" s="39"/>
      <c r="H410" s="39"/>
      <c r="I410" s="148"/>
      <c r="J410" s="39"/>
      <c r="K410" s="39"/>
    </row>
    <row r="411">
      <c r="A411" s="39"/>
      <c r="B411" s="145"/>
      <c r="C411" s="39"/>
      <c r="D411" s="39"/>
      <c r="E411" s="39"/>
      <c r="F411" s="146"/>
      <c r="G411" s="39"/>
      <c r="H411" s="39"/>
      <c r="I411" s="148"/>
      <c r="J411" s="39"/>
      <c r="K411" s="39"/>
    </row>
    <row r="412">
      <c r="A412" s="39"/>
      <c r="B412" s="145"/>
      <c r="C412" s="39"/>
      <c r="D412" s="39"/>
      <c r="E412" s="39"/>
      <c r="F412" s="146"/>
      <c r="G412" s="39"/>
      <c r="H412" s="39"/>
      <c r="I412" s="148"/>
      <c r="J412" s="39"/>
      <c r="K412" s="39"/>
    </row>
    <row r="413">
      <c r="A413" s="39"/>
      <c r="B413" s="145"/>
      <c r="C413" s="39"/>
      <c r="D413" s="39"/>
      <c r="E413" s="39"/>
      <c r="F413" s="146"/>
      <c r="G413" s="39"/>
      <c r="H413" s="39"/>
      <c r="I413" s="148"/>
      <c r="J413" s="39"/>
      <c r="K413" s="39"/>
    </row>
    <row r="414">
      <c r="A414" s="39"/>
      <c r="B414" s="145"/>
      <c r="C414" s="39"/>
      <c r="D414" s="39"/>
      <c r="E414" s="39"/>
      <c r="F414" s="146"/>
      <c r="G414" s="39"/>
      <c r="H414" s="39"/>
      <c r="I414" s="148"/>
      <c r="J414" s="39"/>
      <c r="K414" s="39"/>
    </row>
    <row r="415">
      <c r="A415" s="39"/>
      <c r="B415" s="145"/>
      <c r="C415" s="39"/>
      <c r="D415" s="39"/>
      <c r="E415" s="39"/>
      <c r="F415" s="146"/>
      <c r="G415" s="39"/>
      <c r="H415" s="39"/>
      <c r="I415" s="148"/>
      <c r="J415" s="39"/>
      <c r="K415" s="39"/>
    </row>
    <row r="416">
      <c r="A416" s="39"/>
      <c r="B416" s="145"/>
      <c r="C416" s="39"/>
      <c r="D416" s="39"/>
      <c r="E416" s="39"/>
      <c r="F416" s="146"/>
      <c r="G416" s="39"/>
      <c r="H416" s="39"/>
      <c r="I416" s="148"/>
      <c r="J416" s="39"/>
      <c r="K416" s="39"/>
    </row>
    <row r="417">
      <c r="A417" s="39"/>
      <c r="B417" s="145"/>
      <c r="C417" s="39"/>
      <c r="D417" s="39"/>
      <c r="E417" s="39"/>
      <c r="F417" s="146"/>
      <c r="G417" s="39"/>
      <c r="H417" s="39"/>
      <c r="I417" s="148"/>
      <c r="J417" s="39"/>
      <c r="K417" s="39"/>
    </row>
    <row r="418">
      <c r="A418" s="39"/>
      <c r="B418" s="145"/>
      <c r="C418" s="39"/>
      <c r="D418" s="39"/>
      <c r="E418" s="39"/>
      <c r="F418" s="146"/>
      <c r="G418" s="39"/>
      <c r="H418" s="39"/>
      <c r="I418" s="148"/>
      <c r="J418" s="39"/>
      <c r="K418" s="39"/>
    </row>
    <row r="419">
      <c r="A419" s="39"/>
      <c r="B419" s="145"/>
      <c r="C419" s="39"/>
      <c r="D419" s="39"/>
      <c r="E419" s="39"/>
      <c r="F419" s="146"/>
      <c r="G419" s="39"/>
      <c r="H419" s="39"/>
      <c r="I419" s="148"/>
      <c r="J419" s="39"/>
      <c r="K419" s="39"/>
    </row>
    <row r="420">
      <c r="A420" s="39"/>
      <c r="B420" s="145"/>
      <c r="C420" s="39"/>
      <c r="D420" s="39"/>
      <c r="E420" s="39"/>
      <c r="F420" s="146"/>
      <c r="G420" s="39"/>
      <c r="H420" s="39"/>
      <c r="I420" s="148"/>
      <c r="J420" s="39"/>
      <c r="K420" s="39"/>
    </row>
    <row r="421">
      <c r="A421" s="39"/>
      <c r="B421" s="145"/>
      <c r="C421" s="39"/>
      <c r="D421" s="39"/>
      <c r="E421" s="39"/>
      <c r="F421" s="146"/>
      <c r="G421" s="39"/>
      <c r="H421" s="39"/>
      <c r="I421" s="148"/>
      <c r="J421" s="39"/>
      <c r="K421" s="39"/>
    </row>
    <row r="422">
      <c r="A422" s="39"/>
      <c r="B422" s="145"/>
      <c r="C422" s="39"/>
      <c r="D422" s="39"/>
      <c r="E422" s="39"/>
      <c r="F422" s="146"/>
      <c r="G422" s="39"/>
      <c r="H422" s="39"/>
      <c r="I422" s="148"/>
      <c r="J422" s="39"/>
      <c r="K422" s="39"/>
    </row>
    <row r="423">
      <c r="A423" s="39"/>
      <c r="B423" s="145"/>
      <c r="C423" s="39"/>
      <c r="D423" s="39"/>
      <c r="E423" s="39"/>
      <c r="F423" s="146"/>
      <c r="G423" s="39"/>
      <c r="H423" s="39"/>
      <c r="I423" s="148"/>
      <c r="J423" s="39"/>
      <c r="K423" s="39"/>
    </row>
    <row r="424">
      <c r="A424" s="39"/>
      <c r="B424" s="145"/>
      <c r="C424" s="39"/>
      <c r="D424" s="39"/>
      <c r="E424" s="39"/>
      <c r="F424" s="146"/>
      <c r="G424" s="39"/>
      <c r="H424" s="39"/>
      <c r="I424" s="148"/>
      <c r="J424" s="39"/>
      <c r="K424" s="39"/>
    </row>
    <row r="425">
      <c r="A425" s="39"/>
      <c r="B425" s="145"/>
      <c r="C425" s="39"/>
      <c r="D425" s="39"/>
      <c r="E425" s="39"/>
      <c r="F425" s="146"/>
      <c r="G425" s="39"/>
      <c r="H425" s="39"/>
      <c r="I425" s="148"/>
      <c r="J425" s="39"/>
      <c r="K425" s="39"/>
    </row>
    <row r="426">
      <c r="A426" s="39"/>
      <c r="B426" s="145"/>
      <c r="C426" s="39"/>
      <c r="D426" s="39"/>
      <c r="E426" s="39"/>
      <c r="F426" s="146"/>
      <c r="G426" s="39"/>
      <c r="H426" s="39"/>
      <c r="I426" s="148"/>
      <c r="J426" s="39"/>
      <c r="K426" s="39"/>
    </row>
    <row r="427">
      <c r="A427" s="39"/>
      <c r="B427" s="145"/>
      <c r="C427" s="39"/>
      <c r="D427" s="39"/>
      <c r="E427" s="39"/>
      <c r="F427" s="146"/>
      <c r="G427" s="39"/>
      <c r="H427" s="39"/>
      <c r="I427" s="148"/>
      <c r="J427" s="39"/>
      <c r="K427" s="39"/>
    </row>
    <row r="428">
      <c r="A428" s="39"/>
      <c r="B428" s="145"/>
      <c r="C428" s="39"/>
      <c r="D428" s="39"/>
      <c r="E428" s="39"/>
      <c r="F428" s="146"/>
      <c r="G428" s="39"/>
      <c r="H428" s="39"/>
      <c r="I428" s="148"/>
      <c r="J428" s="39"/>
      <c r="K428" s="39"/>
    </row>
    <row r="429">
      <c r="A429" s="39"/>
      <c r="B429" s="145"/>
      <c r="C429" s="39"/>
      <c r="D429" s="39"/>
      <c r="E429" s="39"/>
      <c r="F429" s="146"/>
      <c r="G429" s="39"/>
      <c r="H429" s="39"/>
      <c r="I429" s="148"/>
      <c r="J429" s="39"/>
      <c r="K429" s="39"/>
    </row>
    <row r="430">
      <c r="A430" s="39"/>
      <c r="B430" s="145"/>
      <c r="C430" s="39"/>
      <c r="D430" s="39"/>
      <c r="E430" s="39"/>
      <c r="F430" s="146"/>
      <c r="G430" s="39"/>
      <c r="H430" s="39"/>
      <c r="I430" s="148"/>
      <c r="J430" s="39"/>
      <c r="K430" s="39"/>
    </row>
    <row r="431">
      <c r="A431" s="39"/>
      <c r="B431" s="145"/>
      <c r="C431" s="39"/>
      <c r="D431" s="39"/>
      <c r="E431" s="39"/>
      <c r="F431" s="146"/>
      <c r="G431" s="39"/>
      <c r="H431" s="39"/>
      <c r="I431" s="148"/>
      <c r="J431" s="39"/>
      <c r="K431" s="39"/>
    </row>
    <row r="432">
      <c r="A432" s="39"/>
      <c r="B432" s="145"/>
      <c r="C432" s="39"/>
      <c r="D432" s="39"/>
      <c r="E432" s="39"/>
      <c r="F432" s="146"/>
      <c r="G432" s="39"/>
      <c r="H432" s="39"/>
      <c r="I432" s="148"/>
      <c r="J432" s="39"/>
      <c r="K432" s="39"/>
    </row>
    <row r="433">
      <c r="A433" s="39"/>
      <c r="B433" s="145"/>
      <c r="C433" s="39"/>
      <c r="D433" s="39"/>
      <c r="E433" s="39"/>
      <c r="F433" s="146"/>
      <c r="G433" s="39"/>
      <c r="H433" s="39"/>
      <c r="I433" s="148"/>
      <c r="J433" s="39"/>
      <c r="K433" s="39"/>
    </row>
    <row r="434">
      <c r="A434" s="39"/>
      <c r="B434" s="145"/>
      <c r="C434" s="39"/>
      <c r="D434" s="39"/>
      <c r="E434" s="39"/>
      <c r="F434" s="146"/>
      <c r="G434" s="39"/>
      <c r="H434" s="39"/>
      <c r="I434" s="148"/>
      <c r="J434" s="39"/>
      <c r="K434" s="39"/>
    </row>
    <row r="435">
      <c r="A435" s="39"/>
      <c r="B435" s="145"/>
      <c r="C435" s="39"/>
      <c r="D435" s="39"/>
      <c r="E435" s="39"/>
      <c r="F435" s="146"/>
      <c r="G435" s="39"/>
      <c r="H435" s="39"/>
      <c r="I435" s="148"/>
      <c r="J435" s="39"/>
      <c r="K435" s="39"/>
    </row>
    <row r="436">
      <c r="A436" s="39"/>
      <c r="B436" s="145"/>
      <c r="C436" s="39"/>
      <c r="D436" s="39"/>
      <c r="E436" s="39"/>
      <c r="F436" s="146"/>
      <c r="G436" s="39"/>
      <c r="H436" s="39"/>
      <c r="I436" s="148"/>
      <c r="J436" s="39"/>
      <c r="K436" s="39"/>
    </row>
    <row r="437">
      <c r="A437" s="39"/>
      <c r="B437" s="145"/>
      <c r="C437" s="39"/>
      <c r="D437" s="39"/>
      <c r="E437" s="39"/>
      <c r="F437" s="146"/>
      <c r="G437" s="39"/>
      <c r="H437" s="39"/>
      <c r="I437" s="148"/>
      <c r="J437" s="39"/>
      <c r="K437" s="39"/>
    </row>
    <row r="438">
      <c r="A438" s="39"/>
      <c r="B438" s="145"/>
      <c r="C438" s="39"/>
      <c r="D438" s="39"/>
      <c r="E438" s="39"/>
      <c r="F438" s="146"/>
      <c r="G438" s="39"/>
      <c r="H438" s="39"/>
      <c r="I438" s="148"/>
      <c r="J438" s="39"/>
      <c r="K438" s="39"/>
    </row>
    <row r="439">
      <c r="A439" s="39"/>
      <c r="B439" s="145"/>
      <c r="C439" s="39"/>
      <c r="D439" s="39"/>
      <c r="E439" s="39"/>
      <c r="F439" s="146"/>
      <c r="G439" s="39"/>
      <c r="H439" s="39"/>
      <c r="I439" s="148"/>
      <c r="J439" s="39"/>
      <c r="K439" s="39"/>
    </row>
    <row r="440">
      <c r="A440" s="39"/>
      <c r="B440" s="145"/>
      <c r="C440" s="39"/>
      <c r="D440" s="39"/>
      <c r="E440" s="39"/>
      <c r="F440" s="146"/>
      <c r="G440" s="39"/>
      <c r="H440" s="39"/>
      <c r="I440" s="148"/>
      <c r="J440" s="39"/>
      <c r="K440" s="39"/>
    </row>
    <row r="441">
      <c r="A441" s="39"/>
      <c r="B441" s="145"/>
      <c r="C441" s="39"/>
      <c r="D441" s="39"/>
      <c r="E441" s="39"/>
      <c r="F441" s="146"/>
      <c r="G441" s="39"/>
      <c r="H441" s="39"/>
      <c r="I441" s="148"/>
      <c r="J441" s="39"/>
      <c r="K441" s="39"/>
    </row>
    <row r="442">
      <c r="A442" s="39"/>
      <c r="B442" s="145"/>
      <c r="C442" s="39"/>
      <c r="D442" s="39"/>
      <c r="E442" s="39"/>
      <c r="F442" s="146"/>
      <c r="G442" s="39"/>
      <c r="H442" s="39"/>
      <c r="I442" s="148"/>
      <c r="J442" s="39"/>
      <c r="K442" s="39"/>
    </row>
    <row r="443">
      <c r="A443" s="39"/>
      <c r="B443" s="145"/>
      <c r="C443" s="39"/>
      <c r="D443" s="39"/>
      <c r="E443" s="39"/>
      <c r="F443" s="146"/>
      <c r="G443" s="39"/>
      <c r="H443" s="39"/>
      <c r="I443" s="148"/>
      <c r="J443" s="39"/>
      <c r="K443" s="39"/>
    </row>
    <row r="444">
      <c r="A444" s="39"/>
      <c r="B444" s="145"/>
      <c r="C444" s="39"/>
      <c r="D444" s="39"/>
      <c r="E444" s="39"/>
      <c r="F444" s="146"/>
      <c r="G444" s="39"/>
      <c r="H444" s="39"/>
      <c r="I444" s="148"/>
      <c r="J444" s="39"/>
      <c r="K444" s="39"/>
    </row>
    <row r="445">
      <c r="A445" s="39"/>
      <c r="B445" s="145"/>
      <c r="C445" s="39"/>
      <c r="D445" s="39"/>
      <c r="E445" s="39"/>
      <c r="F445" s="146"/>
      <c r="G445" s="39"/>
      <c r="H445" s="39"/>
      <c r="I445" s="148"/>
      <c r="J445" s="39"/>
      <c r="K445" s="39"/>
    </row>
    <row r="446">
      <c r="A446" s="39"/>
      <c r="B446" s="145"/>
      <c r="C446" s="39"/>
      <c r="D446" s="39"/>
      <c r="E446" s="39"/>
      <c r="F446" s="146"/>
      <c r="G446" s="39"/>
      <c r="H446" s="39"/>
      <c r="I446" s="148"/>
      <c r="J446" s="39"/>
      <c r="K446" s="39"/>
    </row>
    <row r="447">
      <c r="A447" s="39"/>
      <c r="B447" s="145"/>
      <c r="C447" s="39"/>
      <c r="D447" s="39"/>
      <c r="E447" s="39"/>
      <c r="F447" s="146"/>
      <c r="G447" s="39"/>
      <c r="H447" s="39"/>
      <c r="I447" s="148"/>
      <c r="J447" s="39"/>
      <c r="K447" s="39"/>
    </row>
    <row r="448">
      <c r="A448" s="39"/>
      <c r="B448" s="145"/>
      <c r="C448" s="39"/>
      <c r="D448" s="39"/>
      <c r="E448" s="39"/>
      <c r="F448" s="146"/>
      <c r="G448" s="39"/>
      <c r="H448" s="39"/>
      <c r="I448" s="148"/>
      <c r="J448" s="39"/>
      <c r="K448" s="39"/>
    </row>
    <row r="449">
      <c r="A449" s="39"/>
      <c r="B449" s="145"/>
      <c r="C449" s="39"/>
      <c r="D449" s="39"/>
      <c r="E449" s="39"/>
      <c r="F449" s="146"/>
      <c r="G449" s="39"/>
      <c r="H449" s="39"/>
      <c r="I449" s="148"/>
      <c r="J449" s="39"/>
      <c r="K449" s="39"/>
    </row>
    <row r="450">
      <c r="A450" s="39"/>
      <c r="B450" s="145"/>
      <c r="C450" s="39"/>
      <c r="D450" s="39"/>
      <c r="E450" s="39"/>
      <c r="F450" s="146"/>
      <c r="G450" s="39"/>
      <c r="H450" s="39"/>
      <c r="I450" s="148"/>
      <c r="J450" s="39"/>
      <c r="K450" s="39"/>
    </row>
    <row r="451">
      <c r="A451" s="39"/>
      <c r="B451" s="145"/>
      <c r="C451" s="39"/>
      <c r="D451" s="39"/>
      <c r="E451" s="39"/>
      <c r="F451" s="146"/>
      <c r="G451" s="39"/>
      <c r="H451" s="39"/>
      <c r="I451" s="148"/>
      <c r="J451" s="39"/>
      <c r="K451" s="39"/>
    </row>
    <row r="452">
      <c r="A452" s="39"/>
      <c r="B452" s="145"/>
      <c r="C452" s="39"/>
      <c r="D452" s="39"/>
      <c r="E452" s="39"/>
      <c r="F452" s="146"/>
      <c r="G452" s="39"/>
      <c r="H452" s="39"/>
      <c r="I452" s="148"/>
      <c r="J452" s="39"/>
      <c r="K452" s="39"/>
    </row>
    <row r="453">
      <c r="A453" s="39"/>
      <c r="B453" s="145"/>
      <c r="C453" s="39"/>
      <c r="D453" s="39"/>
      <c r="E453" s="39"/>
      <c r="F453" s="146"/>
      <c r="G453" s="39"/>
      <c r="H453" s="39"/>
      <c r="I453" s="148"/>
      <c r="J453" s="39"/>
      <c r="K453" s="39"/>
    </row>
    <row r="454">
      <c r="A454" s="39"/>
      <c r="B454" s="145"/>
      <c r="C454" s="39"/>
      <c r="D454" s="39"/>
      <c r="E454" s="39"/>
      <c r="F454" s="146"/>
      <c r="G454" s="39"/>
      <c r="H454" s="39"/>
      <c r="I454" s="148"/>
      <c r="J454" s="39"/>
      <c r="K454" s="39"/>
    </row>
    <row r="455">
      <c r="A455" s="39"/>
      <c r="B455" s="145"/>
      <c r="C455" s="39"/>
      <c r="D455" s="39"/>
      <c r="E455" s="39"/>
      <c r="F455" s="146"/>
      <c r="G455" s="39"/>
      <c r="H455" s="39"/>
      <c r="I455" s="148"/>
      <c r="J455" s="39"/>
      <c r="K455" s="39"/>
    </row>
    <row r="456">
      <c r="A456" s="39"/>
      <c r="B456" s="145"/>
      <c r="C456" s="39"/>
      <c r="D456" s="39"/>
      <c r="E456" s="39"/>
      <c r="F456" s="146"/>
      <c r="G456" s="39"/>
      <c r="H456" s="39"/>
      <c r="I456" s="148"/>
      <c r="J456" s="39"/>
      <c r="K456" s="39"/>
    </row>
    <row r="457">
      <c r="A457" s="39"/>
      <c r="B457" s="145"/>
      <c r="C457" s="39"/>
      <c r="D457" s="39"/>
      <c r="E457" s="39"/>
      <c r="F457" s="146"/>
      <c r="G457" s="39"/>
      <c r="H457" s="39"/>
      <c r="I457" s="148"/>
      <c r="J457" s="39"/>
      <c r="K457" s="39"/>
    </row>
    <row r="458">
      <c r="A458" s="39"/>
      <c r="B458" s="145"/>
      <c r="C458" s="39"/>
      <c r="D458" s="39"/>
      <c r="E458" s="39"/>
      <c r="F458" s="146"/>
      <c r="G458" s="39"/>
      <c r="H458" s="39"/>
      <c r="I458" s="148"/>
      <c r="J458" s="39"/>
      <c r="K458" s="39"/>
    </row>
    <row r="459">
      <c r="A459" s="39"/>
      <c r="B459" s="145"/>
      <c r="C459" s="39"/>
      <c r="D459" s="39"/>
      <c r="E459" s="39"/>
      <c r="F459" s="146"/>
      <c r="G459" s="39"/>
      <c r="H459" s="39"/>
      <c r="I459" s="148"/>
      <c r="J459" s="39"/>
      <c r="K459" s="39"/>
    </row>
    <row r="460">
      <c r="A460" s="39"/>
      <c r="B460" s="145"/>
      <c r="C460" s="39"/>
      <c r="D460" s="39"/>
      <c r="E460" s="39"/>
      <c r="F460" s="146"/>
      <c r="G460" s="39"/>
      <c r="H460" s="39"/>
      <c r="I460" s="148"/>
      <c r="J460" s="39"/>
      <c r="K460" s="39"/>
    </row>
    <row r="461">
      <c r="A461" s="39"/>
      <c r="B461" s="145"/>
      <c r="C461" s="39"/>
      <c r="D461" s="39"/>
      <c r="E461" s="39"/>
      <c r="F461" s="146"/>
      <c r="G461" s="39"/>
      <c r="H461" s="39"/>
      <c r="I461" s="148"/>
      <c r="J461" s="39"/>
      <c r="K461" s="39"/>
    </row>
    <row r="462">
      <c r="A462" s="39"/>
      <c r="B462" s="145"/>
      <c r="C462" s="39"/>
      <c r="D462" s="39"/>
      <c r="E462" s="39"/>
      <c r="F462" s="146"/>
      <c r="G462" s="39"/>
      <c r="H462" s="39"/>
      <c r="I462" s="148"/>
      <c r="J462" s="39"/>
      <c r="K462" s="39"/>
    </row>
    <row r="463">
      <c r="A463" s="39"/>
      <c r="B463" s="145"/>
      <c r="C463" s="39"/>
      <c r="D463" s="39"/>
      <c r="E463" s="39"/>
      <c r="F463" s="146"/>
      <c r="G463" s="39"/>
      <c r="H463" s="39"/>
      <c r="I463" s="148"/>
      <c r="J463" s="39"/>
      <c r="K463" s="39"/>
    </row>
    <row r="464">
      <c r="A464" s="39"/>
      <c r="B464" s="145"/>
      <c r="C464" s="39"/>
      <c r="D464" s="39"/>
      <c r="E464" s="39"/>
      <c r="F464" s="146"/>
      <c r="G464" s="39"/>
      <c r="H464" s="39"/>
      <c r="I464" s="148"/>
      <c r="J464" s="39"/>
      <c r="K464" s="39"/>
    </row>
    <row r="465">
      <c r="A465" s="39"/>
      <c r="B465" s="145"/>
      <c r="C465" s="39"/>
      <c r="D465" s="39"/>
      <c r="E465" s="39"/>
      <c r="F465" s="146"/>
      <c r="G465" s="39"/>
      <c r="H465" s="39"/>
      <c r="I465" s="148"/>
      <c r="J465" s="39"/>
      <c r="K465" s="39"/>
    </row>
    <row r="466">
      <c r="A466" s="39"/>
      <c r="B466" s="145"/>
      <c r="C466" s="39"/>
      <c r="D466" s="39"/>
      <c r="E466" s="39"/>
      <c r="F466" s="146"/>
      <c r="G466" s="39"/>
      <c r="H466" s="39"/>
      <c r="I466" s="148"/>
      <c r="J466" s="39"/>
      <c r="K466" s="39"/>
    </row>
    <row r="467">
      <c r="A467" s="39"/>
      <c r="B467" s="145"/>
      <c r="C467" s="39"/>
      <c r="D467" s="39"/>
      <c r="E467" s="39"/>
      <c r="F467" s="146"/>
      <c r="G467" s="39"/>
      <c r="H467" s="39"/>
      <c r="I467" s="148"/>
      <c r="J467" s="39"/>
      <c r="K467" s="39"/>
    </row>
    <row r="468">
      <c r="A468" s="39"/>
      <c r="B468" s="145"/>
      <c r="C468" s="39"/>
      <c r="D468" s="39"/>
      <c r="E468" s="39"/>
      <c r="F468" s="146"/>
      <c r="G468" s="39"/>
      <c r="H468" s="39"/>
      <c r="I468" s="148"/>
      <c r="J468" s="39"/>
      <c r="K468" s="39"/>
    </row>
    <row r="469">
      <c r="A469" s="39"/>
      <c r="B469" s="145"/>
      <c r="C469" s="39"/>
      <c r="D469" s="39"/>
      <c r="E469" s="39"/>
      <c r="F469" s="146"/>
      <c r="G469" s="39"/>
      <c r="H469" s="39"/>
      <c r="I469" s="148"/>
      <c r="J469" s="39"/>
      <c r="K469" s="39"/>
    </row>
    <row r="470">
      <c r="A470" s="39"/>
      <c r="B470" s="145"/>
      <c r="C470" s="39"/>
      <c r="D470" s="39"/>
      <c r="E470" s="39"/>
      <c r="F470" s="146"/>
      <c r="G470" s="39"/>
      <c r="H470" s="39"/>
      <c r="I470" s="148"/>
      <c r="J470" s="39"/>
      <c r="K470" s="39"/>
    </row>
    <row r="471">
      <c r="A471" s="39"/>
      <c r="B471" s="145"/>
      <c r="C471" s="39"/>
      <c r="D471" s="39"/>
      <c r="E471" s="39"/>
      <c r="F471" s="146"/>
      <c r="G471" s="39"/>
      <c r="H471" s="39"/>
      <c r="I471" s="148"/>
      <c r="J471" s="39"/>
      <c r="K471" s="39"/>
    </row>
    <row r="472">
      <c r="A472" s="39"/>
      <c r="B472" s="145"/>
      <c r="C472" s="39"/>
      <c r="D472" s="39"/>
      <c r="E472" s="39"/>
      <c r="F472" s="146"/>
      <c r="G472" s="39"/>
      <c r="H472" s="39"/>
      <c r="I472" s="148"/>
      <c r="J472" s="39"/>
      <c r="K472" s="39"/>
    </row>
    <row r="473">
      <c r="A473" s="39"/>
      <c r="B473" s="145"/>
      <c r="C473" s="39"/>
      <c r="D473" s="39"/>
      <c r="E473" s="39"/>
      <c r="F473" s="146"/>
      <c r="G473" s="39"/>
      <c r="H473" s="39"/>
      <c r="I473" s="148"/>
      <c r="J473" s="39"/>
      <c r="K473" s="39"/>
    </row>
    <row r="474">
      <c r="A474" s="39"/>
      <c r="B474" s="145"/>
      <c r="C474" s="39"/>
      <c r="D474" s="39"/>
      <c r="E474" s="39"/>
      <c r="F474" s="146"/>
      <c r="G474" s="39"/>
      <c r="H474" s="39"/>
      <c r="I474" s="148"/>
      <c r="J474" s="39"/>
      <c r="K474" s="39"/>
    </row>
    <row r="475">
      <c r="A475" s="39"/>
      <c r="B475" s="145"/>
      <c r="C475" s="39"/>
      <c r="D475" s="39"/>
      <c r="E475" s="39"/>
      <c r="F475" s="146"/>
      <c r="G475" s="39"/>
      <c r="H475" s="39"/>
      <c r="I475" s="148"/>
      <c r="J475" s="39"/>
      <c r="K475" s="39"/>
    </row>
    <row r="476">
      <c r="A476" s="39"/>
      <c r="B476" s="145"/>
      <c r="C476" s="39"/>
      <c r="D476" s="39"/>
      <c r="E476" s="39"/>
      <c r="F476" s="146"/>
      <c r="G476" s="39"/>
      <c r="H476" s="39"/>
      <c r="I476" s="148"/>
      <c r="J476" s="39"/>
      <c r="K476" s="39"/>
    </row>
    <row r="477">
      <c r="A477" s="39"/>
      <c r="B477" s="145"/>
      <c r="C477" s="39"/>
      <c r="D477" s="39"/>
      <c r="E477" s="39"/>
      <c r="F477" s="146"/>
      <c r="G477" s="39"/>
      <c r="H477" s="39"/>
      <c r="I477" s="148"/>
      <c r="J477" s="39"/>
      <c r="K477" s="39"/>
    </row>
    <row r="478">
      <c r="A478" s="39"/>
      <c r="B478" s="145"/>
      <c r="C478" s="39"/>
      <c r="D478" s="39"/>
      <c r="E478" s="39"/>
      <c r="F478" s="146"/>
      <c r="G478" s="39"/>
      <c r="H478" s="39"/>
      <c r="I478" s="148"/>
      <c r="J478" s="39"/>
      <c r="K478" s="39"/>
    </row>
    <row r="479">
      <c r="A479" s="39"/>
      <c r="B479" s="145"/>
      <c r="C479" s="39"/>
      <c r="D479" s="39"/>
      <c r="E479" s="39"/>
      <c r="F479" s="146"/>
      <c r="G479" s="39"/>
      <c r="H479" s="39"/>
      <c r="I479" s="148"/>
      <c r="J479" s="39"/>
      <c r="K479" s="39"/>
    </row>
    <row r="480">
      <c r="A480" s="39"/>
      <c r="B480" s="145"/>
      <c r="C480" s="39"/>
      <c r="D480" s="39"/>
      <c r="E480" s="39"/>
      <c r="F480" s="146"/>
      <c r="G480" s="39"/>
      <c r="H480" s="39"/>
      <c r="I480" s="148"/>
      <c r="J480" s="39"/>
      <c r="K480" s="39"/>
    </row>
    <row r="481">
      <c r="A481" s="39"/>
      <c r="B481" s="145"/>
      <c r="C481" s="39"/>
      <c r="D481" s="39"/>
      <c r="E481" s="39"/>
      <c r="F481" s="146"/>
      <c r="G481" s="39"/>
      <c r="H481" s="39"/>
      <c r="I481" s="148"/>
      <c r="J481" s="39"/>
      <c r="K481" s="39"/>
    </row>
    <row r="482">
      <c r="A482" s="39"/>
      <c r="B482" s="145"/>
      <c r="C482" s="39"/>
      <c r="D482" s="39"/>
      <c r="E482" s="39"/>
      <c r="F482" s="146"/>
      <c r="G482" s="39"/>
      <c r="H482" s="39"/>
      <c r="I482" s="148"/>
      <c r="J482" s="39"/>
      <c r="K482" s="39"/>
    </row>
    <row r="483">
      <c r="A483" s="39"/>
      <c r="B483" s="145"/>
      <c r="C483" s="39"/>
      <c r="D483" s="39"/>
      <c r="E483" s="39"/>
      <c r="F483" s="146"/>
      <c r="G483" s="39"/>
      <c r="H483" s="39"/>
      <c r="I483" s="148"/>
      <c r="J483" s="39"/>
      <c r="K483" s="39"/>
    </row>
    <row r="484">
      <c r="A484" s="39"/>
      <c r="B484" s="145"/>
      <c r="C484" s="39"/>
      <c r="D484" s="39"/>
      <c r="E484" s="39"/>
      <c r="F484" s="146"/>
      <c r="G484" s="39"/>
      <c r="H484" s="39"/>
      <c r="I484" s="148"/>
      <c r="J484" s="39"/>
      <c r="K484" s="39"/>
    </row>
    <row r="485">
      <c r="A485" s="39"/>
      <c r="B485" s="145"/>
      <c r="C485" s="39"/>
      <c r="D485" s="39"/>
      <c r="E485" s="39"/>
      <c r="F485" s="146"/>
      <c r="G485" s="39"/>
      <c r="H485" s="39"/>
      <c r="I485" s="148"/>
      <c r="J485" s="39"/>
      <c r="K485" s="39"/>
    </row>
    <row r="486">
      <c r="A486" s="39"/>
      <c r="B486" s="145"/>
      <c r="C486" s="39"/>
      <c r="D486" s="39"/>
      <c r="E486" s="39"/>
      <c r="F486" s="146"/>
      <c r="G486" s="39"/>
      <c r="H486" s="39"/>
      <c r="I486" s="148"/>
      <c r="J486" s="39"/>
      <c r="K486" s="39"/>
    </row>
    <row r="487">
      <c r="A487" s="39"/>
      <c r="B487" s="145"/>
      <c r="C487" s="39"/>
      <c r="D487" s="39"/>
      <c r="E487" s="39"/>
      <c r="F487" s="146"/>
      <c r="G487" s="39"/>
      <c r="H487" s="39"/>
      <c r="I487" s="148"/>
      <c r="J487" s="39"/>
      <c r="K487" s="39"/>
    </row>
    <row r="488">
      <c r="A488" s="39"/>
      <c r="B488" s="145"/>
      <c r="C488" s="39"/>
      <c r="D488" s="39"/>
      <c r="E488" s="39"/>
      <c r="F488" s="146"/>
      <c r="G488" s="39"/>
      <c r="H488" s="39"/>
      <c r="I488" s="148"/>
      <c r="J488" s="39"/>
      <c r="K488" s="39"/>
    </row>
    <row r="489">
      <c r="A489" s="39"/>
      <c r="B489" s="145"/>
      <c r="C489" s="39"/>
      <c r="D489" s="39"/>
      <c r="E489" s="39"/>
      <c r="F489" s="146"/>
      <c r="G489" s="39"/>
      <c r="H489" s="39"/>
      <c r="I489" s="148"/>
      <c r="J489" s="39"/>
      <c r="K489" s="39"/>
    </row>
    <row r="490">
      <c r="A490" s="39"/>
      <c r="B490" s="145"/>
      <c r="C490" s="39"/>
      <c r="D490" s="39"/>
      <c r="E490" s="39"/>
      <c r="F490" s="146"/>
      <c r="G490" s="39"/>
      <c r="H490" s="39"/>
      <c r="I490" s="148"/>
      <c r="J490" s="39"/>
      <c r="K490" s="39"/>
    </row>
    <row r="491">
      <c r="A491" s="39"/>
      <c r="B491" s="145"/>
      <c r="C491" s="39"/>
      <c r="D491" s="39"/>
      <c r="E491" s="39"/>
      <c r="F491" s="146"/>
      <c r="G491" s="39"/>
      <c r="H491" s="39"/>
      <c r="I491" s="148"/>
      <c r="J491" s="39"/>
      <c r="K491" s="39"/>
    </row>
    <row r="492">
      <c r="A492" s="39"/>
      <c r="B492" s="145"/>
      <c r="C492" s="39"/>
      <c r="D492" s="39"/>
      <c r="E492" s="39"/>
      <c r="F492" s="146"/>
      <c r="G492" s="39"/>
      <c r="H492" s="39"/>
      <c r="I492" s="148"/>
      <c r="J492" s="39"/>
      <c r="K492" s="39"/>
    </row>
    <row r="493">
      <c r="A493" s="39"/>
      <c r="B493" s="145"/>
      <c r="C493" s="39"/>
      <c r="D493" s="39"/>
      <c r="E493" s="39"/>
      <c r="F493" s="146"/>
      <c r="G493" s="39"/>
      <c r="H493" s="39"/>
      <c r="I493" s="148"/>
      <c r="J493" s="39"/>
      <c r="K493" s="39"/>
    </row>
    <row r="494">
      <c r="A494" s="39"/>
      <c r="B494" s="145"/>
      <c r="C494" s="39"/>
      <c r="D494" s="39"/>
      <c r="E494" s="39"/>
      <c r="F494" s="146"/>
      <c r="G494" s="39"/>
      <c r="H494" s="39"/>
      <c r="I494" s="148"/>
      <c r="J494" s="39"/>
      <c r="K494" s="39"/>
    </row>
    <row r="495">
      <c r="A495" s="39"/>
      <c r="B495" s="145"/>
      <c r="C495" s="39"/>
      <c r="D495" s="39"/>
      <c r="E495" s="39"/>
      <c r="F495" s="146"/>
      <c r="G495" s="39"/>
      <c r="H495" s="39"/>
      <c r="I495" s="148"/>
      <c r="J495" s="39"/>
      <c r="K495" s="39"/>
    </row>
    <row r="496">
      <c r="A496" s="39"/>
      <c r="B496" s="145"/>
      <c r="C496" s="39"/>
      <c r="D496" s="39"/>
      <c r="E496" s="39"/>
      <c r="F496" s="146"/>
      <c r="G496" s="39"/>
      <c r="H496" s="39"/>
      <c r="I496" s="148"/>
      <c r="J496" s="39"/>
      <c r="K496" s="39"/>
    </row>
    <row r="497">
      <c r="A497" s="39"/>
      <c r="B497" s="145"/>
      <c r="C497" s="39"/>
      <c r="D497" s="39"/>
      <c r="E497" s="39"/>
      <c r="F497" s="146"/>
      <c r="G497" s="39"/>
      <c r="H497" s="39"/>
      <c r="I497" s="148"/>
      <c r="J497" s="39"/>
      <c r="K497" s="39"/>
    </row>
    <row r="498">
      <c r="A498" s="39"/>
      <c r="B498" s="145"/>
      <c r="C498" s="39"/>
      <c r="D498" s="39"/>
      <c r="E498" s="39"/>
      <c r="F498" s="146"/>
      <c r="G498" s="39"/>
      <c r="H498" s="39"/>
      <c r="I498" s="148"/>
      <c r="J498" s="39"/>
      <c r="K498" s="39"/>
    </row>
    <row r="499">
      <c r="A499" s="39"/>
      <c r="B499" s="145"/>
      <c r="C499" s="39"/>
      <c r="D499" s="39"/>
      <c r="E499" s="39"/>
      <c r="F499" s="146"/>
      <c r="G499" s="39"/>
      <c r="H499" s="39"/>
      <c r="I499" s="148"/>
      <c r="J499" s="39"/>
      <c r="K499" s="39"/>
    </row>
    <row r="500">
      <c r="A500" s="39"/>
      <c r="B500" s="145"/>
      <c r="C500" s="39"/>
      <c r="D500" s="39"/>
      <c r="E500" s="39"/>
      <c r="F500" s="146"/>
      <c r="G500" s="39"/>
      <c r="H500" s="39"/>
      <c r="I500" s="148"/>
      <c r="J500" s="39"/>
      <c r="K500" s="39"/>
    </row>
    <row r="501">
      <c r="A501" s="39"/>
      <c r="B501" s="145"/>
      <c r="C501" s="39"/>
      <c r="D501" s="39"/>
      <c r="E501" s="39"/>
      <c r="F501" s="146"/>
      <c r="G501" s="39"/>
      <c r="H501" s="39"/>
      <c r="I501" s="148"/>
      <c r="J501" s="39"/>
      <c r="K501" s="39"/>
    </row>
    <row r="502">
      <c r="A502" s="39"/>
      <c r="B502" s="145"/>
      <c r="C502" s="39"/>
      <c r="D502" s="39"/>
      <c r="E502" s="39"/>
      <c r="F502" s="146"/>
      <c r="G502" s="39"/>
      <c r="H502" s="39"/>
      <c r="I502" s="148"/>
      <c r="J502" s="39"/>
      <c r="K502" s="39"/>
    </row>
    <row r="503">
      <c r="A503" s="39"/>
      <c r="B503" s="145"/>
      <c r="C503" s="39"/>
      <c r="D503" s="39"/>
      <c r="E503" s="39"/>
      <c r="F503" s="146"/>
      <c r="G503" s="39"/>
      <c r="H503" s="39"/>
      <c r="I503" s="148"/>
      <c r="J503" s="39"/>
      <c r="K503" s="39"/>
    </row>
    <row r="504">
      <c r="A504" s="39"/>
      <c r="B504" s="145"/>
      <c r="C504" s="39"/>
      <c r="D504" s="39"/>
      <c r="E504" s="39"/>
      <c r="F504" s="146"/>
      <c r="G504" s="39"/>
      <c r="H504" s="39"/>
      <c r="I504" s="148"/>
      <c r="J504" s="39"/>
      <c r="K504" s="39"/>
    </row>
    <row r="505">
      <c r="A505" s="39"/>
      <c r="B505" s="145"/>
      <c r="C505" s="39"/>
      <c r="D505" s="39"/>
      <c r="E505" s="39"/>
      <c r="F505" s="146"/>
      <c r="G505" s="39"/>
      <c r="H505" s="39"/>
      <c r="I505" s="148"/>
      <c r="J505" s="39"/>
      <c r="K505" s="39"/>
    </row>
    <row r="506">
      <c r="A506" s="39"/>
      <c r="B506" s="145"/>
      <c r="C506" s="39"/>
      <c r="D506" s="39"/>
      <c r="E506" s="39"/>
      <c r="F506" s="146"/>
      <c r="G506" s="39"/>
      <c r="H506" s="39"/>
      <c r="I506" s="148"/>
      <c r="J506" s="39"/>
      <c r="K506" s="39"/>
    </row>
    <row r="507">
      <c r="A507" s="39"/>
      <c r="B507" s="145"/>
      <c r="C507" s="39"/>
      <c r="D507" s="39"/>
      <c r="E507" s="39"/>
      <c r="F507" s="146"/>
      <c r="G507" s="39"/>
      <c r="H507" s="39"/>
      <c r="I507" s="148"/>
      <c r="J507" s="39"/>
      <c r="K507" s="39"/>
    </row>
    <row r="508">
      <c r="A508" s="39"/>
      <c r="B508" s="145"/>
      <c r="C508" s="39"/>
      <c r="D508" s="39"/>
      <c r="E508" s="39"/>
      <c r="F508" s="146"/>
      <c r="G508" s="39"/>
      <c r="H508" s="39"/>
      <c r="I508" s="148"/>
      <c r="J508" s="39"/>
      <c r="K508" s="39"/>
    </row>
    <row r="509">
      <c r="A509" s="39"/>
      <c r="B509" s="145"/>
      <c r="C509" s="39"/>
      <c r="D509" s="39"/>
      <c r="E509" s="39"/>
      <c r="F509" s="146"/>
      <c r="G509" s="39"/>
      <c r="H509" s="39"/>
      <c r="I509" s="148"/>
      <c r="J509" s="39"/>
      <c r="K509" s="39"/>
    </row>
    <row r="510">
      <c r="A510" s="39"/>
      <c r="B510" s="145"/>
      <c r="C510" s="39"/>
      <c r="D510" s="39"/>
      <c r="E510" s="39"/>
      <c r="F510" s="146"/>
      <c r="G510" s="39"/>
      <c r="H510" s="39"/>
      <c r="I510" s="148"/>
      <c r="J510" s="39"/>
      <c r="K510" s="39"/>
    </row>
    <row r="511">
      <c r="A511" s="39"/>
      <c r="B511" s="145"/>
      <c r="C511" s="39"/>
      <c r="D511" s="39"/>
      <c r="E511" s="39"/>
      <c r="F511" s="146"/>
      <c r="G511" s="39"/>
      <c r="H511" s="39"/>
      <c r="I511" s="148"/>
      <c r="J511" s="39"/>
      <c r="K511" s="39"/>
    </row>
    <row r="512">
      <c r="A512" s="39"/>
      <c r="B512" s="145"/>
      <c r="C512" s="39"/>
      <c r="D512" s="39"/>
      <c r="E512" s="39"/>
      <c r="F512" s="146"/>
      <c r="G512" s="39"/>
      <c r="H512" s="39"/>
      <c r="I512" s="148"/>
      <c r="J512" s="39"/>
      <c r="K512" s="39"/>
    </row>
    <row r="513">
      <c r="A513" s="39"/>
      <c r="B513" s="145"/>
      <c r="C513" s="39"/>
      <c r="D513" s="39"/>
      <c r="E513" s="39"/>
      <c r="F513" s="146"/>
      <c r="G513" s="39"/>
      <c r="H513" s="39"/>
      <c r="I513" s="148"/>
      <c r="J513" s="39"/>
      <c r="K513" s="39"/>
    </row>
    <row r="514">
      <c r="A514" s="39"/>
      <c r="B514" s="145"/>
      <c r="C514" s="39"/>
      <c r="D514" s="39"/>
      <c r="E514" s="39"/>
      <c r="F514" s="146"/>
      <c r="G514" s="39"/>
      <c r="H514" s="39"/>
      <c r="I514" s="148"/>
      <c r="J514" s="39"/>
      <c r="K514" s="39"/>
    </row>
    <row r="515">
      <c r="A515" s="39"/>
      <c r="B515" s="145"/>
      <c r="C515" s="39"/>
      <c r="D515" s="39"/>
      <c r="E515" s="39"/>
      <c r="F515" s="146"/>
      <c r="G515" s="39"/>
      <c r="H515" s="39"/>
      <c r="I515" s="148"/>
      <c r="J515" s="39"/>
      <c r="K515" s="39"/>
    </row>
    <row r="516">
      <c r="A516" s="39"/>
      <c r="B516" s="145"/>
      <c r="C516" s="39"/>
      <c r="D516" s="39"/>
      <c r="E516" s="39"/>
      <c r="F516" s="146"/>
      <c r="G516" s="39"/>
      <c r="H516" s="39"/>
      <c r="I516" s="148"/>
      <c r="J516" s="39"/>
      <c r="K516" s="39"/>
    </row>
    <row r="517">
      <c r="A517" s="39"/>
      <c r="B517" s="145"/>
      <c r="C517" s="39"/>
      <c r="D517" s="39"/>
      <c r="E517" s="39"/>
      <c r="F517" s="146"/>
      <c r="G517" s="39"/>
      <c r="H517" s="39"/>
      <c r="I517" s="148"/>
      <c r="J517" s="39"/>
      <c r="K517" s="39"/>
    </row>
    <row r="518">
      <c r="A518" s="39"/>
      <c r="B518" s="145"/>
      <c r="C518" s="39"/>
      <c r="D518" s="39"/>
      <c r="E518" s="39"/>
      <c r="F518" s="146"/>
      <c r="G518" s="39"/>
      <c r="H518" s="39"/>
      <c r="I518" s="148"/>
      <c r="J518" s="39"/>
      <c r="K518" s="39"/>
    </row>
    <row r="519">
      <c r="A519" s="39"/>
      <c r="B519" s="145"/>
      <c r="C519" s="39"/>
      <c r="D519" s="39"/>
      <c r="E519" s="39"/>
      <c r="F519" s="146"/>
      <c r="G519" s="39"/>
      <c r="H519" s="39"/>
      <c r="I519" s="148"/>
      <c r="J519" s="39"/>
      <c r="K519" s="39"/>
    </row>
    <row r="520">
      <c r="A520" s="39"/>
      <c r="B520" s="145"/>
      <c r="C520" s="39"/>
      <c r="D520" s="39"/>
      <c r="E520" s="39"/>
      <c r="F520" s="146"/>
      <c r="G520" s="39"/>
      <c r="H520" s="39"/>
      <c r="I520" s="148"/>
      <c r="J520" s="39"/>
      <c r="K520" s="39"/>
    </row>
    <row r="521">
      <c r="A521" s="39"/>
      <c r="B521" s="145"/>
      <c r="C521" s="39"/>
      <c r="D521" s="39"/>
      <c r="E521" s="39"/>
      <c r="F521" s="146"/>
      <c r="G521" s="39"/>
      <c r="H521" s="39"/>
      <c r="I521" s="148"/>
      <c r="J521" s="39"/>
      <c r="K521" s="39"/>
    </row>
    <row r="522">
      <c r="A522" s="39"/>
      <c r="B522" s="145"/>
      <c r="C522" s="39"/>
      <c r="D522" s="39"/>
      <c r="E522" s="39"/>
      <c r="F522" s="146"/>
      <c r="G522" s="39"/>
      <c r="H522" s="39"/>
      <c r="I522" s="148"/>
      <c r="J522" s="39"/>
      <c r="K522" s="39"/>
    </row>
    <row r="523">
      <c r="A523" s="39"/>
      <c r="B523" s="145"/>
      <c r="C523" s="39"/>
      <c r="D523" s="39"/>
      <c r="E523" s="39"/>
      <c r="F523" s="146"/>
      <c r="G523" s="39"/>
      <c r="H523" s="39"/>
      <c r="I523" s="148"/>
      <c r="J523" s="39"/>
      <c r="K523" s="39"/>
    </row>
    <row r="524">
      <c r="A524" s="39"/>
      <c r="B524" s="145"/>
      <c r="C524" s="39"/>
      <c r="D524" s="39"/>
      <c r="E524" s="39"/>
      <c r="F524" s="146"/>
      <c r="G524" s="39"/>
      <c r="H524" s="39"/>
      <c r="I524" s="148"/>
      <c r="J524" s="39"/>
      <c r="K524" s="39"/>
    </row>
    <row r="525">
      <c r="A525" s="39"/>
      <c r="B525" s="145"/>
      <c r="C525" s="39"/>
      <c r="D525" s="39"/>
      <c r="E525" s="39"/>
      <c r="F525" s="146"/>
      <c r="G525" s="39"/>
      <c r="H525" s="39"/>
      <c r="I525" s="148"/>
      <c r="J525" s="39"/>
      <c r="K525" s="39"/>
    </row>
    <row r="526">
      <c r="A526" s="39"/>
      <c r="B526" s="145"/>
      <c r="C526" s="39"/>
      <c r="D526" s="39"/>
      <c r="E526" s="39"/>
      <c r="F526" s="146"/>
      <c r="G526" s="39"/>
      <c r="H526" s="39"/>
      <c r="I526" s="148"/>
      <c r="J526" s="39"/>
      <c r="K526" s="39"/>
    </row>
    <row r="527">
      <c r="A527" s="39"/>
      <c r="B527" s="145"/>
      <c r="C527" s="39"/>
      <c r="D527" s="39"/>
      <c r="E527" s="39"/>
      <c r="F527" s="146"/>
      <c r="G527" s="39"/>
      <c r="H527" s="39"/>
      <c r="I527" s="148"/>
      <c r="J527" s="39"/>
      <c r="K527" s="39"/>
    </row>
    <row r="528">
      <c r="A528" s="39"/>
      <c r="B528" s="145"/>
      <c r="C528" s="39"/>
      <c r="D528" s="39"/>
      <c r="E528" s="39"/>
      <c r="F528" s="146"/>
      <c r="G528" s="39"/>
      <c r="H528" s="39"/>
      <c r="I528" s="148"/>
      <c r="J528" s="39"/>
      <c r="K528" s="39"/>
    </row>
    <row r="529">
      <c r="A529" s="39"/>
      <c r="B529" s="145"/>
      <c r="C529" s="39"/>
      <c r="D529" s="39"/>
      <c r="E529" s="39"/>
      <c r="F529" s="146"/>
      <c r="G529" s="39"/>
      <c r="H529" s="39"/>
      <c r="I529" s="148"/>
      <c r="J529" s="39"/>
      <c r="K529" s="39"/>
    </row>
    <row r="530">
      <c r="A530" s="39"/>
      <c r="B530" s="145"/>
      <c r="C530" s="39"/>
      <c r="D530" s="39"/>
      <c r="E530" s="39"/>
      <c r="F530" s="146"/>
      <c r="G530" s="39"/>
      <c r="H530" s="39"/>
      <c r="I530" s="148"/>
      <c r="J530" s="39"/>
      <c r="K530" s="39"/>
    </row>
    <row r="531">
      <c r="A531" s="39"/>
      <c r="B531" s="145"/>
      <c r="C531" s="39"/>
      <c r="D531" s="39"/>
      <c r="E531" s="39"/>
      <c r="F531" s="146"/>
      <c r="G531" s="39"/>
      <c r="H531" s="39"/>
      <c r="I531" s="148"/>
      <c r="J531" s="39"/>
      <c r="K531" s="39"/>
    </row>
    <row r="532">
      <c r="A532" s="39"/>
      <c r="B532" s="145"/>
      <c r="C532" s="39"/>
      <c r="D532" s="39"/>
      <c r="E532" s="39"/>
      <c r="F532" s="146"/>
      <c r="G532" s="39"/>
      <c r="H532" s="39"/>
      <c r="I532" s="148"/>
      <c r="J532" s="39"/>
      <c r="K532" s="39"/>
    </row>
    <row r="533">
      <c r="A533" s="39"/>
      <c r="B533" s="145"/>
      <c r="C533" s="39"/>
      <c r="D533" s="39"/>
      <c r="E533" s="39"/>
      <c r="F533" s="146"/>
      <c r="G533" s="39"/>
      <c r="H533" s="39"/>
      <c r="I533" s="148"/>
      <c r="J533" s="39"/>
      <c r="K533" s="39"/>
    </row>
    <row r="534">
      <c r="A534" s="39"/>
      <c r="B534" s="145"/>
      <c r="C534" s="39"/>
      <c r="D534" s="39"/>
      <c r="E534" s="39"/>
      <c r="F534" s="146"/>
      <c r="G534" s="39"/>
      <c r="H534" s="39"/>
      <c r="I534" s="148"/>
      <c r="J534" s="39"/>
      <c r="K534" s="39"/>
    </row>
    <row r="535">
      <c r="A535" s="39"/>
      <c r="B535" s="145"/>
      <c r="C535" s="39"/>
      <c r="D535" s="39"/>
      <c r="E535" s="39"/>
      <c r="F535" s="146"/>
      <c r="G535" s="39"/>
      <c r="H535" s="39"/>
      <c r="I535" s="148"/>
      <c r="J535" s="39"/>
      <c r="K535" s="39"/>
    </row>
    <row r="536">
      <c r="A536" s="39"/>
      <c r="B536" s="145"/>
      <c r="C536" s="39"/>
      <c r="D536" s="39"/>
      <c r="E536" s="39"/>
      <c r="F536" s="146"/>
      <c r="G536" s="39"/>
      <c r="H536" s="39"/>
      <c r="I536" s="148"/>
      <c r="J536" s="39"/>
      <c r="K536" s="39"/>
    </row>
    <row r="537">
      <c r="A537" s="39"/>
      <c r="B537" s="145"/>
      <c r="C537" s="39"/>
      <c r="D537" s="39"/>
      <c r="E537" s="39"/>
      <c r="F537" s="146"/>
      <c r="G537" s="39"/>
      <c r="H537" s="39"/>
      <c r="I537" s="148"/>
      <c r="J537" s="39"/>
      <c r="K537" s="39"/>
    </row>
    <row r="538">
      <c r="A538" s="39"/>
      <c r="B538" s="145"/>
      <c r="C538" s="39"/>
      <c r="D538" s="39"/>
      <c r="E538" s="39"/>
      <c r="F538" s="146"/>
      <c r="G538" s="39"/>
      <c r="H538" s="39"/>
      <c r="I538" s="148"/>
      <c r="J538" s="39"/>
      <c r="K538" s="39"/>
    </row>
    <row r="539">
      <c r="A539" s="39"/>
      <c r="B539" s="145"/>
      <c r="C539" s="39"/>
      <c r="D539" s="39"/>
      <c r="E539" s="39"/>
      <c r="F539" s="146"/>
      <c r="G539" s="39"/>
      <c r="H539" s="39"/>
      <c r="I539" s="148"/>
      <c r="J539" s="39"/>
      <c r="K539" s="39"/>
    </row>
    <row r="540">
      <c r="A540" s="39"/>
      <c r="B540" s="145"/>
      <c r="C540" s="39"/>
      <c r="D540" s="39"/>
      <c r="E540" s="39"/>
      <c r="F540" s="146"/>
      <c r="G540" s="39"/>
      <c r="H540" s="39"/>
      <c r="I540" s="148"/>
      <c r="J540" s="39"/>
      <c r="K540" s="39"/>
    </row>
    <row r="541">
      <c r="A541" s="39"/>
      <c r="B541" s="145"/>
      <c r="C541" s="39"/>
      <c r="D541" s="39"/>
      <c r="E541" s="39"/>
      <c r="F541" s="146"/>
      <c r="G541" s="39"/>
      <c r="H541" s="39"/>
      <c r="I541" s="148"/>
      <c r="J541" s="39"/>
      <c r="K541" s="39"/>
    </row>
    <row r="542">
      <c r="A542" s="39"/>
      <c r="B542" s="145"/>
      <c r="C542" s="39"/>
      <c r="D542" s="39"/>
      <c r="E542" s="39"/>
      <c r="F542" s="146"/>
      <c r="G542" s="39"/>
      <c r="H542" s="39"/>
      <c r="I542" s="39"/>
      <c r="J542" s="39"/>
      <c r="K542" s="39"/>
    </row>
    <row r="543">
      <c r="A543" s="39"/>
      <c r="B543" s="145"/>
      <c r="C543" s="39"/>
      <c r="D543" s="39"/>
      <c r="E543" s="39"/>
      <c r="F543" s="146"/>
      <c r="G543" s="39"/>
      <c r="H543" s="39"/>
      <c r="I543" s="39"/>
      <c r="J543" s="39"/>
      <c r="K543" s="39"/>
    </row>
    <row r="544">
      <c r="A544" s="39"/>
      <c r="B544" s="145"/>
      <c r="C544" s="39"/>
      <c r="D544" s="39"/>
      <c r="E544" s="39"/>
      <c r="F544" s="146"/>
      <c r="G544" s="39"/>
      <c r="H544" s="39"/>
      <c r="I544" s="39"/>
      <c r="J544" s="39"/>
      <c r="K544" s="39"/>
    </row>
    <row r="545">
      <c r="A545" s="39"/>
      <c r="B545" s="145"/>
      <c r="C545" s="39"/>
      <c r="D545" s="39"/>
      <c r="E545" s="39"/>
      <c r="F545" s="146"/>
      <c r="G545" s="39"/>
      <c r="H545" s="39"/>
      <c r="I545" s="39"/>
      <c r="J545" s="39"/>
      <c r="K545" s="39"/>
    </row>
    <row r="546">
      <c r="A546" s="39"/>
      <c r="B546" s="145"/>
      <c r="C546" s="39"/>
      <c r="D546" s="39"/>
      <c r="E546" s="39"/>
      <c r="F546" s="146"/>
      <c r="G546" s="39"/>
      <c r="H546" s="39"/>
      <c r="I546" s="39"/>
      <c r="J546" s="39"/>
      <c r="K546" s="39"/>
    </row>
    <row r="547">
      <c r="A547" s="39"/>
      <c r="B547" s="145"/>
      <c r="C547" s="39"/>
      <c r="D547" s="39"/>
      <c r="E547" s="39"/>
      <c r="F547" s="146"/>
      <c r="G547" s="39"/>
      <c r="H547" s="39"/>
      <c r="I547" s="39"/>
      <c r="J547" s="39"/>
      <c r="K547" s="39"/>
    </row>
    <row r="548">
      <c r="A548" s="39"/>
      <c r="B548" s="145"/>
      <c r="C548" s="39"/>
      <c r="D548" s="39"/>
      <c r="E548" s="39"/>
      <c r="F548" s="146"/>
      <c r="G548" s="39"/>
      <c r="H548" s="39"/>
      <c r="I548" s="39"/>
      <c r="J548" s="39"/>
      <c r="K548" s="39"/>
    </row>
    <row r="549">
      <c r="A549" s="39"/>
      <c r="B549" s="145"/>
      <c r="C549" s="39"/>
      <c r="D549" s="39"/>
      <c r="E549" s="39"/>
      <c r="F549" s="146"/>
      <c r="G549" s="39"/>
      <c r="H549" s="39"/>
      <c r="I549" s="39"/>
      <c r="J549" s="39"/>
      <c r="K549" s="39"/>
    </row>
    <row r="550">
      <c r="A550" s="39"/>
      <c r="B550" s="145"/>
      <c r="C550" s="39"/>
      <c r="D550" s="39"/>
      <c r="E550" s="39"/>
      <c r="F550" s="146"/>
      <c r="G550" s="39"/>
      <c r="H550" s="39"/>
      <c r="I550" s="39"/>
      <c r="J550" s="39"/>
      <c r="K550" s="39"/>
    </row>
    <row r="551">
      <c r="A551" s="39"/>
      <c r="B551" s="145"/>
      <c r="C551" s="39"/>
      <c r="D551" s="39"/>
      <c r="E551" s="39"/>
      <c r="F551" s="146"/>
      <c r="G551" s="39"/>
      <c r="H551" s="39"/>
      <c r="I551" s="39"/>
      <c r="J551" s="39"/>
      <c r="K551" s="39"/>
    </row>
    <row r="552">
      <c r="A552" s="39"/>
      <c r="B552" s="145"/>
      <c r="C552" s="39"/>
      <c r="D552" s="39"/>
      <c r="E552" s="39"/>
      <c r="F552" s="146"/>
      <c r="G552" s="39"/>
      <c r="H552" s="39"/>
      <c r="I552" s="39"/>
      <c r="J552" s="39"/>
      <c r="K552" s="39"/>
    </row>
    <row r="553">
      <c r="A553" s="39"/>
      <c r="B553" s="145"/>
      <c r="C553" s="39"/>
      <c r="D553" s="39"/>
      <c r="E553" s="39"/>
      <c r="F553" s="146"/>
      <c r="G553" s="39"/>
      <c r="H553" s="39"/>
      <c r="I553" s="39"/>
      <c r="J553" s="39"/>
      <c r="K553" s="39"/>
    </row>
    <row r="554">
      <c r="A554" s="39"/>
      <c r="B554" s="145"/>
      <c r="C554" s="39"/>
      <c r="D554" s="39"/>
      <c r="E554" s="39"/>
      <c r="F554" s="146"/>
      <c r="G554" s="39"/>
      <c r="H554" s="39"/>
      <c r="I554" s="39"/>
      <c r="J554" s="39"/>
      <c r="K554" s="39"/>
    </row>
    <row r="555">
      <c r="A555" s="39"/>
      <c r="B555" s="145"/>
      <c r="C555" s="39"/>
      <c r="D555" s="39"/>
      <c r="E555" s="39"/>
      <c r="F555" s="146"/>
      <c r="G555" s="39"/>
      <c r="H555" s="39"/>
      <c r="I555" s="39"/>
      <c r="J555" s="39"/>
      <c r="K555" s="39"/>
    </row>
    <row r="556">
      <c r="A556" s="39"/>
      <c r="B556" s="145"/>
      <c r="C556" s="39"/>
      <c r="D556" s="39"/>
      <c r="E556" s="39"/>
      <c r="F556" s="146"/>
      <c r="G556" s="39"/>
      <c r="H556" s="39"/>
      <c r="I556" s="39"/>
      <c r="J556" s="39"/>
      <c r="K556" s="39"/>
    </row>
    <row r="557">
      <c r="A557" s="39"/>
      <c r="B557" s="145"/>
      <c r="C557" s="39"/>
      <c r="D557" s="39"/>
      <c r="E557" s="39"/>
      <c r="F557" s="146"/>
      <c r="G557" s="39"/>
      <c r="H557" s="39"/>
      <c r="I557" s="39"/>
      <c r="J557" s="39"/>
      <c r="K557" s="39"/>
    </row>
    <row r="558">
      <c r="A558" s="39"/>
      <c r="B558" s="145"/>
      <c r="C558" s="39"/>
      <c r="D558" s="39"/>
      <c r="E558" s="39"/>
      <c r="F558" s="146"/>
      <c r="G558" s="39"/>
      <c r="H558" s="39"/>
      <c r="I558" s="39"/>
      <c r="J558" s="39"/>
      <c r="K558" s="39"/>
    </row>
    <row r="559">
      <c r="A559" s="39"/>
      <c r="B559" s="145"/>
      <c r="C559" s="39"/>
      <c r="D559" s="39"/>
      <c r="E559" s="39"/>
      <c r="F559" s="146"/>
      <c r="G559" s="39"/>
      <c r="H559" s="39"/>
      <c r="I559" s="39"/>
      <c r="J559" s="39"/>
      <c r="K559" s="39"/>
    </row>
    <row r="560">
      <c r="A560" s="39"/>
      <c r="B560" s="145"/>
      <c r="C560" s="39"/>
      <c r="D560" s="39"/>
      <c r="E560" s="39"/>
      <c r="F560" s="146"/>
      <c r="G560" s="39"/>
      <c r="H560" s="39"/>
      <c r="I560" s="39"/>
      <c r="J560" s="39"/>
      <c r="K560" s="39"/>
    </row>
    <row r="561">
      <c r="A561" s="39"/>
      <c r="B561" s="145"/>
      <c r="C561" s="39"/>
      <c r="D561" s="39"/>
      <c r="E561" s="39"/>
      <c r="F561" s="146"/>
      <c r="G561" s="39"/>
      <c r="H561" s="39"/>
      <c r="I561" s="39"/>
      <c r="J561" s="39"/>
      <c r="K561" s="39"/>
    </row>
    <row r="562">
      <c r="A562" s="39"/>
      <c r="B562" s="145"/>
      <c r="C562" s="39"/>
      <c r="D562" s="39"/>
      <c r="E562" s="39"/>
      <c r="F562" s="146"/>
      <c r="G562" s="39"/>
      <c r="H562" s="39"/>
      <c r="I562" s="39"/>
      <c r="J562" s="39"/>
      <c r="K562" s="39"/>
    </row>
    <row r="563">
      <c r="A563" s="39"/>
      <c r="B563" s="145"/>
      <c r="C563" s="39"/>
      <c r="D563" s="39"/>
      <c r="E563" s="39"/>
      <c r="F563" s="146"/>
      <c r="G563" s="39"/>
      <c r="H563" s="39"/>
      <c r="I563" s="39"/>
      <c r="J563" s="39"/>
      <c r="K563" s="39"/>
    </row>
    <row r="564">
      <c r="A564" s="39"/>
      <c r="B564" s="145"/>
      <c r="C564" s="39"/>
      <c r="D564" s="39"/>
      <c r="E564" s="39"/>
      <c r="F564" s="146"/>
      <c r="G564" s="39"/>
      <c r="H564" s="39"/>
      <c r="I564" s="39"/>
      <c r="J564" s="39"/>
      <c r="K564" s="39"/>
    </row>
    <row r="565">
      <c r="A565" s="39"/>
      <c r="B565" s="145"/>
      <c r="C565" s="39"/>
      <c r="D565" s="39"/>
      <c r="E565" s="39"/>
      <c r="F565" s="146"/>
      <c r="G565" s="39"/>
      <c r="H565" s="39"/>
      <c r="I565" s="39"/>
      <c r="J565" s="39"/>
      <c r="K565" s="39"/>
    </row>
    <row r="566">
      <c r="A566" s="39"/>
      <c r="B566" s="145"/>
      <c r="C566" s="39"/>
      <c r="D566" s="39"/>
      <c r="E566" s="39"/>
      <c r="F566" s="146"/>
      <c r="G566" s="39"/>
      <c r="H566" s="39"/>
      <c r="I566" s="39"/>
      <c r="J566" s="39"/>
      <c r="K566" s="39"/>
    </row>
    <row r="567">
      <c r="A567" s="39"/>
      <c r="B567" s="145"/>
      <c r="C567" s="39"/>
      <c r="D567" s="39"/>
      <c r="E567" s="39"/>
      <c r="F567" s="146"/>
      <c r="G567" s="39"/>
      <c r="H567" s="39"/>
      <c r="I567" s="39"/>
      <c r="J567" s="39"/>
      <c r="K567" s="39"/>
    </row>
    <row r="568">
      <c r="A568" s="39"/>
      <c r="B568" s="145"/>
      <c r="C568" s="39"/>
      <c r="D568" s="39"/>
      <c r="E568" s="39"/>
      <c r="F568" s="146"/>
      <c r="G568" s="39"/>
      <c r="H568" s="39"/>
      <c r="I568" s="39"/>
      <c r="J568" s="39"/>
      <c r="K568" s="39"/>
    </row>
    <row r="569">
      <c r="A569" s="39"/>
      <c r="B569" s="145"/>
      <c r="C569" s="39"/>
      <c r="D569" s="39"/>
      <c r="E569" s="39"/>
      <c r="F569" s="146"/>
      <c r="G569" s="39"/>
      <c r="H569" s="39"/>
      <c r="I569" s="39"/>
      <c r="J569" s="39"/>
      <c r="K569" s="39"/>
    </row>
    <row r="570">
      <c r="A570" s="39"/>
      <c r="B570" s="145"/>
      <c r="C570" s="39"/>
      <c r="D570" s="39"/>
      <c r="E570" s="39"/>
      <c r="F570" s="146"/>
      <c r="G570" s="39"/>
      <c r="H570" s="39"/>
      <c r="I570" s="39"/>
      <c r="J570" s="39"/>
      <c r="K570" s="39"/>
    </row>
    <row r="571">
      <c r="A571" s="39"/>
      <c r="B571" s="145"/>
      <c r="C571" s="39"/>
      <c r="D571" s="39"/>
      <c r="E571" s="39"/>
      <c r="F571" s="146"/>
      <c r="G571" s="39"/>
      <c r="H571" s="39"/>
      <c r="I571" s="39"/>
      <c r="J571" s="39"/>
      <c r="K571" s="39"/>
    </row>
    <row r="572">
      <c r="A572" s="39"/>
      <c r="B572" s="145"/>
      <c r="C572" s="39"/>
      <c r="D572" s="39"/>
      <c r="E572" s="39"/>
      <c r="F572" s="146"/>
      <c r="G572" s="39"/>
      <c r="H572" s="39"/>
      <c r="I572" s="39"/>
      <c r="J572" s="39"/>
      <c r="K572" s="39"/>
    </row>
    <row r="573">
      <c r="A573" s="39"/>
      <c r="B573" s="145"/>
      <c r="C573" s="39"/>
      <c r="D573" s="39"/>
      <c r="E573" s="39"/>
      <c r="F573" s="146"/>
      <c r="G573" s="39"/>
      <c r="H573" s="39"/>
      <c r="I573" s="39"/>
      <c r="J573" s="39"/>
      <c r="K573" s="39"/>
    </row>
    <row r="574">
      <c r="A574" s="39"/>
      <c r="B574" s="145"/>
      <c r="C574" s="39"/>
      <c r="D574" s="39"/>
      <c r="E574" s="39"/>
      <c r="F574" s="146"/>
      <c r="G574" s="39"/>
      <c r="H574" s="39"/>
      <c r="I574" s="39"/>
      <c r="J574" s="39"/>
      <c r="K574" s="39"/>
    </row>
    <row r="575">
      <c r="A575" s="39"/>
      <c r="B575" s="145"/>
      <c r="C575" s="39"/>
      <c r="D575" s="39"/>
      <c r="E575" s="39"/>
      <c r="F575" s="146"/>
      <c r="G575" s="39"/>
      <c r="H575" s="39"/>
      <c r="I575" s="39"/>
      <c r="J575" s="39"/>
      <c r="K575" s="39"/>
    </row>
    <row r="576">
      <c r="A576" s="39"/>
      <c r="B576" s="145"/>
      <c r="C576" s="39"/>
      <c r="D576" s="39"/>
      <c r="E576" s="39"/>
      <c r="F576" s="146"/>
      <c r="G576" s="39"/>
      <c r="H576" s="39"/>
      <c r="I576" s="39"/>
      <c r="J576" s="39"/>
      <c r="K576" s="39"/>
    </row>
    <row r="577">
      <c r="A577" s="39"/>
      <c r="B577" s="145"/>
      <c r="C577" s="39"/>
      <c r="D577" s="39"/>
      <c r="E577" s="39"/>
      <c r="F577" s="146"/>
      <c r="G577" s="39"/>
      <c r="H577" s="39"/>
      <c r="I577" s="39"/>
      <c r="J577" s="39"/>
      <c r="K577" s="39"/>
    </row>
    <row r="578">
      <c r="A578" s="39"/>
      <c r="B578" s="145"/>
      <c r="C578" s="39"/>
      <c r="D578" s="39"/>
      <c r="E578" s="39"/>
      <c r="F578" s="146"/>
      <c r="G578" s="39"/>
      <c r="H578" s="39"/>
      <c r="I578" s="39"/>
      <c r="J578" s="39"/>
      <c r="K578" s="39"/>
    </row>
    <row r="579">
      <c r="A579" s="39"/>
      <c r="B579" s="145"/>
      <c r="C579" s="39"/>
      <c r="D579" s="39"/>
      <c r="E579" s="39"/>
      <c r="F579" s="146"/>
      <c r="G579" s="39"/>
      <c r="H579" s="39"/>
      <c r="I579" s="39"/>
      <c r="J579" s="39"/>
      <c r="K579" s="39"/>
    </row>
    <row r="580">
      <c r="A580" s="39"/>
      <c r="B580" s="145"/>
      <c r="C580" s="39"/>
      <c r="D580" s="39"/>
      <c r="E580" s="39"/>
      <c r="F580" s="146"/>
      <c r="G580" s="39"/>
      <c r="H580" s="39"/>
      <c r="I580" s="39"/>
      <c r="J580" s="39"/>
      <c r="K580" s="39"/>
    </row>
    <row r="581">
      <c r="A581" s="39"/>
      <c r="B581" s="145"/>
      <c r="C581" s="39"/>
      <c r="D581" s="39"/>
      <c r="E581" s="39"/>
      <c r="F581" s="146"/>
      <c r="G581" s="39"/>
      <c r="H581" s="39"/>
      <c r="I581" s="39"/>
      <c r="J581" s="39"/>
      <c r="K581" s="39"/>
    </row>
    <row r="582">
      <c r="A582" s="39"/>
      <c r="B582" s="145"/>
      <c r="C582" s="39"/>
      <c r="D582" s="39"/>
      <c r="E582" s="39"/>
      <c r="F582" s="146"/>
      <c r="G582" s="39"/>
      <c r="H582" s="39"/>
      <c r="I582" s="39"/>
      <c r="J582" s="39"/>
      <c r="K582" s="39"/>
    </row>
    <row r="583">
      <c r="A583" s="39"/>
      <c r="B583" s="145"/>
      <c r="C583" s="39"/>
      <c r="D583" s="39"/>
      <c r="E583" s="39"/>
      <c r="F583" s="146"/>
      <c r="G583" s="39"/>
      <c r="H583" s="39"/>
      <c r="I583" s="39"/>
      <c r="J583" s="39"/>
      <c r="K583" s="39"/>
    </row>
    <row r="584">
      <c r="A584" s="39"/>
      <c r="B584" s="145"/>
      <c r="C584" s="39"/>
      <c r="D584" s="39"/>
      <c r="E584" s="39"/>
      <c r="F584" s="146"/>
      <c r="G584" s="39"/>
      <c r="H584" s="39"/>
      <c r="I584" s="39"/>
      <c r="J584" s="39"/>
      <c r="K584" s="39"/>
    </row>
    <row r="585">
      <c r="A585" s="39"/>
      <c r="B585" s="145"/>
      <c r="C585" s="39"/>
      <c r="D585" s="39"/>
      <c r="E585" s="39"/>
      <c r="F585" s="146"/>
      <c r="G585" s="39"/>
      <c r="H585" s="39"/>
      <c r="I585" s="39"/>
      <c r="J585" s="39"/>
      <c r="K585" s="39"/>
    </row>
    <row r="586">
      <c r="A586" s="39"/>
      <c r="B586" s="145"/>
      <c r="C586" s="39"/>
      <c r="D586" s="39"/>
      <c r="E586" s="39"/>
      <c r="F586" s="146"/>
      <c r="G586" s="39"/>
      <c r="H586" s="39"/>
      <c r="I586" s="39"/>
      <c r="J586" s="39"/>
      <c r="K586" s="39"/>
    </row>
    <row r="587">
      <c r="A587" s="39"/>
      <c r="B587" s="145"/>
      <c r="C587" s="39"/>
      <c r="D587" s="39"/>
      <c r="E587" s="39"/>
      <c r="F587" s="146"/>
      <c r="G587" s="39"/>
      <c r="H587" s="39"/>
      <c r="I587" s="39"/>
      <c r="J587" s="39"/>
      <c r="K587" s="39"/>
    </row>
    <row r="588">
      <c r="A588" s="39"/>
      <c r="B588" s="145"/>
      <c r="C588" s="39"/>
      <c r="D588" s="39"/>
      <c r="E588" s="39"/>
      <c r="F588" s="146"/>
      <c r="G588" s="39"/>
      <c r="H588" s="39"/>
      <c r="I588" s="39"/>
      <c r="J588" s="39"/>
      <c r="K588" s="39"/>
    </row>
    <row r="589">
      <c r="A589" s="39"/>
      <c r="B589" s="145"/>
      <c r="C589" s="39"/>
      <c r="D589" s="39"/>
      <c r="E589" s="39"/>
      <c r="F589" s="146"/>
      <c r="G589" s="39"/>
      <c r="H589" s="39"/>
      <c r="I589" s="39"/>
      <c r="J589" s="39"/>
      <c r="K589" s="39"/>
    </row>
    <row r="590">
      <c r="A590" s="39"/>
      <c r="B590" s="145"/>
      <c r="C590" s="39"/>
      <c r="D590" s="39"/>
      <c r="E590" s="39"/>
      <c r="F590" s="146"/>
      <c r="G590" s="39"/>
      <c r="H590" s="39"/>
      <c r="I590" s="39"/>
      <c r="J590" s="39"/>
      <c r="K590" s="39"/>
    </row>
    <row r="591">
      <c r="A591" s="39"/>
      <c r="B591" s="145"/>
      <c r="C591" s="39"/>
      <c r="D591" s="39"/>
      <c r="E591" s="39"/>
      <c r="F591" s="146"/>
      <c r="G591" s="39"/>
      <c r="H591" s="39"/>
      <c r="I591" s="39"/>
      <c r="J591" s="39"/>
      <c r="K591" s="39"/>
    </row>
    <row r="592">
      <c r="A592" s="39"/>
      <c r="B592" s="145"/>
      <c r="C592" s="39"/>
      <c r="D592" s="39"/>
      <c r="E592" s="39"/>
      <c r="F592" s="146"/>
      <c r="G592" s="39"/>
      <c r="H592" s="39"/>
      <c r="I592" s="39"/>
      <c r="J592" s="39"/>
      <c r="K592" s="39"/>
    </row>
    <row r="593">
      <c r="A593" s="39"/>
      <c r="B593" s="145"/>
      <c r="C593" s="39"/>
      <c r="D593" s="39"/>
      <c r="E593" s="39"/>
      <c r="F593" s="146"/>
      <c r="G593" s="39"/>
      <c r="H593" s="39"/>
      <c r="I593" s="39"/>
      <c r="J593" s="39"/>
      <c r="K593" s="39"/>
    </row>
    <row r="594">
      <c r="A594" s="39"/>
      <c r="B594" s="145"/>
      <c r="C594" s="39"/>
      <c r="D594" s="39"/>
      <c r="E594" s="39"/>
      <c r="F594" s="146"/>
      <c r="G594" s="39"/>
      <c r="H594" s="39"/>
      <c r="I594" s="39"/>
      <c r="J594" s="39"/>
      <c r="K594" s="39"/>
    </row>
    <row r="595">
      <c r="A595" s="39"/>
      <c r="B595" s="145"/>
      <c r="C595" s="39"/>
      <c r="D595" s="39"/>
      <c r="E595" s="39"/>
      <c r="F595" s="146"/>
      <c r="G595" s="39"/>
      <c r="H595" s="39"/>
      <c r="I595" s="39"/>
      <c r="J595" s="39"/>
      <c r="K595" s="39"/>
    </row>
    <row r="596">
      <c r="A596" s="39"/>
      <c r="B596" s="145"/>
      <c r="C596" s="39"/>
      <c r="D596" s="39"/>
      <c r="E596" s="39"/>
      <c r="F596" s="146"/>
      <c r="G596" s="39"/>
      <c r="H596" s="39"/>
      <c r="I596" s="39"/>
      <c r="J596" s="39"/>
      <c r="K596" s="39"/>
    </row>
    <row r="597">
      <c r="A597" s="39"/>
      <c r="B597" s="145"/>
      <c r="C597" s="39"/>
      <c r="D597" s="39"/>
      <c r="E597" s="39"/>
      <c r="F597" s="146"/>
      <c r="G597" s="39"/>
      <c r="H597" s="39"/>
      <c r="I597" s="39"/>
      <c r="J597" s="39"/>
      <c r="K597" s="39"/>
    </row>
    <row r="598">
      <c r="A598" s="39"/>
      <c r="B598" s="145"/>
      <c r="C598" s="39"/>
      <c r="D598" s="39"/>
      <c r="E598" s="39"/>
      <c r="F598" s="146"/>
      <c r="G598" s="39"/>
      <c r="H598" s="39"/>
      <c r="I598" s="39"/>
      <c r="J598" s="39"/>
      <c r="K598" s="39"/>
    </row>
    <row r="599">
      <c r="A599" s="39"/>
      <c r="B599" s="145"/>
      <c r="C599" s="39"/>
      <c r="D599" s="39"/>
      <c r="E599" s="39"/>
      <c r="F599" s="146"/>
      <c r="G599" s="39"/>
      <c r="H599" s="39"/>
      <c r="I599" s="39"/>
      <c r="J599" s="39"/>
      <c r="K599" s="39"/>
    </row>
    <row r="600">
      <c r="A600" s="39"/>
      <c r="B600" s="145"/>
      <c r="C600" s="39"/>
      <c r="D600" s="39"/>
      <c r="E600" s="39"/>
      <c r="F600" s="146"/>
      <c r="G600" s="39"/>
      <c r="H600" s="39"/>
      <c r="I600" s="39"/>
      <c r="J600" s="39"/>
      <c r="K600" s="39"/>
    </row>
    <row r="601">
      <c r="A601" s="39"/>
      <c r="B601" s="145"/>
      <c r="C601" s="39"/>
      <c r="D601" s="39"/>
      <c r="E601" s="39"/>
      <c r="F601" s="146"/>
      <c r="G601" s="39"/>
      <c r="H601" s="39"/>
      <c r="I601" s="39"/>
      <c r="J601" s="39"/>
      <c r="K601" s="39"/>
    </row>
    <row r="602">
      <c r="A602" s="39"/>
      <c r="B602" s="145"/>
      <c r="C602" s="39"/>
      <c r="D602" s="39"/>
      <c r="E602" s="39"/>
      <c r="F602" s="146"/>
      <c r="G602" s="39"/>
      <c r="H602" s="39"/>
      <c r="I602" s="39"/>
      <c r="J602" s="39"/>
      <c r="K602" s="39"/>
    </row>
    <row r="603">
      <c r="A603" s="39"/>
      <c r="B603" s="145"/>
      <c r="C603" s="39"/>
      <c r="D603" s="39"/>
      <c r="E603" s="39"/>
      <c r="F603" s="146"/>
      <c r="G603" s="39"/>
      <c r="H603" s="39"/>
      <c r="I603" s="39"/>
      <c r="J603" s="39"/>
      <c r="K603" s="39"/>
    </row>
    <row r="604">
      <c r="A604" s="39"/>
      <c r="B604" s="145"/>
      <c r="C604" s="39"/>
      <c r="D604" s="39"/>
      <c r="E604" s="39"/>
      <c r="F604" s="146"/>
      <c r="G604" s="39"/>
      <c r="H604" s="39"/>
      <c r="I604" s="39"/>
      <c r="J604" s="39"/>
      <c r="K604" s="39"/>
    </row>
    <row r="605">
      <c r="A605" s="39"/>
      <c r="B605" s="145"/>
      <c r="C605" s="39"/>
      <c r="D605" s="39"/>
      <c r="E605" s="39"/>
      <c r="F605" s="146"/>
      <c r="G605" s="39"/>
      <c r="H605" s="39"/>
      <c r="I605" s="39"/>
      <c r="J605" s="39"/>
      <c r="K605" s="39"/>
    </row>
    <row r="606">
      <c r="A606" s="39"/>
      <c r="B606" s="145"/>
      <c r="C606" s="39"/>
      <c r="D606" s="39"/>
      <c r="E606" s="39"/>
      <c r="F606" s="146"/>
      <c r="G606" s="39"/>
      <c r="H606" s="39"/>
      <c r="I606" s="39"/>
      <c r="J606" s="39"/>
      <c r="K606" s="39"/>
    </row>
    <row r="607">
      <c r="A607" s="39"/>
      <c r="B607" s="145"/>
      <c r="C607" s="39"/>
      <c r="D607" s="39"/>
      <c r="E607" s="39"/>
      <c r="F607" s="146"/>
      <c r="G607" s="39"/>
      <c r="H607" s="39"/>
      <c r="I607" s="39"/>
      <c r="J607" s="39"/>
      <c r="K607" s="39"/>
    </row>
    <row r="608">
      <c r="A608" s="39"/>
      <c r="B608" s="145"/>
      <c r="C608" s="39"/>
      <c r="D608" s="39"/>
      <c r="E608" s="39"/>
      <c r="F608" s="146"/>
      <c r="G608" s="39"/>
      <c r="H608" s="39"/>
      <c r="I608" s="39"/>
      <c r="J608" s="39"/>
      <c r="K608" s="39"/>
    </row>
    <row r="609">
      <c r="A609" s="39"/>
      <c r="B609" s="145"/>
      <c r="C609" s="39"/>
      <c r="D609" s="39"/>
      <c r="E609" s="39"/>
      <c r="F609" s="146"/>
      <c r="G609" s="39"/>
      <c r="H609" s="39"/>
      <c r="I609" s="39"/>
      <c r="J609" s="39"/>
      <c r="K609" s="39"/>
    </row>
    <row r="610">
      <c r="A610" s="39"/>
      <c r="B610" s="145"/>
      <c r="C610" s="39"/>
      <c r="D610" s="39"/>
      <c r="E610" s="39"/>
      <c r="F610" s="146"/>
      <c r="G610" s="39"/>
      <c r="H610" s="39"/>
      <c r="I610" s="39"/>
      <c r="J610" s="39"/>
      <c r="K610" s="39"/>
    </row>
    <row r="611">
      <c r="A611" s="39"/>
      <c r="B611" s="145"/>
      <c r="C611" s="39"/>
      <c r="D611" s="39"/>
      <c r="E611" s="39"/>
      <c r="F611" s="146"/>
      <c r="G611" s="39"/>
      <c r="H611" s="39"/>
      <c r="I611" s="39"/>
      <c r="J611" s="39"/>
      <c r="K611" s="39"/>
    </row>
    <row r="612">
      <c r="A612" s="39"/>
      <c r="B612" s="145"/>
      <c r="C612" s="39"/>
      <c r="D612" s="39"/>
      <c r="E612" s="39"/>
      <c r="F612" s="146"/>
      <c r="G612" s="39"/>
      <c r="H612" s="39"/>
      <c r="I612" s="39"/>
      <c r="J612" s="39"/>
      <c r="K612" s="39"/>
    </row>
    <row r="613">
      <c r="A613" s="39"/>
      <c r="B613" s="145"/>
      <c r="C613" s="39"/>
      <c r="D613" s="39"/>
      <c r="E613" s="39"/>
      <c r="F613" s="146"/>
      <c r="G613" s="39"/>
      <c r="H613" s="39"/>
      <c r="I613" s="39"/>
      <c r="J613" s="39"/>
      <c r="K613" s="39"/>
    </row>
    <row r="614">
      <c r="A614" s="39"/>
      <c r="B614" s="145"/>
      <c r="C614" s="39"/>
      <c r="D614" s="39"/>
      <c r="E614" s="39"/>
      <c r="F614" s="146"/>
      <c r="G614" s="39"/>
      <c r="H614" s="39"/>
      <c r="I614" s="39"/>
      <c r="J614" s="39"/>
      <c r="K614" s="39"/>
    </row>
    <row r="615">
      <c r="A615" s="39"/>
      <c r="B615" s="145"/>
      <c r="C615" s="39"/>
      <c r="D615" s="39"/>
      <c r="E615" s="39"/>
      <c r="F615" s="146"/>
      <c r="G615" s="39"/>
      <c r="H615" s="39"/>
      <c r="I615" s="39"/>
      <c r="J615" s="39"/>
      <c r="K615" s="39"/>
    </row>
    <row r="616">
      <c r="A616" s="39"/>
      <c r="B616" s="145"/>
      <c r="C616" s="39"/>
      <c r="D616" s="39"/>
      <c r="E616" s="39"/>
      <c r="F616" s="146"/>
      <c r="G616" s="39"/>
      <c r="H616" s="39"/>
      <c r="I616" s="39"/>
      <c r="J616" s="39"/>
      <c r="K616" s="39"/>
    </row>
    <row r="617">
      <c r="A617" s="39"/>
      <c r="B617" s="145"/>
      <c r="C617" s="39"/>
      <c r="D617" s="39"/>
      <c r="E617" s="39"/>
      <c r="F617" s="146"/>
      <c r="G617" s="39"/>
      <c r="H617" s="39"/>
      <c r="I617" s="39"/>
      <c r="J617" s="39"/>
      <c r="K617" s="39"/>
    </row>
    <row r="618">
      <c r="A618" s="39"/>
      <c r="B618" s="145"/>
      <c r="C618" s="39"/>
      <c r="D618" s="39"/>
      <c r="E618" s="39"/>
      <c r="F618" s="146"/>
      <c r="G618" s="39"/>
      <c r="H618" s="39"/>
      <c r="I618" s="39"/>
      <c r="J618" s="39"/>
      <c r="K618" s="39"/>
    </row>
    <row r="619">
      <c r="A619" s="39"/>
      <c r="B619" s="145"/>
      <c r="C619" s="39"/>
      <c r="D619" s="39"/>
      <c r="E619" s="39"/>
      <c r="F619" s="146"/>
      <c r="G619" s="39"/>
      <c r="H619" s="39"/>
      <c r="I619" s="39"/>
      <c r="J619" s="39"/>
      <c r="K619" s="39"/>
    </row>
    <row r="620">
      <c r="A620" s="39"/>
      <c r="B620" s="145"/>
      <c r="C620" s="39"/>
      <c r="D620" s="39"/>
      <c r="E620" s="39"/>
      <c r="F620" s="146"/>
      <c r="G620" s="39"/>
      <c r="H620" s="39"/>
      <c r="I620" s="39"/>
      <c r="J620" s="39"/>
      <c r="K620" s="39"/>
    </row>
    <row r="621">
      <c r="A621" s="39"/>
      <c r="B621" s="145"/>
      <c r="C621" s="39"/>
      <c r="D621" s="39"/>
      <c r="E621" s="39"/>
      <c r="F621" s="146"/>
      <c r="G621" s="39"/>
      <c r="H621" s="39"/>
      <c r="I621" s="39"/>
      <c r="J621" s="39"/>
      <c r="K621" s="39"/>
    </row>
    <row r="622">
      <c r="A622" s="39"/>
      <c r="B622" s="145"/>
      <c r="C622" s="39"/>
      <c r="D622" s="39"/>
      <c r="E622" s="39"/>
      <c r="F622" s="146"/>
      <c r="G622" s="39"/>
      <c r="H622" s="39"/>
      <c r="I622" s="39"/>
      <c r="J622" s="39"/>
      <c r="K622" s="39"/>
    </row>
    <row r="623">
      <c r="A623" s="39"/>
      <c r="B623" s="145"/>
      <c r="C623" s="39"/>
      <c r="D623" s="39"/>
      <c r="E623" s="39"/>
      <c r="F623" s="146"/>
      <c r="G623" s="39"/>
      <c r="H623" s="39"/>
      <c r="I623" s="39"/>
      <c r="J623" s="39"/>
      <c r="K623" s="39"/>
    </row>
    <row r="624">
      <c r="A624" s="39"/>
      <c r="B624" s="145"/>
      <c r="C624" s="39"/>
      <c r="D624" s="39"/>
      <c r="E624" s="39"/>
      <c r="F624" s="146"/>
      <c r="G624" s="39"/>
      <c r="H624" s="39"/>
      <c r="I624" s="39"/>
      <c r="J624" s="39"/>
      <c r="K624" s="39"/>
    </row>
    <row r="625">
      <c r="A625" s="39"/>
      <c r="B625" s="145"/>
      <c r="C625" s="39"/>
      <c r="D625" s="39"/>
      <c r="E625" s="39"/>
      <c r="F625" s="146"/>
      <c r="G625" s="39"/>
      <c r="H625" s="39"/>
      <c r="I625" s="39"/>
      <c r="J625" s="39"/>
      <c r="K625" s="39"/>
    </row>
    <row r="626">
      <c r="A626" s="39"/>
      <c r="B626" s="145"/>
      <c r="C626" s="39"/>
      <c r="D626" s="39"/>
      <c r="E626" s="39"/>
      <c r="F626" s="146"/>
      <c r="G626" s="39"/>
      <c r="H626" s="39"/>
      <c r="I626" s="39"/>
      <c r="J626" s="39"/>
      <c r="K626" s="39"/>
    </row>
    <row r="627">
      <c r="A627" s="39"/>
      <c r="B627" s="145"/>
      <c r="C627" s="39"/>
      <c r="D627" s="39"/>
      <c r="E627" s="39"/>
      <c r="F627" s="146"/>
      <c r="G627" s="39"/>
      <c r="H627" s="39"/>
      <c r="I627" s="39"/>
      <c r="J627" s="39"/>
      <c r="K627" s="39"/>
    </row>
    <row r="628">
      <c r="A628" s="39"/>
      <c r="B628" s="145"/>
      <c r="C628" s="39"/>
      <c r="D628" s="39"/>
      <c r="E628" s="39"/>
      <c r="F628" s="146"/>
      <c r="G628" s="39"/>
      <c r="H628" s="39"/>
      <c r="I628" s="39"/>
      <c r="J628" s="39"/>
      <c r="K628" s="39"/>
    </row>
    <row r="629">
      <c r="A629" s="39"/>
      <c r="B629" s="145"/>
      <c r="C629" s="39"/>
      <c r="D629" s="39"/>
      <c r="E629" s="39"/>
      <c r="F629" s="146"/>
      <c r="G629" s="39"/>
      <c r="H629" s="39"/>
      <c r="I629" s="39"/>
      <c r="J629" s="39"/>
      <c r="K629" s="39"/>
    </row>
    <row r="630">
      <c r="A630" s="39"/>
      <c r="B630" s="145"/>
      <c r="C630" s="39"/>
      <c r="D630" s="39"/>
      <c r="E630" s="39"/>
      <c r="F630" s="146"/>
      <c r="G630" s="39"/>
      <c r="H630" s="39"/>
      <c r="I630" s="39"/>
      <c r="J630" s="39"/>
      <c r="K630" s="39"/>
    </row>
    <row r="631">
      <c r="A631" s="39"/>
      <c r="B631" s="145"/>
      <c r="C631" s="39"/>
      <c r="D631" s="39"/>
      <c r="E631" s="39"/>
      <c r="F631" s="146"/>
      <c r="G631" s="39"/>
      <c r="H631" s="39"/>
      <c r="I631" s="39"/>
      <c r="J631" s="39"/>
      <c r="K631" s="39"/>
    </row>
    <row r="632">
      <c r="A632" s="39"/>
      <c r="B632" s="145"/>
      <c r="C632" s="39"/>
      <c r="D632" s="39"/>
      <c r="E632" s="39"/>
      <c r="F632" s="146"/>
      <c r="G632" s="39"/>
      <c r="H632" s="39"/>
      <c r="I632" s="39"/>
      <c r="J632" s="39"/>
      <c r="K632" s="39"/>
    </row>
    <row r="633">
      <c r="A633" s="39"/>
      <c r="B633" s="145"/>
      <c r="C633" s="39"/>
      <c r="D633" s="39"/>
      <c r="E633" s="39"/>
      <c r="F633" s="146"/>
      <c r="G633" s="39"/>
      <c r="H633" s="39"/>
      <c r="I633" s="39"/>
      <c r="J633" s="39"/>
      <c r="K633" s="39"/>
    </row>
    <row r="634">
      <c r="A634" s="39"/>
      <c r="B634" s="145"/>
      <c r="C634" s="39"/>
      <c r="D634" s="39"/>
      <c r="E634" s="39"/>
      <c r="F634" s="146"/>
      <c r="G634" s="39"/>
      <c r="H634" s="39"/>
      <c r="I634" s="39"/>
      <c r="J634" s="39"/>
      <c r="K634" s="39"/>
    </row>
    <row r="635">
      <c r="A635" s="39"/>
      <c r="B635" s="145"/>
      <c r="C635" s="39"/>
      <c r="D635" s="39"/>
      <c r="E635" s="39"/>
      <c r="F635" s="146"/>
      <c r="G635" s="39"/>
      <c r="H635" s="39"/>
      <c r="I635" s="39"/>
      <c r="J635" s="39"/>
      <c r="K635" s="39"/>
    </row>
    <row r="636">
      <c r="A636" s="39"/>
      <c r="B636" s="145"/>
      <c r="C636" s="39"/>
      <c r="D636" s="39"/>
      <c r="E636" s="39"/>
      <c r="F636" s="146"/>
      <c r="G636" s="39"/>
      <c r="H636" s="39"/>
      <c r="I636" s="39"/>
      <c r="J636" s="39"/>
      <c r="K636" s="39"/>
    </row>
    <row r="637">
      <c r="A637" s="39"/>
      <c r="B637" s="145"/>
      <c r="C637" s="39"/>
      <c r="D637" s="39"/>
      <c r="E637" s="39"/>
      <c r="F637" s="146"/>
      <c r="G637" s="39"/>
      <c r="H637" s="39"/>
      <c r="I637" s="39"/>
      <c r="J637" s="39"/>
      <c r="K637" s="39"/>
    </row>
    <row r="638">
      <c r="A638" s="39"/>
      <c r="B638" s="145"/>
      <c r="C638" s="39"/>
      <c r="D638" s="39"/>
      <c r="E638" s="39"/>
      <c r="F638" s="146"/>
      <c r="G638" s="39"/>
      <c r="H638" s="39"/>
      <c r="I638" s="39"/>
      <c r="J638" s="39"/>
      <c r="K638" s="39"/>
    </row>
    <row r="639">
      <c r="A639" s="39"/>
      <c r="B639" s="145"/>
      <c r="C639" s="39"/>
      <c r="D639" s="39"/>
      <c r="E639" s="39"/>
      <c r="F639" s="146"/>
      <c r="G639" s="39"/>
      <c r="H639" s="39"/>
      <c r="I639" s="39"/>
      <c r="J639" s="39"/>
      <c r="K639" s="39"/>
    </row>
    <row r="640">
      <c r="A640" s="39"/>
      <c r="B640" s="145"/>
      <c r="C640" s="39"/>
      <c r="D640" s="39"/>
      <c r="E640" s="39"/>
      <c r="F640" s="146"/>
      <c r="G640" s="39"/>
      <c r="H640" s="39"/>
      <c r="I640" s="39"/>
      <c r="J640" s="39"/>
      <c r="K640" s="39"/>
    </row>
    <row r="641">
      <c r="A641" s="39"/>
      <c r="B641" s="145"/>
      <c r="C641" s="39"/>
      <c r="D641" s="39"/>
      <c r="E641" s="39"/>
      <c r="F641" s="146"/>
      <c r="G641" s="39"/>
      <c r="H641" s="39"/>
      <c r="I641" s="39"/>
      <c r="J641" s="39"/>
      <c r="K641" s="39"/>
    </row>
    <row r="642">
      <c r="A642" s="39"/>
      <c r="B642" s="145"/>
      <c r="C642" s="39"/>
      <c r="D642" s="39"/>
      <c r="E642" s="39"/>
      <c r="F642" s="146"/>
      <c r="G642" s="39"/>
      <c r="H642" s="39"/>
      <c r="I642" s="39"/>
      <c r="J642" s="39"/>
      <c r="K642" s="39"/>
    </row>
    <row r="643">
      <c r="A643" s="39"/>
      <c r="B643" s="145"/>
      <c r="C643" s="39"/>
      <c r="D643" s="39"/>
      <c r="E643" s="39"/>
      <c r="F643" s="146"/>
      <c r="G643" s="39"/>
      <c r="H643" s="39"/>
      <c r="I643" s="39"/>
      <c r="J643" s="39"/>
      <c r="K643" s="39"/>
    </row>
    <row r="644">
      <c r="A644" s="39"/>
      <c r="B644" s="145"/>
      <c r="C644" s="39"/>
      <c r="D644" s="39"/>
      <c r="E644" s="39"/>
      <c r="F644" s="146"/>
      <c r="G644" s="39"/>
      <c r="H644" s="39"/>
      <c r="I644" s="39"/>
      <c r="J644" s="39"/>
      <c r="K644" s="39"/>
    </row>
    <row r="645">
      <c r="A645" s="39"/>
      <c r="B645" s="145"/>
      <c r="C645" s="39"/>
      <c r="D645" s="39"/>
      <c r="E645" s="39"/>
      <c r="F645" s="146"/>
      <c r="G645" s="39"/>
      <c r="H645" s="39"/>
      <c r="I645" s="39"/>
      <c r="J645" s="39"/>
      <c r="K645" s="39"/>
    </row>
    <row r="646">
      <c r="A646" s="39"/>
      <c r="B646" s="145"/>
      <c r="C646" s="39"/>
      <c r="D646" s="39"/>
      <c r="E646" s="39"/>
      <c r="F646" s="146"/>
      <c r="G646" s="39"/>
      <c r="H646" s="39"/>
      <c r="I646" s="39"/>
      <c r="J646" s="39"/>
      <c r="K646" s="39"/>
    </row>
    <row r="647">
      <c r="A647" s="39"/>
      <c r="B647" s="145"/>
      <c r="C647" s="39"/>
      <c r="D647" s="39"/>
      <c r="E647" s="39"/>
      <c r="F647" s="146"/>
      <c r="G647" s="39"/>
      <c r="H647" s="39"/>
      <c r="I647" s="39"/>
      <c r="J647" s="39"/>
      <c r="K647" s="39"/>
    </row>
    <row r="648">
      <c r="A648" s="39"/>
      <c r="B648" s="145"/>
      <c r="C648" s="39"/>
      <c r="D648" s="39"/>
      <c r="E648" s="39"/>
      <c r="F648" s="146"/>
      <c r="G648" s="39"/>
      <c r="H648" s="39"/>
      <c r="I648" s="39"/>
      <c r="J648" s="39"/>
      <c r="K648" s="39"/>
    </row>
    <row r="649">
      <c r="A649" s="39"/>
      <c r="B649" s="145"/>
      <c r="C649" s="39"/>
      <c r="D649" s="39"/>
      <c r="E649" s="39"/>
      <c r="F649" s="146"/>
      <c r="G649" s="39"/>
      <c r="H649" s="39"/>
      <c r="I649" s="39"/>
      <c r="J649" s="39"/>
      <c r="K649" s="39"/>
    </row>
    <row r="650">
      <c r="A650" s="39"/>
      <c r="B650" s="145"/>
      <c r="C650" s="39"/>
      <c r="D650" s="39"/>
      <c r="E650" s="39"/>
      <c r="F650" s="146"/>
      <c r="G650" s="39"/>
      <c r="H650" s="39"/>
      <c r="I650" s="39"/>
      <c r="J650" s="39"/>
      <c r="K650" s="39"/>
    </row>
    <row r="651">
      <c r="A651" s="39"/>
      <c r="B651" s="145"/>
      <c r="C651" s="39"/>
      <c r="D651" s="39"/>
      <c r="E651" s="39"/>
      <c r="F651" s="146"/>
      <c r="G651" s="39"/>
      <c r="H651" s="39"/>
      <c r="I651" s="39"/>
      <c r="J651" s="39"/>
      <c r="K651" s="39"/>
    </row>
    <row r="652">
      <c r="A652" s="39"/>
      <c r="B652" s="145"/>
      <c r="C652" s="39"/>
      <c r="D652" s="39"/>
      <c r="E652" s="39"/>
      <c r="F652" s="146"/>
      <c r="G652" s="39"/>
      <c r="H652" s="39"/>
      <c r="I652" s="39"/>
      <c r="J652" s="39"/>
      <c r="K652" s="39"/>
    </row>
    <row r="653">
      <c r="A653" s="39"/>
      <c r="B653" s="145"/>
      <c r="C653" s="39"/>
      <c r="D653" s="39"/>
      <c r="E653" s="39"/>
      <c r="F653" s="146"/>
      <c r="G653" s="39"/>
      <c r="H653" s="39"/>
      <c r="I653" s="39"/>
      <c r="J653" s="39"/>
      <c r="K653" s="39"/>
    </row>
    <row r="654">
      <c r="A654" s="39"/>
      <c r="B654" s="145"/>
      <c r="C654" s="39"/>
      <c r="D654" s="39"/>
      <c r="E654" s="39"/>
      <c r="F654" s="146"/>
      <c r="G654" s="39"/>
      <c r="H654" s="39"/>
      <c r="I654" s="39"/>
      <c r="J654" s="39"/>
      <c r="K654" s="39"/>
    </row>
    <row r="655">
      <c r="A655" s="39"/>
      <c r="B655" s="145"/>
      <c r="C655" s="39"/>
      <c r="D655" s="39"/>
      <c r="E655" s="39"/>
      <c r="F655" s="146"/>
      <c r="G655" s="39"/>
      <c r="H655" s="39"/>
      <c r="I655" s="39"/>
      <c r="J655" s="39"/>
      <c r="K655" s="39"/>
    </row>
    <row r="656">
      <c r="A656" s="39"/>
      <c r="B656" s="145"/>
      <c r="C656" s="39"/>
      <c r="D656" s="39"/>
      <c r="E656" s="39"/>
      <c r="F656" s="146"/>
      <c r="G656" s="39"/>
      <c r="H656" s="39"/>
      <c r="I656" s="39"/>
      <c r="J656" s="39"/>
      <c r="K656" s="39"/>
    </row>
    <row r="657">
      <c r="A657" s="39"/>
      <c r="B657" s="145"/>
      <c r="C657" s="39"/>
      <c r="D657" s="39"/>
      <c r="E657" s="39"/>
      <c r="F657" s="146"/>
      <c r="G657" s="39"/>
      <c r="H657" s="39"/>
      <c r="I657" s="39"/>
      <c r="J657" s="39"/>
      <c r="K657" s="39"/>
    </row>
    <row r="658">
      <c r="A658" s="39"/>
      <c r="B658" s="145"/>
      <c r="C658" s="39"/>
      <c r="D658" s="39"/>
      <c r="E658" s="39"/>
      <c r="F658" s="146"/>
      <c r="G658" s="39"/>
      <c r="H658" s="39"/>
      <c r="I658" s="39"/>
      <c r="J658" s="39"/>
      <c r="K658" s="39"/>
    </row>
    <row r="659">
      <c r="A659" s="39"/>
      <c r="B659" s="145"/>
      <c r="C659" s="39"/>
      <c r="D659" s="39"/>
      <c r="E659" s="39"/>
      <c r="F659" s="146"/>
      <c r="G659" s="39"/>
      <c r="H659" s="39"/>
      <c r="I659" s="39"/>
      <c r="J659" s="39"/>
      <c r="K659" s="39"/>
    </row>
    <row r="660">
      <c r="A660" s="39"/>
      <c r="B660" s="145"/>
      <c r="C660" s="39"/>
      <c r="D660" s="39"/>
      <c r="E660" s="39"/>
      <c r="F660" s="146"/>
      <c r="G660" s="39"/>
      <c r="H660" s="39"/>
      <c r="I660" s="39"/>
      <c r="J660" s="39"/>
      <c r="K660" s="39"/>
    </row>
    <row r="661">
      <c r="A661" s="39"/>
      <c r="B661" s="145"/>
      <c r="C661" s="39"/>
      <c r="D661" s="39"/>
      <c r="E661" s="39"/>
      <c r="F661" s="146"/>
      <c r="G661" s="39"/>
      <c r="H661" s="39"/>
      <c r="I661" s="39"/>
      <c r="J661" s="39"/>
      <c r="K661" s="39"/>
    </row>
    <row r="662">
      <c r="A662" s="39"/>
      <c r="B662" s="145"/>
      <c r="C662" s="39"/>
      <c r="D662" s="39"/>
      <c r="E662" s="39"/>
      <c r="F662" s="146"/>
      <c r="G662" s="39"/>
      <c r="H662" s="39"/>
      <c r="I662" s="39"/>
      <c r="J662" s="39"/>
      <c r="K662" s="39"/>
    </row>
    <row r="663">
      <c r="A663" s="39"/>
      <c r="B663" s="145"/>
      <c r="C663" s="39"/>
      <c r="D663" s="39"/>
      <c r="E663" s="39"/>
      <c r="F663" s="146"/>
      <c r="G663" s="39"/>
      <c r="H663" s="39"/>
      <c r="I663" s="39"/>
      <c r="J663" s="39"/>
      <c r="K663" s="39"/>
    </row>
    <row r="664">
      <c r="A664" s="39"/>
      <c r="B664" s="145"/>
      <c r="C664" s="39"/>
      <c r="D664" s="39"/>
      <c r="E664" s="39"/>
      <c r="F664" s="146"/>
      <c r="G664" s="39"/>
      <c r="H664" s="39"/>
      <c r="I664" s="39"/>
      <c r="J664" s="39"/>
      <c r="K664" s="39"/>
    </row>
    <row r="665">
      <c r="A665" s="39"/>
      <c r="B665" s="145"/>
      <c r="C665" s="39"/>
      <c r="D665" s="39"/>
      <c r="E665" s="39"/>
      <c r="F665" s="146"/>
      <c r="G665" s="39"/>
      <c r="H665" s="39"/>
      <c r="I665" s="39"/>
      <c r="J665" s="39"/>
      <c r="K665" s="39"/>
    </row>
    <row r="666">
      <c r="A666" s="39"/>
      <c r="B666" s="145"/>
      <c r="C666" s="39"/>
      <c r="D666" s="39"/>
      <c r="E666" s="39"/>
      <c r="F666" s="146"/>
      <c r="G666" s="39"/>
      <c r="H666" s="39"/>
      <c r="I666" s="39"/>
      <c r="J666" s="39"/>
      <c r="K666" s="39"/>
    </row>
    <row r="667">
      <c r="A667" s="39"/>
      <c r="B667" s="145"/>
      <c r="C667" s="39"/>
      <c r="D667" s="39"/>
      <c r="E667" s="39"/>
      <c r="F667" s="146"/>
      <c r="G667" s="39"/>
      <c r="H667" s="39"/>
      <c r="I667" s="39"/>
      <c r="J667" s="39"/>
      <c r="K667" s="39"/>
    </row>
    <row r="668">
      <c r="A668" s="39"/>
      <c r="B668" s="145"/>
      <c r="C668" s="39"/>
      <c r="D668" s="39"/>
      <c r="E668" s="39"/>
      <c r="F668" s="146"/>
      <c r="G668" s="39"/>
      <c r="H668" s="39"/>
      <c r="I668" s="39"/>
      <c r="J668" s="39"/>
      <c r="K668" s="39"/>
    </row>
    <row r="669">
      <c r="A669" s="39"/>
      <c r="B669" s="145"/>
      <c r="C669" s="39"/>
      <c r="D669" s="39"/>
      <c r="E669" s="39"/>
      <c r="F669" s="146"/>
      <c r="G669" s="39"/>
      <c r="H669" s="39"/>
      <c r="I669" s="39"/>
      <c r="J669" s="39"/>
      <c r="K669" s="39"/>
    </row>
    <row r="670">
      <c r="A670" s="39"/>
      <c r="B670" s="145"/>
      <c r="C670" s="39"/>
      <c r="D670" s="39"/>
      <c r="E670" s="39"/>
      <c r="F670" s="146"/>
      <c r="G670" s="39"/>
      <c r="H670" s="39"/>
      <c r="I670" s="39"/>
      <c r="J670" s="39"/>
      <c r="K670" s="39"/>
    </row>
    <row r="671">
      <c r="A671" s="39"/>
      <c r="B671" s="145"/>
      <c r="C671" s="39"/>
      <c r="D671" s="39"/>
      <c r="E671" s="39"/>
      <c r="F671" s="146"/>
      <c r="G671" s="39"/>
      <c r="H671" s="39"/>
      <c r="I671" s="39"/>
      <c r="J671" s="39"/>
      <c r="K671" s="39"/>
    </row>
    <row r="672">
      <c r="A672" s="39"/>
      <c r="B672" s="145"/>
      <c r="C672" s="39"/>
      <c r="D672" s="39"/>
      <c r="E672" s="39"/>
      <c r="F672" s="146"/>
      <c r="G672" s="39"/>
      <c r="H672" s="39"/>
      <c r="I672" s="39"/>
      <c r="J672" s="39"/>
      <c r="K672" s="39"/>
    </row>
    <row r="673">
      <c r="A673" s="39"/>
      <c r="B673" s="145"/>
      <c r="C673" s="39"/>
      <c r="D673" s="39"/>
      <c r="E673" s="39"/>
      <c r="F673" s="146"/>
      <c r="G673" s="39"/>
      <c r="H673" s="39"/>
      <c r="I673" s="39"/>
      <c r="J673" s="39"/>
      <c r="K673" s="39"/>
    </row>
    <row r="674">
      <c r="A674" s="39"/>
      <c r="B674" s="145"/>
      <c r="C674" s="39"/>
      <c r="D674" s="39"/>
      <c r="E674" s="39"/>
      <c r="F674" s="146"/>
      <c r="G674" s="39"/>
      <c r="H674" s="39"/>
      <c r="I674" s="39"/>
      <c r="J674" s="39"/>
      <c r="K674" s="39"/>
    </row>
    <row r="675">
      <c r="A675" s="39"/>
      <c r="B675" s="145"/>
      <c r="C675" s="39"/>
      <c r="D675" s="39"/>
      <c r="E675" s="39"/>
      <c r="F675" s="146"/>
      <c r="G675" s="39"/>
      <c r="H675" s="39"/>
      <c r="I675" s="39"/>
      <c r="J675" s="39"/>
      <c r="K675" s="39"/>
    </row>
    <row r="676">
      <c r="A676" s="39"/>
      <c r="B676" s="145"/>
      <c r="C676" s="39"/>
      <c r="D676" s="39"/>
      <c r="E676" s="39"/>
      <c r="F676" s="146"/>
      <c r="G676" s="39"/>
      <c r="H676" s="39"/>
      <c r="I676" s="39"/>
      <c r="J676" s="39"/>
      <c r="K676" s="39"/>
    </row>
    <row r="677">
      <c r="A677" s="39"/>
      <c r="B677" s="145"/>
      <c r="C677" s="39"/>
      <c r="D677" s="39"/>
      <c r="E677" s="39"/>
      <c r="F677" s="146"/>
      <c r="G677" s="39"/>
      <c r="H677" s="39"/>
      <c r="I677" s="39"/>
      <c r="J677" s="39"/>
      <c r="K677" s="39"/>
    </row>
    <row r="678">
      <c r="A678" s="39"/>
      <c r="B678" s="145"/>
      <c r="C678" s="39"/>
      <c r="D678" s="39"/>
      <c r="E678" s="39"/>
      <c r="F678" s="146"/>
      <c r="G678" s="39"/>
      <c r="H678" s="39"/>
      <c r="I678" s="39"/>
      <c r="J678" s="39"/>
      <c r="K678" s="39"/>
    </row>
    <row r="679">
      <c r="A679" s="39"/>
      <c r="B679" s="145"/>
      <c r="C679" s="39"/>
      <c r="D679" s="39"/>
      <c r="E679" s="39"/>
      <c r="F679" s="146"/>
      <c r="G679" s="39"/>
      <c r="H679" s="39"/>
      <c r="I679" s="39"/>
      <c r="J679" s="39"/>
      <c r="K679" s="39"/>
    </row>
    <row r="680">
      <c r="A680" s="39"/>
      <c r="B680" s="145"/>
      <c r="C680" s="39"/>
      <c r="D680" s="39"/>
      <c r="E680" s="39"/>
      <c r="F680" s="146"/>
      <c r="G680" s="39"/>
      <c r="H680" s="39"/>
      <c r="I680" s="39"/>
      <c r="J680" s="39"/>
      <c r="K680" s="39"/>
    </row>
    <row r="681">
      <c r="A681" s="39"/>
      <c r="B681" s="145"/>
      <c r="C681" s="39"/>
      <c r="D681" s="39"/>
      <c r="E681" s="39"/>
      <c r="F681" s="146"/>
      <c r="G681" s="39"/>
      <c r="H681" s="39"/>
      <c r="I681" s="39"/>
      <c r="J681" s="39"/>
      <c r="K681" s="39"/>
    </row>
    <row r="682">
      <c r="A682" s="39"/>
      <c r="B682" s="145"/>
      <c r="C682" s="39"/>
      <c r="D682" s="39"/>
      <c r="E682" s="39"/>
      <c r="F682" s="146"/>
      <c r="G682" s="39"/>
      <c r="H682" s="39"/>
      <c r="I682" s="39"/>
      <c r="J682" s="39"/>
      <c r="K682" s="39"/>
    </row>
    <row r="683">
      <c r="A683" s="39"/>
      <c r="B683" s="145"/>
      <c r="C683" s="39"/>
      <c r="D683" s="39"/>
      <c r="E683" s="39"/>
      <c r="F683" s="146"/>
      <c r="G683" s="39"/>
      <c r="H683" s="39"/>
      <c r="I683" s="39"/>
      <c r="J683" s="39"/>
      <c r="K683" s="39"/>
    </row>
    <row r="684">
      <c r="A684" s="39"/>
      <c r="B684" s="145"/>
      <c r="C684" s="39"/>
      <c r="D684" s="39"/>
      <c r="E684" s="39"/>
      <c r="F684" s="146"/>
      <c r="G684" s="39"/>
      <c r="H684" s="39"/>
      <c r="I684" s="39"/>
      <c r="J684" s="39"/>
      <c r="K684" s="39"/>
    </row>
    <row r="685">
      <c r="A685" s="39"/>
      <c r="B685" s="145"/>
      <c r="C685" s="39"/>
      <c r="D685" s="39"/>
      <c r="E685" s="39"/>
      <c r="F685" s="146"/>
      <c r="G685" s="39"/>
      <c r="H685" s="39"/>
      <c r="I685" s="39"/>
      <c r="J685" s="39"/>
      <c r="K685" s="39"/>
    </row>
    <row r="686">
      <c r="A686" s="39"/>
      <c r="B686" s="145"/>
      <c r="C686" s="39"/>
      <c r="D686" s="39"/>
      <c r="E686" s="39"/>
      <c r="F686" s="146"/>
      <c r="G686" s="39"/>
      <c r="H686" s="39"/>
      <c r="I686" s="39"/>
      <c r="J686" s="39"/>
      <c r="K686" s="39"/>
    </row>
    <row r="687">
      <c r="A687" s="39"/>
      <c r="B687" s="145"/>
      <c r="C687" s="39"/>
      <c r="D687" s="39"/>
      <c r="E687" s="39"/>
      <c r="F687" s="146"/>
      <c r="G687" s="39"/>
      <c r="H687" s="39"/>
      <c r="I687" s="39"/>
      <c r="J687" s="39"/>
      <c r="K687" s="39"/>
    </row>
    <row r="688">
      <c r="A688" s="39"/>
      <c r="B688" s="145"/>
      <c r="C688" s="39"/>
      <c r="D688" s="39"/>
      <c r="E688" s="39"/>
      <c r="F688" s="146"/>
      <c r="G688" s="39"/>
      <c r="H688" s="39"/>
      <c r="I688" s="39"/>
      <c r="J688" s="39"/>
      <c r="K688" s="39"/>
    </row>
    <row r="689">
      <c r="A689" s="39"/>
      <c r="B689" s="145"/>
      <c r="C689" s="39"/>
      <c r="D689" s="39"/>
      <c r="E689" s="39"/>
      <c r="F689" s="146"/>
      <c r="G689" s="39"/>
      <c r="H689" s="39"/>
      <c r="I689" s="39"/>
      <c r="J689" s="39"/>
      <c r="K689" s="39"/>
    </row>
    <row r="690">
      <c r="A690" s="39"/>
      <c r="B690" s="145"/>
      <c r="C690" s="39"/>
      <c r="D690" s="39"/>
      <c r="E690" s="39"/>
      <c r="F690" s="146"/>
      <c r="G690" s="39"/>
      <c r="H690" s="39"/>
      <c r="I690" s="39"/>
      <c r="J690" s="39"/>
      <c r="K690" s="39"/>
    </row>
    <row r="691">
      <c r="A691" s="39"/>
      <c r="B691" s="145"/>
      <c r="C691" s="39"/>
      <c r="D691" s="39"/>
      <c r="E691" s="39"/>
      <c r="F691" s="146"/>
      <c r="G691" s="39"/>
      <c r="H691" s="39"/>
      <c r="I691" s="39"/>
      <c r="J691" s="39"/>
      <c r="K691" s="39"/>
    </row>
    <row r="692">
      <c r="A692" s="39"/>
      <c r="B692" s="145"/>
      <c r="C692" s="39"/>
      <c r="D692" s="39"/>
      <c r="E692" s="39"/>
      <c r="F692" s="146"/>
      <c r="G692" s="39"/>
      <c r="H692" s="39"/>
      <c r="I692" s="39"/>
      <c r="J692" s="39"/>
      <c r="K692" s="39"/>
    </row>
    <row r="693">
      <c r="A693" s="39"/>
      <c r="B693" s="145"/>
      <c r="C693" s="39"/>
      <c r="D693" s="39"/>
      <c r="E693" s="39"/>
      <c r="F693" s="146"/>
      <c r="G693" s="39"/>
      <c r="H693" s="39"/>
      <c r="I693" s="39"/>
      <c r="J693" s="39"/>
      <c r="K693" s="39"/>
    </row>
    <row r="694">
      <c r="A694" s="39"/>
      <c r="B694" s="145"/>
      <c r="C694" s="39"/>
      <c r="D694" s="39"/>
      <c r="E694" s="39"/>
      <c r="F694" s="146"/>
      <c r="G694" s="39"/>
      <c r="H694" s="39"/>
      <c r="I694" s="39"/>
      <c r="J694" s="39"/>
      <c r="K694" s="39"/>
    </row>
    <row r="695">
      <c r="A695" s="39"/>
      <c r="B695" s="145"/>
      <c r="C695" s="39"/>
      <c r="D695" s="39"/>
      <c r="E695" s="39"/>
      <c r="F695" s="146"/>
      <c r="G695" s="39"/>
      <c r="H695" s="39"/>
      <c r="I695" s="39"/>
      <c r="J695" s="39"/>
      <c r="K695" s="39"/>
    </row>
    <row r="696">
      <c r="A696" s="39"/>
      <c r="B696" s="145"/>
      <c r="C696" s="39"/>
      <c r="D696" s="39"/>
      <c r="E696" s="39"/>
      <c r="F696" s="146"/>
      <c r="G696" s="39"/>
      <c r="H696" s="39"/>
      <c r="I696" s="39"/>
      <c r="J696" s="39"/>
      <c r="K696" s="39"/>
    </row>
    <row r="697">
      <c r="A697" s="39"/>
      <c r="B697" s="145"/>
      <c r="C697" s="39"/>
      <c r="D697" s="39"/>
      <c r="E697" s="39"/>
      <c r="F697" s="146"/>
      <c r="G697" s="39"/>
      <c r="H697" s="39"/>
      <c r="I697" s="39"/>
      <c r="J697" s="39"/>
      <c r="K697" s="39"/>
    </row>
    <row r="698">
      <c r="A698" s="39"/>
      <c r="B698" s="145"/>
      <c r="C698" s="39"/>
      <c r="D698" s="39"/>
      <c r="E698" s="39"/>
      <c r="F698" s="146"/>
      <c r="G698" s="39"/>
      <c r="H698" s="39"/>
      <c r="I698" s="39"/>
      <c r="J698" s="39"/>
      <c r="K698" s="39"/>
    </row>
    <row r="699">
      <c r="A699" s="39"/>
      <c r="B699" s="145"/>
      <c r="C699" s="39"/>
      <c r="D699" s="39"/>
      <c r="E699" s="39"/>
      <c r="F699" s="146"/>
      <c r="G699" s="39"/>
      <c r="H699" s="39"/>
      <c r="I699" s="39"/>
      <c r="J699" s="39"/>
      <c r="K699" s="39"/>
    </row>
    <row r="700">
      <c r="A700" s="39"/>
      <c r="B700" s="145"/>
      <c r="C700" s="39"/>
      <c r="D700" s="39"/>
      <c r="E700" s="39"/>
      <c r="F700" s="146"/>
      <c r="G700" s="39"/>
      <c r="H700" s="39"/>
      <c r="I700" s="39"/>
      <c r="J700" s="39"/>
      <c r="K700" s="39"/>
    </row>
    <row r="701">
      <c r="A701" s="39"/>
      <c r="B701" s="145"/>
      <c r="C701" s="39"/>
      <c r="D701" s="39"/>
      <c r="E701" s="39"/>
      <c r="F701" s="146"/>
      <c r="G701" s="39"/>
      <c r="H701" s="39"/>
      <c r="I701" s="39"/>
      <c r="J701" s="39"/>
      <c r="K701" s="39"/>
    </row>
    <row r="702">
      <c r="A702" s="39"/>
      <c r="B702" s="145"/>
      <c r="C702" s="39"/>
      <c r="D702" s="39"/>
      <c r="E702" s="39"/>
      <c r="F702" s="146"/>
      <c r="G702" s="39"/>
      <c r="H702" s="39"/>
      <c r="I702" s="39"/>
      <c r="J702" s="39"/>
      <c r="K702" s="39"/>
    </row>
    <row r="703">
      <c r="A703" s="39"/>
      <c r="B703" s="145"/>
      <c r="C703" s="39"/>
      <c r="D703" s="39"/>
      <c r="E703" s="39"/>
      <c r="F703" s="146"/>
      <c r="G703" s="39"/>
      <c r="H703" s="39"/>
      <c r="I703" s="39"/>
      <c r="J703" s="39"/>
      <c r="K703" s="39"/>
    </row>
    <row r="704">
      <c r="A704" s="39"/>
      <c r="B704" s="145"/>
      <c r="C704" s="39"/>
      <c r="D704" s="39"/>
      <c r="E704" s="39"/>
      <c r="F704" s="146"/>
      <c r="G704" s="39"/>
      <c r="H704" s="39"/>
      <c r="I704" s="39"/>
      <c r="J704" s="39"/>
      <c r="K704" s="39"/>
    </row>
    <row r="705">
      <c r="A705" s="39"/>
      <c r="B705" s="145"/>
      <c r="C705" s="39"/>
      <c r="D705" s="39"/>
      <c r="E705" s="39"/>
      <c r="F705" s="146"/>
      <c r="G705" s="39"/>
      <c r="H705" s="39"/>
      <c r="I705" s="39"/>
      <c r="J705" s="39"/>
      <c r="K705" s="39"/>
    </row>
    <row r="706">
      <c r="A706" s="39"/>
      <c r="B706" s="145"/>
      <c r="C706" s="39"/>
      <c r="D706" s="39"/>
      <c r="E706" s="39"/>
      <c r="F706" s="146"/>
      <c r="G706" s="39"/>
      <c r="H706" s="39"/>
      <c r="I706" s="39"/>
      <c r="J706" s="39"/>
      <c r="K706" s="39"/>
    </row>
    <row r="707">
      <c r="A707" s="39"/>
      <c r="B707" s="145"/>
      <c r="C707" s="39"/>
      <c r="D707" s="39"/>
      <c r="E707" s="39"/>
      <c r="F707" s="146"/>
      <c r="G707" s="39"/>
      <c r="H707" s="39"/>
      <c r="I707" s="39"/>
      <c r="J707" s="39"/>
      <c r="K707" s="39"/>
    </row>
    <row r="708">
      <c r="A708" s="39"/>
      <c r="B708" s="145"/>
      <c r="C708" s="39"/>
      <c r="D708" s="39"/>
      <c r="E708" s="39"/>
      <c r="F708" s="146"/>
      <c r="G708" s="39"/>
      <c r="H708" s="39"/>
      <c r="I708" s="39"/>
      <c r="J708" s="39"/>
      <c r="K708" s="39"/>
    </row>
    <row r="709">
      <c r="A709" s="39"/>
      <c r="B709" s="145"/>
      <c r="C709" s="39"/>
      <c r="D709" s="39"/>
      <c r="E709" s="39"/>
      <c r="F709" s="146"/>
      <c r="G709" s="39"/>
      <c r="H709" s="39"/>
      <c r="I709" s="39"/>
      <c r="J709" s="39"/>
      <c r="K709" s="39"/>
    </row>
    <row r="710">
      <c r="A710" s="39"/>
      <c r="B710" s="145"/>
      <c r="C710" s="39"/>
      <c r="D710" s="39"/>
      <c r="E710" s="39"/>
      <c r="F710" s="146"/>
      <c r="G710" s="39"/>
      <c r="H710" s="39"/>
      <c r="I710" s="39"/>
      <c r="J710" s="39"/>
      <c r="K710" s="39"/>
    </row>
    <row r="711">
      <c r="A711" s="39"/>
      <c r="B711" s="145"/>
      <c r="C711" s="39"/>
      <c r="D711" s="39"/>
      <c r="E711" s="39"/>
      <c r="F711" s="146"/>
      <c r="G711" s="39"/>
      <c r="H711" s="39"/>
      <c r="I711" s="39"/>
      <c r="J711" s="39"/>
      <c r="K711" s="39"/>
    </row>
    <row r="712">
      <c r="A712" s="39"/>
      <c r="B712" s="145"/>
      <c r="C712" s="39"/>
      <c r="D712" s="39"/>
      <c r="E712" s="39"/>
      <c r="F712" s="146"/>
      <c r="G712" s="39"/>
      <c r="H712" s="39"/>
      <c r="I712" s="39"/>
      <c r="J712" s="39"/>
      <c r="K712" s="39"/>
    </row>
    <row r="713">
      <c r="A713" s="39"/>
      <c r="B713" s="145"/>
      <c r="C713" s="39"/>
      <c r="D713" s="39"/>
      <c r="E713" s="39"/>
      <c r="F713" s="146"/>
      <c r="G713" s="39"/>
      <c r="H713" s="39"/>
      <c r="I713" s="39"/>
      <c r="J713" s="39"/>
      <c r="K713" s="39"/>
    </row>
    <row r="714">
      <c r="A714" s="39"/>
      <c r="B714" s="145"/>
      <c r="C714" s="39"/>
      <c r="D714" s="39"/>
      <c r="E714" s="39"/>
      <c r="F714" s="146"/>
      <c r="G714" s="39"/>
      <c r="H714" s="39"/>
      <c r="I714" s="39"/>
      <c r="J714" s="39"/>
      <c r="K714" s="39"/>
    </row>
    <row r="715">
      <c r="A715" s="39"/>
      <c r="B715" s="145"/>
      <c r="C715" s="39"/>
      <c r="D715" s="39"/>
      <c r="E715" s="39"/>
      <c r="F715" s="146"/>
      <c r="G715" s="39"/>
      <c r="H715" s="39"/>
      <c r="I715" s="39"/>
      <c r="J715" s="39"/>
      <c r="K715" s="39"/>
    </row>
    <row r="716">
      <c r="A716" s="39"/>
      <c r="B716" s="145"/>
      <c r="C716" s="39"/>
      <c r="D716" s="39"/>
      <c r="E716" s="39"/>
      <c r="F716" s="146"/>
      <c r="G716" s="39"/>
      <c r="H716" s="39"/>
      <c r="I716" s="39"/>
      <c r="J716" s="39"/>
      <c r="K716" s="39"/>
    </row>
    <row r="717">
      <c r="A717" s="39"/>
      <c r="B717" s="145"/>
      <c r="C717" s="39"/>
      <c r="D717" s="39"/>
      <c r="E717" s="39"/>
      <c r="F717" s="146"/>
      <c r="G717" s="39"/>
      <c r="H717" s="39"/>
      <c r="I717" s="39"/>
      <c r="J717" s="39"/>
      <c r="K717" s="39"/>
    </row>
    <row r="718">
      <c r="A718" s="39"/>
      <c r="B718" s="145"/>
      <c r="C718" s="39"/>
      <c r="D718" s="39"/>
      <c r="E718" s="39"/>
      <c r="F718" s="146"/>
      <c r="G718" s="39"/>
      <c r="H718" s="39"/>
      <c r="I718" s="39"/>
      <c r="J718" s="39"/>
      <c r="K718" s="39"/>
    </row>
    <row r="719">
      <c r="A719" s="39"/>
      <c r="B719" s="145"/>
      <c r="C719" s="39"/>
      <c r="D719" s="39"/>
      <c r="E719" s="39"/>
      <c r="F719" s="146"/>
      <c r="G719" s="39"/>
      <c r="H719" s="39"/>
      <c r="I719" s="39"/>
      <c r="J719" s="39"/>
      <c r="K719" s="39"/>
    </row>
    <row r="720">
      <c r="A720" s="39"/>
      <c r="B720" s="145"/>
      <c r="C720" s="39"/>
      <c r="D720" s="39"/>
      <c r="E720" s="39"/>
      <c r="F720" s="146"/>
      <c r="G720" s="39"/>
      <c r="H720" s="39"/>
      <c r="I720" s="39"/>
      <c r="J720" s="39"/>
      <c r="K720" s="39"/>
    </row>
    <row r="721">
      <c r="A721" s="39"/>
      <c r="B721" s="145"/>
      <c r="C721" s="39"/>
      <c r="D721" s="39"/>
      <c r="E721" s="39"/>
      <c r="F721" s="146"/>
      <c r="G721" s="39"/>
      <c r="H721" s="39"/>
      <c r="I721" s="39"/>
      <c r="J721" s="39"/>
      <c r="K721" s="39"/>
    </row>
    <row r="722">
      <c r="A722" s="39"/>
      <c r="B722" s="145"/>
      <c r="C722" s="39"/>
      <c r="D722" s="39"/>
      <c r="E722" s="39"/>
      <c r="F722" s="146"/>
      <c r="G722" s="39"/>
      <c r="H722" s="39"/>
      <c r="I722" s="39"/>
      <c r="J722" s="39"/>
      <c r="K722" s="39"/>
    </row>
    <row r="723">
      <c r="A723" s="39"/>
      <c r="B723" s="145"/>
      <c r="C723" s="39"/>
      <c r="D723" s="39"/>
      <c r="E723" s="39"/>
      <c r="F723" s="146"/>
      <c r="G723" s="39"/>
      <c r="H723" s="39"/>
      <c r="I723" s="39"/>
      <c r="J723" s="39"/>
      <c r="K723" s="39"/>
    </row>
    <row r="724">
      <c r="A724" s="39"/>
      <c r="B724" s="145"/>
      <c r="C724" s="39"/>
      <c r="D724" s="39"/>
      <c r="E724" s="39"/>
      <c r="F724" s="146"/>
      <c r="G724" s="39"/>
      <c r="H724" s="39"/>
      <c r="I724" s="39"/>
      <c r="J724" s="39"/>
      <c r="K724" s="39"/>
    </row>
    <row r="725">
      <c r="A725" s="39"/>
      <c r="B725" s="145"/>
      <c r="C725" s="39"/>
      <c r="D725" s="39"/>
      <c r="E725" s="39"/>
      <c r="F725" s="146"/>
      <c r="G725" s="39"/>
      <c r="H725" s="39"/>
      <c r="I725" s="39"/>
      <c r="J725" s="39"/>
      <c r="K725" s="39"/>
    </row>
    <row r="726">
      <c r="A726" s="39"/>
      <c r="B726" s="145"/>
      <c r="C726" s="39"/>
      <c r="D726" s="39"/>
      <c r="E726" s="39"/>
      <c r="F726" s="146"/>
      <c r="G726" s="39"/>
      <c r="H726" s="39"/>
      <c r="I726" s="39"/>
      <c r="J726" s="39"/>
      <c r="K726" s="39"/>
    </row>
    <row r="727">
      <c r="A727" s="39"/>
      <c r="B727" s="145"/>
      <c r="C727" s="39"/>
      <c r="D727" s="39"/>
      <c r="E727" s="39"/>
      <c r="F727" s="146"/>
      <c r="G727" s="39"/>
      <c r="H727" s="39"/>
      <c r="I727" s="39"/>
      <c r="J727" s="39"/>
      <c r="K727" s="39"/>
    </row>
    <row r="728">
      <c r="A728" s="39"/>
      <c r="B728" s="145"/>
      <c r="C728" s="39"/>
      <c r="D728" s="39"/>
      <c r="E728" s="39"/>
      <c r="F728" s="146"/>
      <c r="G728" s="39"/>
      <c r="H728" s="39"/>
      <c r="I728" s="39"/>
      <c r="J728" s="39"/>
      <c r="K728" s="39"/>
    </row>
    <row r="729">
      <c r="A729" s="39"/>
      <c r="B729" s="145"/>
      <c r="C729" s="39"/>
      <c r="D729" s="39"/>
      <c r="E729" s="39"/>
      <c r="F729" s="146"/>
      <c r="G729" s="39"/>
      <c r="H729" s="39"/>
      <c r="I729" s="39"/>
      <c r="J729" s="39"/>
      <c r="K729" s="39"/>
    </row>
    <row r="730">
      <c r="A730" s="39"/>
      <c r="B730" s="145"/>
      <c r="C730" s="39"/>
      <c r="D730" s="39"/>
      <c r="E730" s="39"/>
      <c r="F730" s="146"/>
      <c r="G730" s="39"/>
      <c r="H730" s="39"/>
      <c r="I730" s="39"/>
      <c r="J730" s="39"/>
      <c r="K730" s="39"/>
    </row>
    <row r="731">
      <c r="A731" s="39"/>
      <c r="B731" s="145"/>
      <c r="C731" s="39"/>
      <c r="D731" s="39"/>
      <c r="E731" s="39"/>
      <c r="F731" s="146"/>
      <c r="G731" s="39"/>
      <c r="H731" s="39"/>
      <c r="I731" s="39"/>
      <c r="J731" s="39"/>
      <c r="K731" s="39"/>
    </row>
    <row r="732">
      <c r="A732" s="39"/>
      <c r="B732" s="145"/>
      <c r="C732" s="39"/>
      <c r="D732" s="39"/>
      <c r="E732" s="39"/>
      <c r="F732" s="146"/>
      <c r="G732" s="39"/>
      <c r="H732" s="39"/>
      <c r="I732" s="39"/>
      <c r="J732" s="39"/>
      <c r="K732" s="39"/>
    </row>
    <row r="733">
      <c r="A733" s="39"/>
      <c r="B733" s="145"/>
      <c r="C733" s="39"/>
      <c r="D733" s="39"/>
      <c r="E733" s="39"/>
      <c r="F733" s="146"/>
      <c r="G733" s="39"/>
      <c r="H733" s="39"/>
      <c r="I733" s="39"/>
      <c r="J733" s="39"/>
      <c r="K733" s="39"/>
    </row>
    <row r="734">
      <c r="A734" s="39"/>
      <c r="B734" s="145"/>
      <c r="C734" s="39"/>
      <c r="D734" s="39"/>
      <c r="E734" s="39"/>
      <c r="F734" s="146"/>
      <c r="G734" s="39"/>
      <c r="H734" s="39"/>
      <c r="I734" s="39"/>
      <c r="J734" s="39"/>
      <c r="K734" s="39"/>
    </row>
    <row r="735">
      <c r="A735" s="39"/>
      <c r="B735" s="145"/>
      <c r="C735" s="39"/>
      <c r="D735" s="39"/>
      <c r="E735" s="39"/>
      <c r="F735" s="146"/>
      <c r="G735" s="39"/>
      <c r="H735" s="39"/>
      <c r="I735" s="39"/>
      <c r="J735" s="39"/>
      <c r="K735" s="39"/>
    </row>
    <row r="736">
      <c r="A736" s="39"/>
      <c r="B736" s="145"/>
      <c r="C736" s="39"/>
      <c r="D736" s="39"/>
      <c r="E736" s="39"/>
      <c r="F736" s="146"/>
      <c r="G736" s="39"/>
      <c r="H736" s="39"/>
      <c r="I736" s="39"/>
      <c r="J736" s="39"/>
      <c r="K736" s="39"/>
    </row>
    <row r="737">
      <c r="A737" s="39"/>
      <c r="B737" s="145"/>
      <c r="C737" s="39"/>
      <c r="D737" s="39"/>
      <c r="E737" s="39"/>
      <c r="F737" s="146"/>
      <c r="G737" s="39"/>
      <c r="H737" s="39"/>
      <c r="I737" s="39"/>
      <c r="J737" s="39"/>
      <c r="K737" s="39"/>
    </row>
    <row r="738">
      <c r="A738" s="39"/>
      <c r="B738" s="145"/>
      <c r="C738" s="39"/>
      <c r="D738" s="39"/>
      <c r="E738" s="39"/>
      <c r="F738" s="146"/>
      <c r="G738" s="39"/>
      <c r="H738" s="39"/>
      <c r="I738" s="39"/>
      <c r="J738" s="39"/>
      <c r="K738" s="39"/>
    </row>
    <row r="739">
      <c r="A739" s="39"/>
      <c r="B739" s="145"/>
      <c r="C739" s="39"/>
      <c r="D739" s="39"/>
      <c r="E739" s="39"/>
      <c r="F739" s="146"/>
      <c r="G739" s="39"/>
      <c r="H739" s="39"/>
      <c r="I739" s="39"/>
      <c r="J739" s="39"/>
      <c r="K739" s="39"/>
    </row>
    <row r="740">
      <c r="A740" s="39"/>
      <c r="B740" s="145"/>
      <c r="C740" s="39"/>
      <c r="D740" s="39"/>
      <c r="E740" s="39"/>
      <c r="F740" s="146"/>
      <c r="G740" s="39"/>
      <c r="H740" s="39"/>
      <c r="I740" s="39"/>
      <c r="J740" s="39"/>
      <c r="K740" s="39"/>
    </row>
    <row r="741">
      <c r="A741" s="39"/>
      <c r="B741" s="145"/>
      <c r="C741" s="39"/>
      <c r="D741" s="39"/>
      <c r="E741" s="39"/>
      <c r="F741" s="146"/>
      <c r="G741" s="39"/>
      <c r="H741" s="39"/>
      <c r="I741" s="39"/>
      <c r="J741" s="39"/>
      <c r="K741" s="39"/>
    </row>
    <row r="742">
      <c r="A742" s="39"/>
      <c r="B742" s="145"/>
      <c r="C742" s="39"/>
      <c r="D742" s="39"/>
      <c r="E742" s="39"/>
      <c r="F742" s="146"/>
      <c r="G742" s="39"/>
      <c r="H742" s="39"/>
      <c r="I742" s="39"/>
      <c r="J742" s="39"/>
      <c r="K742" s="39"/>
    </row>
    <row r="743">
      <c r="A743" s="39"/>
      <c r="B743" s="145"/>
      <c r="C743" s="39"/>
      <c r="D743" s="39"/>
      <c r="E743" s="39"/>
      <c r="F743" s="146"/>
      <c r="G743" s="39"/>
      <c r="H743" s="39"/>
      <c r="I743" s="39"/>
      <c r="J743" s="39"/>
      <c r="K743" s="39"/>
    </row>
    <row r="744">
      <c r="A744" s="39"/>
      <c r="B744" s="145"/>
      <c r="C744" s="39"/>
      <c r="D744" s="39"/>
      <c r="E744" s="39"/>
      <c r="F744" s="146"/>
      <c r="G744" s="39"/>
      <c r="H744" s="39"/>
      <c r="I744" s="39"/>
      <c r="J744" s="39"/>
      <c r="K744" s="39"/>
    </row>
    <row r="745">
      <c r="A745" s="39"/>
      <c r="B745" s="145"/>
      <c r="C745" s="39"/>
      <c r="D745" s="39"/>
      <c r="E745" s="39"/>
      <c r="F745" s="146"/>
      <c r="G745" s="39"/>
      <c r="H745" s="39"/>
      <c r="I745" s="39"/>
      <c r="J745" s="39"/>
      <c r="K745" s="39"/>
    </row>
    <row r="746">
      <c r="A746" s="39"/>
      <c r="B746" s="145"/>
      <c r="C746" s="39"/>
      <c r="D746" s="39"/>
      <c r="E746" s="39"/>
      <c r="F746" s="146"/>
      <c r="G746" s="39"/>
      <c r="H746" s="39"/>
      <c r="I746" s="39"/>
      <c r="J746" s="39"/>
      <c r="K746" s="39"/>
    </row>
    <row r="747">
      <c r="A747" s="39"/>
      <c r="B747" s="145"/>
      <c r="C747" s="39"/>
      <c r="D747" s="39"/>
      <c r="E747" s="39"/>
      <c r="F747" s="146"/>
      <c r="G747" s="39"/>
      <c r="H747" s="39"/>
      <c r="I747" s="39"/>
      <c r="J747" s="39"/>
      <c r="K747" s="39"/>
    </row>
    <row r="748">
      <c r="A748" s="39"/>
      <c r="B748" s="145"/>
      <c r="C748" s="39"/>
      <c r="D748" s="39"/>
      <c r="E748" s="39"/>
      <c r="F748" s="146"/>
      <c r="G748" s="39"/>
      <c r="H748" s="39"/>
      <c r="I748" s="39"/>
      <c r="J748" s="39"/>
      <c r="K748" s="39"/>
    </row>
    <row r="749">
      <c r="A749" s="39"/>
      <c r="B749" s="145"/>
      <c r="C749" s="39"/>
      <c r="D749" s="39"/>
      <c r="E749" s="39"/>
      <c r="F749" s="146"/>
      <c r="G749" s="39"/>
      <c r="H749" s="39"/>
      <c r="I749" s="39"/>
      <c r="J749" s="39"/>
      <c r="K749" s="39"/>
    </row>
    <row r="750">
      <c r="A750" s="39"/>
      <c r="B750" s="145"/>
      <c r="C750" s="39"/>
      <c r="D750" s="39"/>
      <c r="E750" s="39"/>
      <c r="F750" s="146"/>
      <c r="G750" s="39"/>
      <c r="H750" s="39"/>
      <c r="I750" s="39"/>
      <c r="J750" s="39"/>
      <c r="K750" s="39"/>
    </row>
    <row r="751">
      <c r="A751" s="39"/>
      <c r="B751" s="145"/>
      <c r="C751" s="39"/>
      <c r="D751" s="39"/>
      <c r="E751" s="39"/>
      <c r="F751" s="146"/>
      <c r="G751" s="39"/>
      <c r="H751" s="39"/>
      <c r="I751" s="39"/>
      <c r="J751" s="39"/>
      <c r="K751" s="39"/>
    </row>
    <row r="752">
      <c r="A752" s="39"/>
      <c r="B752" s="145"/>
      <c r="C752" s="39"/>
      <c r="D752" s="39"/>
      <c r="E752" s="39"/>
      <c r="F752" s="146"/>
      <c r="G752" s="39"/>
      <c r="H752" s="39"/>
      <c r="I752" s="39"/>
      <c r="J752" s="39"/>
      <c r="K752" s="39"/>
    </row>
    <row r="753">
      <c r="A753" s="39"/>
      <c r="B753" s="145"/>
      <c r="C753" s="39"/>
      <c r="D753" s="39"/>
      <c r="E753" s="39"/>
      <c r="F753" s="146"/>
      <c r="G753" s="39"/>
      <c r="H753" s="39"/>
      <c r="I753" s="39"/>
      <c r="J753" s="39"/>
      <c r="K753" s="39"/>
    </row>
    <row r="754">
      <c r="A754" s="39"/>
      <c r="B754" s="145"/>
      <c r="C754" s="39"/>
      <c r="D754" s="39"/>
      <c r="E754" s="39"/>
      <c r="F754" s="146"/>
      <c r="G754" s="39"/>
      <c r="H754" s="39"/>
      <c r="I754" s="39"/>
      <c r="J754" s="39"/>
      <c r="K754" s="39"/>
    </row>
    <row r="755">
      <c r="A755" s="39"/>
      <c r="B755" s="145"/>
      <c r="C755" s="39"/>
      <c r="D755" s="39"/>
      <c r="E755" s="39"/>
      <c r="F755" s="146"/>
      <c r="G755" s="39"/>
      <c r="H755" s="39"/>
      <c r="I755" s="39"/>
      <c r="J755" s="39"/>
      <c r="K755" s="39"/>
    </row>
    <row r="756">
      <c r="A756" s="39"/>
      <c r="B756" s="145"/>
      <c r="C756" s="39"/>
      <c r="D756" s="39"/>
      <c r="E756" s="39"/>
      <c r="F756" s="146"/>
      <c r="G756" s="39"/>
      <c r="H756" s="39"/>
      <c r="I756" s="39"/>
      <c r="J756" s="39"/>
      <c r="K756" s="39"/>
    </row>
    <row r="757">
      <c r="A757" s="39"/>
      <c r="B757" s="145"/>
      <c r="C757" s="39"/>
      <c r="D757" s="39"/>
      <c r="E757" s="39"/>
      <c r="F757" s="146"/>
      <c r="G757" s="39"/>
      <c r="H757" s="39"/>
      <c r="I757" s="39"/>
      <c r="J757" s="39"/>
      <c r="K757" s="39"/>
    </row>
    <row r="758">
      <c r="A758" s="39"/>
      <c r="B758" s="145"/>
      <c r="C758" s="39"/>
      <c r="D758" s="39"/>
      <c r="E758" s="39"/>
      <c r="F758" s="146"/>
      <c r="G758" s="39"/>
      <c r="H758" s="39"/>
      <c r="I758" s="39"/>
      <c r="J758" s="39"/>
      <c r="K758" s="39"/>
    </row>
    <row r="759">
      <c r="A759" s="39"/>
      <c r="B759" s="145"/>
      <c r="C759" s="39"/>
      <c r="D759" s="39"/>
      <c r="E759" s="39"/>
      <c r="F759" s="146"/>
      <c r="G759" s="39"/>
      <c r="H759" s="39"/>
      <c r="I759" s="39"/>
      <c r="J759" s="39"/>
      <c r="K759" s="39"/>
    </row>
    <row r="760">
      <c r="A760" s="39"/>
      <c r="B760" s="145"/>
      <c r="C760" s="39"/>
      <c r="D760" s="39"/>
      <c r="E760" s="39"/>
      <c r="F760" s="146"/>
      <c r="G760" s="39"/>
      <c r="H760" s="39"/>
      <c r="I760" s="39"/>
      <c r="J760" s="39"/>
      <c r="K760" s="39"/>
    </row>
    <row r="761">
      <c r="A761" s="39"/>
      <c r="B761" s="145"/>
      <c r="C761" s="39"/>
      <c r="D761" s="39"/>
      <c r="E761" s="39"/>
      <c r="F761" s="146"/>
      <c r="G761" s="39"/>
      <c r="H761" s="39"/>
      <c r="I761" s="39"/>
      <c r="J761" s="39"/>
      <c r="K761" s="39"/>
    </row>
    <row r="762">
      <c r="A762" s="39"/>
      <c r="B762" s="145"/>
      <c r="C762" s="39"/>
      <c r="D762" s="39"/>
      <c r="E762" s="39"/>
      <c r="F762" s="146"/>
      <c r="G762" s="39"/>
      <c r="H762" s="39"/>
      <c r="I762" s="39"/>
      <c r="J762" s="39"/>
      <c r="K762" s="39"/>
    </row>
    <row r="763">
      <c r="A763" s="39"/>
      <c r="B763" s="145"/>
      <c r="C763" s="39"/>
      <c r="D763" s="39"/>
      <c r="E763" s="39"/>
      <c r="F763" s="146"/>
      <c r="G763" s="39"/>
      <c r="H763" s="39"/>
      <c r="I763" s="39"/>
      <c r="J763" s="39"/>
      <c r="K763" s="39"/>
    </row>
    <row r="764">
      <c r="A764" s="39"/>
      <c r="B764" s="145"/>
      <c r="C764" s="39"/>
      <c r="D764" s="39"/>
      <c r="E764" s="39"/>
      <c r="F764" s="146"/>
      <c r="G764" s="39"/>
      <c r="H764" s="39"/>
      <c r="I764" s="39"/>
      <c r="J764" s="39"/>
      <c r="K764" s="39"/>
    </row>
    <row r="765">
      <c r="A765" s="39"/>
      <c r="B765" s="145"/>
      <c r="C765" s="39"/>
      <c r="D765" s="39"/>
      <c r="E765" s="39"/>
      <c r="F765" s="146"/>
      <c r="G765" s="39"/>
      <c r="H765" s="39"/>
      <c r="I765" s="39"/>
      <c r="J765" s="39"/>
      <c r="K765" s="39"/>
    </row>
    <row r="766">
      <c r="A766" s="39"/>
      <c r="B766" s="145"/>
      <c r="C766" s="39"/>
      <c r="D766" s="39"/>
      <c r="E766" s="39"/>
      <c r="F766" s="146"/>
      <c r="G766" s="39"/>
      <c r="H766" s="39"/>
      <c r="I766" s="39"/>
      <c r="J766" s="39"/>
      <c r="K766" s="39"/>
    </row>
    <row r="767">
      <c r="A767" s="39"/>
      <c r="B767" s="145"/>
      <c r="C767" s="39"/>
      <c r="D767" s="39"/>
      <c r="E767" s="39"/>
      <c r="F767" s="146"/>
      <c r="G767" s="39"/>
      <c r="H767" s="39"/>
      <c r="I767" s="39"/>
      <c r="J767" s="39"/>
      <c r="K767" s="39"/>
    </row>
    <row r="768">
      <c r="A768" s="39"/>
      <c r="B768" s="145"/>
      <c r="C768" s="39"/>
      <c r="D768" s="39"/>
      <c r="E768" s="39"/>
      <c r="F768" s="146"/>
      <c r="G768" s="39"/>
      <c r="H768" s="39"/>
      <c r="I768" s="39"/>
      <c r="J768" s="39"/>
      <c r="K768" s="39"/>
    </row>
    <row r="769">
      <c r="A769" s="39"/>
      <c r="B769" s="145"/>
      <c r="C769" s="39"/>
      <c r="D769" s="39"/>
      <c r="E769" s="39"/>
      <c r="F769" s="146"/>
      <c r="G769" s="39"/>
      <c r="H769" s="39"/>
      <c r="I769" s="39"/>
      <c r="J769" s="39"/>
      <c r="K769" s="39"/>
    </row>
    <row r="770">
      <c r="A770" s="39"/>
      <c r="B770" s="145"/>
      <c r="C770" s="39"/>
      <c r="D770" s="39"/>
      <c r="E770" s="39"/>
      <c r="F770" s="146"/>
      <c r="G770" s="39"/>
      <c r="H770" s="39"/>
      <c r="I770" s="39"/>
      <c r="J770" s="39"/>
      <c r="K770" s="39"/>
    </row>
    <row r="771">
      <c r="A771" s="39"/>
      <c r="B771" s="145"/>
      <c r="C771" s="39"/>
      <c r="D771" s="39"/>
      <c r="E771" s="39"/>
      <c r="F771" s="146"/>
      <c r="G771" s="39"/>
      <c r="H771" s="39"/>
      <c r="I771" s="39"/>
      <c r="J771" s="39"/>
      <c r="K771" s="39"/>
    </row>
    <row r="772">
      <c r="A772" s="39"/>
      <c r="B772" s="145"/>
      <c r="C772" s="39"/>
      <c r="D772" s="39"/>
      <c r="E772" s="39"/>
      <c r="F772" s="146"/>
      <c r="G772" s="39"/>
      <c r="H772" s="39"/>
      <c r="I772" s="39"/>
      <c r="J772" s="39"/>
      <c r="K772" s="39"/>
    </row>
    <row r="773">
      <c r="A773" s="39"/>
      <c r="B773" s="145"/>
      <c r="C773" s="39"/>
      <c r="D773" s="39"/>
      <c r="E773" s="39"/>
      <c r="F773" s="146"/>
      <c r="G773" s="39"/>
      <c r="H773" s="39"/>
      <c r="I773" s="39"/>
      <c r="J773" s="39"/>
      <c r="K773" s="39"/>
    </row>
    <row r="774">
      <c r="A774" s="39"/>
      <c r="B774" s="145"/>
      <c r="C774" s="39"/>
      <c r="D774" s="39"/>
      <c r="E774" s="39"/>
      <c r="F774" s="146"/>
      <c r="G774" s="39"/>
      <c r="H774" s="39"/>
      <c r="I774" s="39"/>
      <c r="J774" s="39"/>
      <c r="K774" s="39"/>
    </row>
    <row r="775">
      <c r="A775" s="39"/>
      <c r="B775" s="145"/>
      <c r="C775" s="39"/>
      <c r="D775" s="39"/>
      <c r="E775" s="39"/>
      <c r="F775" s="146"/>
      <c r="G775" s="39"/>
      <c r="H775" s="39"/>
      <c r="I775" s="39"/>
      <c r="J775" s="39"/>
      <c r="K775" s="39"/>
    </row>
    <row r="776">
      <c r="A776" s="39"/>
      <c r="B776" s="145"/>
      <c r="C776" s="39"/>
      <c r="D776" s="39"/>
      <c r="E776" s="39"/>
      <c r="F776" s="146"/>
      <c r="G776" s="39"/>
      <c r="H776" s="39"/>
      <c r="I776" s="39"/>
      <c r="J776" s="39"/>
      <c r="K776" s="39"/>
    </row>
    <row r="777">
      <c r="A777" s="39"/>
      <c r="B777" s="145"/>
      <c r="C777" s="39"/>
      <c r="D777" s="39"/>
      <c r="E777" s="39"/>
      <c r="F777" s="146"/>
      <c r="G777" s="39"/>
      <c r="H777" s="39"/>
      <c r="I777" s="39"/>
      <c r="J777" s="39"/>
      <c r="K777" s="39"/>
    </row>
    <row r="778">
      <c r="A778" s="39"/>
      <c r="B778" s="145"/>
      <c r="C778" s="39"/>
      <c r="D778" s="39"/>
      <c r="E778" s="39"/>
      <c r="F778" s="146"/>
      <c r="G778" s="39"/>
      <c r="H778" s="39"/>
      <c r="I778" s="39"/>
      <c r="J778" s="39"/>
      <c r="K778" s="39"/>
    </row>
    <row r="779">
      <c r="A779" s="39"/>
      <c r="B779" s="145"/>
      <c r="C779" s="39"/>
      <c r="D779" s="39"/>
      <c r="E779" s="39"/>
      <c r="F779" s="146"/>
      <c r="G779" s="39"/>
      <c r="H779" s="39"/>
      <c r="I779" s="39"/>
      <c r="J779" s="39"/>
      <c r="K779" s="39"/>
    </row>
    <row r="780">
      <c r="A780" s="39"/>
      <c r="B780" s="145"/>
      <c r="C780" s="39"/>
      <c r="D780" s="39"/>
      <c r="E780" s="39"/>
      <c r="F780" s="146"/>
      <c r="G780" s="39"/>
      <c r="H780" s="39"/>
      <c r="I780" s="39"/>
      <c r="J780" s="39"/>
      <c r="K780" s="39"/>
    </row>
    <row r="781">
      <c r="A781" s="39"/>
      <c r="B781" s="145"/>
      <c r="C781" s="39"/>
      <c r="D781" s="39"/>
      <c r="E781" s="39"/>
      <c r="F781" s="146"/>
      <c r="G781" s="39"/>
      <c r="H781" s="39"/>
      <c r="I781" s="39"/>
      <c r="J781" s="39"/>
      <c r="K781" s="39"/>
    </row>
    <row r="782">
      <c r="A782" s="39"/>
      <c r="B782" s="145"/>
      <c r="C782" s="39"/>
      <c r="D782" s="39"/>
      <c r="E782" s="39"/>
      <c r="F782" s="146"/>
      <c r="G782" s="39"/>
      <c r="H782" s="39"/>
      <c r="I782" s="39"/>
      <c r="J782" s="39"/>
      <c r="K782" s="39"/>
    </row>
    <row r="783">
      <c r="A783" s="39"/>
      <c r="B783" s="145"/>
      <c r="C783" s="39"/>
      <c r="D783" s="39"/>
      <c r="E783" s="39"/>
      <c r="F783" s="146"/>
      <c r="G783" s="39"/>
      <c r="H783" s="39"/>
      <c r="I783" s="39"/>
      <c r="J783" s="39"/>
      <c r="K783" s="39"/>
    </row>
    <row r="784">
      <c r="A784" s="39"/>
      <c r="B784" s="145"/>
      <c r="C784" s="39"/>
      <c r="D784" s="39"/>
      <c r="E784" s="39"/>
      <c r="F784" s="146"/>
      <c r="G784" s="39"/>
      <c r="H784" s="39"/>
      <c r="I784" s="39"/>
      <c r="J784" s="39"/>
      <c r="K784" s="39"/>
    </row>
    <row r="785">
      <c r="A785" s="39"/>
      <c r="B785" s="145"/>
      <c r="C785" s="39"/>
      <c r="D785" s="39"/>
      <c r="E785" s="39"/>
      <c r="F785" s="146"/>
      <c r="G785" s="39"/>
      <c r="H785" s="39"/>
      <c r="I785" s="39"/>
      <c r="J785" s="39"/>
      <c r="K785" s="39"/>
    </row>
    <row r="786">
      <c r="A786" s="39"/>
      <c r="B786" s="145"/>
      <c r="C786" s="39"/>
      <c r="D786" s="39"/>
      <c r="E786" s="39"/>
      <c r="F786" s="146"/>
      <c r="G786" s="39"/>
      <c r="H786" s="39"/>
      <c r="I786" s="39"/>
      <c r="J786" s="39"/>
      <c r="K786" s="39"/>
    </row>
    <row r="787">
      <c r="A787" s="39"/>
      <c r="B787" s="145"/>
      <c r="C787" s="39"/>
      <c r="D787" s="39"/>
      <c r="E787" s="39"/>
      <c r="F787" s="146"/>
      <c r="G787" s="39"/>
      <c r="H787" s="39"/>
      <c r="I787" s="39"/>
      <c r="J787" s="39"/>
      <c r="K787" s="39"/>
    </row>
    <row r="788">
      <c r="A788" s="39"/>
      <c r="B788" s="145"/>
      <c r="C788" s="39"/>
      <c r="D788" s="39"/>
      <c r="E788" s="39"/>
      <c r="F788" s="146"/>
      <c r="G788" s="39"/>
      <c r="H788" s="39"/>
      <c r="I788" s="39"/>
      <c r="J788" s="39"/>
      <c r="K788" s="39"/>
    </row>
    <row r="789">
      <c r="A789" s="39"/>
      <c r="B789" s="145"/>
      <c r="C789" s="39"/>
      <c r="D789" s="39"/>
      <c r="E789" s="39"/>
      <c r="F789" s="146"/>
      <c r="G789" s="39"/>
      <c r="H789" s="39"/>
      <c r="I789" s="39"/>
      <c r="J789" s="39"/>
      <c r="K789" s="39"/>
    </row>
    <row r="790">
      <c r="A790" s="39"/>
      <c r="B790" s="145"/>
      <c r="C790" s="39"/>
      <c r="D790" s="39"/>
      <c r="E790" s="39"/>
      <c r="F790" s="146"/>
      <c r="G790" s="39"/>
      <c r="H790" s="39"/>
      <c r="I790" s="39"/>
      <c r="J790" s="39"/>
      <c r="K790" s="39"/>
    </row>
    <row r="791">
      <c r="A791" s="39"/>
      <c r="B791" s="145"/>
      <c r="C791" s="39"/>
      <c r="D791" s="39"/>
      <c r="E791" s="39"/>
      <c r="F791" s="146"/>
      <c r="G791" s="39"/>
      <c r="H791" s="39"/>
      <c r="I791" s="39"/>
      <c r="J791" s="39"/>
      <c r="K791" s="39"/>
    </row>
    <row r="792">
      <c r="A792" s="39"/>
      <c r="B792" s="145"/>
      <c r="C792" s="39"/>
      <c r="D792" s="39"/>
      <c r="E792" s="39"/>
      <c r="F792" s="146"/>
      <c r="G792" s="39"/>
      <c r="H792" s="39"/>
      <c r="I792" s="39"/>
      <c r="J792" s="39"/>
      <c r="K792" s="39"/>
    </row>
    <row r="793">
      <c r="A793" s="39"/>
      <c r="B793" s="145"/>
      <c r="C793" s="39"/>
      <c r="D793" s="39"/>
      <c r="E793" s="39"/>
      <c r="F793" s="146"/>
      <c r="G793" s="39"/>
      <c r="H793" s="39"/>
      <c r="I793" s="39"/>
      <c r="J793" s="39"/>
      <c r="K793" s="39"/>
    </row>
    <row r="794">
      <c r="A794" s="39"/>
      <c r="B794" s="145"/>
      <c r="C794" s="39"/>
      <c r="D794" s="39"/>
      <c r="E794" s="39"/>
      <c r="F794" s="146"/>
      <c r="G794" s="39"/>
      <c r="H794" s="39"/>
      <c r="I794" s="39"/>
      <c r="J794" s="39"/>
      <c r="K794" s="39"/>
    </row>
    <row r="795">
      <c r="A795" s="39"/>
      <c r="B795" s="145"/>
      <c r="C795" s="39"/>
      <c r="D795" s="39"/>
      <c r="E795" s="39"/>
      <c r="F795" s="146"/>
      <c r="G795" s="39"/>
      <c r="H795" s="39"/>
      <c r="I795" s="39"/>
      <c r="J795" s="39"/>
      <c r="K795" s="39"/>
    </row>
    <row r="796">
      <c r="A796" s="39"/>
      <c r="B796" s="145"/>
      <c r="C796" s="39"/>
      <c r="D796" s="39"/>
      <c r="E796" s="39"/>
      <c r="F796" s="146"/>
      <c r="G796" s="39"/>
      <c r="H796" s="39"/>
      <c r="I796" s="39"/>
      <c r="J796" s="39"/>
      <c r="K796" s="39"/>
    </row>
    <row r="797">
      <c r="A797" s="39"/>
      <c r="B797" s="145"/>
      <c r="C797" s="39"/>
      <c r="D797" s="39"/>
      <c r="E797" s="39"/>
      <c r="F797" s="146"/>
      <c r="G797" s="39"/>
      <c r="H797" s="39"/>
      <c r="I797" s="39"/>
      <c r="J797" s="39"/>
      <c r="K797" s="39"/>
    </row>
    <row r="798">
      <c r="A798" s="39"/>
      <c r="B798" s="145"/>
      <c r="C798" s="39"/>
      <c r="D798" s="39"/>
      <c r="E798" s="39"/>
      <c r="F798" s="146"/>
      <c r="G798" s="39"/>
      <c r="H798" s="39"/>
      <c r="I798" s="39"/>
      <c r="J798" s="39"/>
      <c r="K798" s="39"/>
    </row>
    <row r="799">
      <c r="A799" s="39"/>
      <c r="B799" s="145"/>
      <c r="C799" s="39"/>
      <c r="D799" s="39"/>
      <c r="E799" s="39"/>
      <c r="F799" s="146"/>
      <c r="G799" s="39"/>
      <c r="H799" s="39"/>
      <c r="I799" s="39"/>
      <c r="J799" s="39"/>
      <c r="K799" s="39"/>
    </row>
    <row r="800">
      <c r="A800" s="39"/>
      <c r="B800" s="145"/>
      <c r="C800" s="39"/>
      <c r="D800" s="39"/>
      <c r="E800" s="39"/>
      <c r="F800" s="146"/>
      <c r="G800" s="39"/>
      <c r="H800" s="39"/>
      <c r="I800" s="39"/>
      <c r="J800" s="39"/>
      <c r="K800" s="39"/>
    </row>
    <row r="801">
      <c r="A801" s="39"/>
      <c r="B801" s="145"/>
      <c r="C801" s="39"/>
      <c r="D801" s="39"/>
      <c r="E801" s="39"/>
      <c r="F801" s="146"/>
      <c r="G801" s="39"/>
      <c r="H801" s="39"/>
      <c r="I801" s="39"/>
      <c r="J801" s="39"/>
      <c r="K801" s="39"/>
    </row>
    <row r="802">
      <c r="A802" s="39"/>
      <c r="B802" s="145"/>
      <c r="C802" s="39"/>
      <c r="D802" s="39"/>
      <c r="E802" s="39"/>
      <c r="F802" s="146"/>
      <c r="G802" s="39"/>
      <c r="H802" s="39"/>
      <c r="I802" s="39"/>
      <c r="J802" s="39"/>
      <c r="K802" s="39"/>
    </row>
    <row r="803">
      <c r="A803" s="39"/>
      <c r="B803" s="145"/>
      <c r="C803" s="39"/>
      <c r="D803" s="39"/>
      <c r="E803" s="39"/>
      <c r="F803" s="146"/>
      <c r="G803" s="39"/>
      <c r="H803" s="39"/>
      <c r="I803" s="39"/>
      <c r="J803" s="39"/>
      <c r="K803" s="39"/>
    </row>
    <row r="804">
      <c r="A804" s="39"/>
      <c r="B804" s="145"/>
      <c r="C804" s="39"/>
      <c r="D804" s="39"/>
      <c r="E804" s="39"/>
      <c r="F804" s="146"/>
      <c r="G804" s="39"/>
      <c r="H804" s="39"/>
      <c r="I804" s="39"/>
      <c r="J804" s="39"/>
      <c r="K804" s="39"/>
    </row>
    <row r="805">
      <c r="A805" s="39"/>
      <c r="B805" s="145"/>
      <c r="C805" s="39"/>
      <c r="D805" s="39"/>
      <c r="E805" s="39"/>
      <c r="F805" s="146"/>
      <c r="G805" s="39"/>
      <c r="H805" s="39"/>
      <c r="I805" s="39"/>
      <c r="J805" s="39"/>
      <c r="K805" s="39"/>
    </row>
    <row r="806">
      <c r="A806" s="39"/>
      <c r="B806" s="145"/>
      <c r="C806" s="39"/>
      <c r="D806" s="39"/>
      <c r="E806" s="39"/>
      <c r="F806" s="146"/>
      <c r="G806" s="39"/>
      <c r="H806" s="39"/>
      <c r="I806" s="39"/>
      <c r="J806" s="39"/>
      <c r="K806" s="39"/>
    </row>
    <row r="807">
      <c r="A807" s="39"/>
      <c r="B807" s="145"/>
      <c r="C807" s="39"/>
      <c r="D807" s="39"/>
      <c r="E807" s="39"/>
      <c r="F807" s="146"/>
      <c r="G807" s="39"/>
      <c r="H807" s="39"/>
      <c r="I807" s="39"/>
      <c r="J807" s="39"/>
      <c r="K807" s="39"/>
    </row>
    <row r="808">
      <c r="A808" s="39"/>
      <c r="B808" s="145"/>
      <c r="C808" s="39"/>
      <c r="D808" s="39"/>
      <c r="E808" s="39"/>
      <c r="F808" s="146"/>
      <c r="G808" s="39"/>
      <c r="H808" s="39"/>
      <c r="I808" s="39"/>
      <c r="J808" s="39"/>
      <c r="K808" s="39"/>
    </row>
    <row r="809">
      <c r="A809" s="39"/>
      <c r="B809" s="145"/>
      <c r="C809" s="39"/>
      <c r="D809" s="39"/>
      <c r="E809" s="39"/>
      <c r="F809" s="146"/>
      <c r="G809" s="39"/>
      <c r="H809" s="39"/>
      <c r="I809" s="39"/>
      <c r="J809" s="39"/>
      <c r="K809" s="39"/>
    </row>
    <row r="810">
      <c r="A810" s="39"/>
      <c r="B810" s="145"/>
      <c r="C810" s="39"/>
      <c r="D810" s="39"/>
      <c r="E810" s="39"/>
      <c r="F810" s="146"/>
      <c r="G810" s="39"/>
      <c r="H810" s="39"/>
      <c r="I810" s="39"/>
      <c r="J810" s="39"/>
      <c r="K810" s="39"/>
    </row>
    <row r="811">
      <c r="A811" s="39"/>
      <c r="B811" s="145"/>
      <c r="C811" s="39"/>
      <c r="D811" s="39"/>
      <c r="E811" s="39"/>
      <c r="F811" s="146"/>
      <c r="G811" s="39"/>
      <c r="H811" s="39"/>
      <c r="I811" s="39"/>
      <c r="J811" s="39"/>
      <c r="K811" s="39"/>
    </row>
    <row r="812">
      <c r="A812" s="39"/>
      <c r="B812" s="145"/>
      <c r="C812" s="39"/>
      <c r="D812" s="39"/>
      <c r="E812" s="39"/>
      <c r="F812" s="146"/>
      <c r="G812" s="39"/>
      <c r="H812" s="39"/>
      <c r="I812" s="39"/>
      <c r="J812" s="39"/>
      <c r="K812" s="39"/>
    </row>
    <row r="813">
      <c r="A813" s="39"/>
      <c r="B813" s="145"/>
      <c r="C813" s="39"/>
      <c r="D813" s="39"/>
      <c r="E813" s="39"/>
      <c r="F813" s="146"/>
      <c r="G813" s="39"/>
      <c r="H813" s="39"/>
      <c r="I813" s="39"/>
      <c r="J813" s="39"/>
      <c r="K813" s="39"/>
    </row>
    <row r="814">
      <c r="A814" s="39"/>
      <c r="B814" s="145"/>
      <c r="C814" s="39"/>
      <c r="D814" s="39"/>
      <c r="E814" s="39"/>
      <c r="F814" s="146"/>
      <c r="G814" s="39"/>
      <c r="H814" s="39"/>
      <c r="I814" s="39"/>
      <c r="J814" s="39"/>
      <c r="K814" s="39"/>
    </row>
    <row r="815">
      <c r="A815" s="39"/>
      <c r="B815" s="145"/>
      <c r="C815" s="39"/>
      <c r="D815" s="39"/>
      <c r="E815" s="39"/>
      <c r="F815" s="146"/>
      <c r="G815" s="39"/>
      <c r="H815" s="39"/>
      <c r="I815" s="39"/>
      <c r="J815" s="39"/>
      <c r="K815" s="39"/>
    </row>
    <row r="816">
      <c r="A816" s="39"/>
      <c r="B816" s="145"/>
      <c r="C816" s="39"/>
      <c r="D816" s="39"/>
      <c r="E816" s="39"/>
      <c r="F816" s="146"/>
      <c r="G816" s="39"/>
      <c r="H816" s="39"/>
      <c r="I816" s="39"/>
      <c r="J816" s="39"/>
      <c r="K816" s="39"/>
    </row>
    <row r="817">
      <c r="A817" s="39"/>
      <c r="B817" s="145"/>
      <c r="C817" s="39"/>
      <c r="D817" s="39"/>
      <c r="E817" s="39"/>
      <c r="F817" s="146"/>
      <c r="G817" s="39"/>
      <c r="H817" s="39"/>
      <c r="I817" s="39"/>
      <c r="J817" s="39"/>
      <c r="K817" s="39"/>
    </row>
    <row r="818">
      <c r="A818" s="39"/>
      <c r="B818" s="145"/>
      <c r="C818" s="39"/>
      <c r="D818" s="39"/>
      <c r="E818" s="39"/>
      <c r="F818" s="146"/>
      <c r="G818" s="39"/>
      <c r="H818" s="39"/>
      <c r="I818" s="39"/>
      <c r="J818" s="39"/>
      <c r="K818" s="39"/>
    </row>
    <row r="819">
      <c r="A819" s="39"/>
      <c r="B819" s="145"/>
      <c r="C819" s="39"/>
      <c r="D819" s="39"/>
      <c r="E819" s="39"/>
      <c r="F819" s="146"/>
      <c r="G819" s="39"/>
      <c r="H819" s="39"/>
      <c r="I819" s="39"/>
      <c r="J819" s="39"/>
      <c r="K819" s="39"/>
    </row>
    <row r="820">
      <c r="A820" s="39"/>
      <c r="B820" s="145"/>
      <c r="C820" s="39"/>
      <c r="D820" s="39"/>
      <c r="E820" s="39"/>
      <c r="F820" s="146"/>
      <c r="G820" s="39"/>
      <c r="H820" s="39"/>
      <c r="I820" s="39"/>
      <c r="J820" s="39"/>
      <c r="K820" s="39"/>
    </row>
    <row r="821">
      <c r="A821" s="39"/>
      <c r="B821" s="145"/>
      <c r="C821" s="39"/>
      <c r="D821" s="39"/>
      <c r="E821" s="39"/>
      <c r="F821" s="146"/>
      <c r="G821" s="39"/>
      <c r="H821" s="39"/>
      <c r="I821" s="39"/>
      <c r="J821" s="39"/>
      <c r="K821" s="39"/>
    </row>
    <row r="822">
      <c r="A822" s="39"/>
      <c r="B822" s="145"/>
      <c r="C822" s="39"/>
      <c r="D822" s="39"/>
      <c r="E822" s="39"/>
      <c r="F822" s="146"/>
      <c r="G822" s="39"/>
      <c r="H822" s="39"/>
      <c r="I822" s="39"/>
      <c r="J822" s="39"/>
      <c r="K822" s="39"/>
    </row>
    <row r="823">
      <c r="A823" s="39"/>
      <c r="B823" s="145"/>
      <c r="C823" s="39"/>
      <c r="D823" s="39"/>
      <c r="E823" s="39"/>
      <c r="F823" s="146"/>
      <c r="G823" s="39"/>
      <c r="H823" s="39"/>
      <c r="I823" s="39"/>
      <c r="J823" s="39"/>
      <c r="K823" s="39"/>
    </row>
    <row r="824">
      <c r="A824" s="39"/>
      <c r="B824" s="145"/>
      <c r="C824" s="39"/>
      <c r="D824" s="39"/>
      <c r="E824" s="39"/>
      <c r="F824" s="146"/>
      <c r="G824" s="39"/>
      <c r="H824" s="39"/>
      <c r="I824" s="39"/>
      <c r="J824" s="39"/>
      <c r="K824" s="39"/>
    </row>
    <row r="825">
      <c r="A825" s="39"/>
      <c r="B825" s="145"/>
      <c r="C825" s="39"/>
      <c r="D825" s="39"/>
      <c r="E825" s="39"/>
      <c r="F825" s="146"/>
      <c r="G825" s="39"/>
      <c r="H825" s="39"/>
      <c r="I825" s="39"/>
      <c r="J825" s="39"/>
      <c r="K825" s="39"/>
    </row>
    <row r="826">
      <c r="A826" s="39"/>
      <c r="B826" s="145"/>
      <c r="C826" s="39"/>
      <c r="D826" s="39"/>
      <c r="E826" s="39"/>
      <c r="F826" s="146"/>
      <c r="G826" s="39"/>
      <c r="H826" s="39"/>
      <c r="I826" s="39"/>
      <c r="J826" s="39"/>
      <c r="K826" s="39"/>
    </row>
    <row r="827">
      <c r="A827" s="39"/>
      <c r="B827" s="145"/>
      <c r="C827" s="39"/>
      <c r="D827" s="39"/>
      <c r="E827" s="39"/>
      <c r="F827" s="146"/>
      <c r="G827" s="39"/>
      <c r="H827" s="39"/>
      <c r="I827" s="39"/>
      <c r="J827" s="39"/>
      <c r="K827" s="39"/>
    </row>
    <row r="828">
      <c r="A828" s="39"/>
      <c r="B828" s="145"/>
      <c r="C828" s="39"/>
      <c r="D828" s="39"/>
      <c r="E828" s="39"/>
      <c r="F828" s="146"/>
      <c r="G828" s="39"/>
      <c r="H828" s="39"/>
      <c r="I828" s="39"/>
      <c r="J828" s="39"/>
      <c r="K828" s="39"/>
    </row>
    <row r="829">
      <c r="A829" s="39"/>
      <c r="B829" s="145"/>
      <c r="C829" s="39"/>
      <c r="D829" s="39"/>
      <c r="E829" s="39"/>
      <c r="F829" s="146"/>
      <c r="G829" s="39"/>
      <c r="H829" s="39"/>
      <c r="I829" s="39"/>
      <c r="J829" s="39"/>
      <c r="K829" s="39"/>
    </row>
    <row r="830">
      <c r="A830" s="39"/>
      <c r="B830" s="145"/>
      <c r="C830" s="39"/>
      <c r="D830" s="39"/>
      <c r="E830" s="39"/>
      <c r="F830" s="146"/>
      <c r="G830" s="39"/>
      <c r="H830" s="39"/>
      <c r="I830" s="39"/>
      <c r="J830" s="39"/>
      <c r="K830" s="39"/>
    </row>
    <row r="831">
      <c r="A831" s="39"/>
      <c r="B831" s="145"/>
      <c r="C831" s="39"/>
      <c r="D831" s="39"/>
      <c r="E831" s="39"/>
      <c r="F831" s="146"/>
      <c r="G831" s="39"/>
      <c r="H831" s="39"/>
      <c r="I831" s="39"/>
      <c r="J831" s="39"/>
      <c r="K831" s="39"/>
    </row>
    <row r="832">
      <c r="A832" s="39"/>
      <c r="B832" s="145"/>
      <c r="C832" s="39"/>
      <c r="D832" s="39"/>
      <c r="E832" s="39"/>
      <c r="F832" s="146"/>
      <c r="G832" s="39"/>
      <c r="H832" s="39"/>
      <c r="I832" s="39"/>
      <c r="J832" s="39"/>
      <c r="K832" s="39"/>
    </row>
    <row r="833">
      <c r="A833" s="39"/>
      <c r="B833" s="145"/>
      <c r="C833" s="39"/>
      <c r="D833" s="39"/>
      <c r="E833" s="39"/>
      <c r="F833" s="146"/>
      <c r="G833" s="39"/>
      <c r="H833" s="39"/>
      <c r="I833" s="39"/>
      <c r="J833" s="39"/>
      <c r="K833" s="39"/>
    </row>
    <row r="834">
      <c r="A834" s="39"/>
      <c r="B834" s="145"/>
      <c r="C834" s="39"/>
      <c r="D834" s="39"/>
      <c r="E834" s="39"/>
      <c r="F834" s="146"/>
      <c r="G834" s="39"/>
      <c r="H834" s="39"/>
      <c r="I834" s="39"/>
      <c r="J834" s="39"/>
      <c r="K834" s="39"/>
    </row>
    <row r="835">
      <c r="A835" s="39"/>
      <c r="B835" s="145"/>
      <c r="C835" s="39"/>
      <c r="D835" s="39"/>
      <c r="E835" s="39"/>
      <c r="F835" s="146"/>
      <c r="G835" s="39"/>
      <c r="H835" s="39"/>
      <c r="I835" s="39"/>
      <c r="J835" s="39"/>
      <c r="K835" s="39"/>
    </row>
    <row r="836">
      <c r="A836" s="39"/>
      <c r="B836" s="145"/>
      <c r="C836" s="39"/>
      <c r="D836" s="39"/>
      <c r="E836" s="39"/>
      <c r="F836" s="146"/>
      <c r="G836" s="39"/>
      <c r="H836" s="39"/>
      <c r="I836" s="39"/>
      <c r="J836" s="39"/>
      <c r="K836" s="39"/>
    </row>
    <row r="837">
      <c r="A837" s="39"/>
      <c r="B837" s="145"/>
      <c r="C837" s="39"/>
      <c r="D837" s="39"/>
      <c r="E837" s="39"/>
      <c r="F837" s="146"/>
      <c r="G837" s="39"/>
      <c r="H837" s="39"/>
      <c r="I837" s="39"/>
      <c r="J837" s="39"/>
      <c r="K837" s="39"/>
    </row>
    <row r="838">
      <c r="A838" s="39"/>
      <c r="B838" s="145"/>
      <c r="C838" s="39"/>
      <c r="D838" s="39"/>
      <c r="E838" s="39"/>
      <c r="F838" s="146"/>
      <c r="G838" s="39"/>
      <c r="H838" s="39"/>
      <c r="I838" s="39"/>
      <c r="J838" s="39"/>
      <c r="K838" s="39"/>
    </row>
    <row r="839">
      <c r="A839" s="39"/>
      <c r="B839" s="145"/>
      <c r="C839" s="39"/>
      <c r="D839" s="39"/>
      <c r="E839" s="39"/>
      <c r="F839" s="146"/>
      <c r="G839" s="39"/>
      <c r="H839" s="39"/>
      <c r="I839" s="39"/>
      <c r="J839" s="39"/>
      <c r="K839" s="39"/>
    </row>
    <row r="840">
      <c r="A840" s="39"/>
      <c r="B840" s="145"/>
      <c r="C840" s="39"/>
      <c r="D840" s="39"/>
      <c r="E840" s="39"/>
      <c r="F840" s="146"/>
      <c r="G840" s="39"/>
      <c r="H840" s="39"/>
      <c r="I840" s="39"/>
      <c r="J840" s="39"/>
      <c r="K840" s="39"/>
    </row>
    <row r="841">
      <c r="A841" s="39"/>
      <c r="B841" s="145"/>
      <c r="C841" s="39"/>
      <c r="D841" s="39"/>
      <c r="E841" s="39"/>
      <c r="F841" s="146"/>
      <c r="G841" s="39"/>
      <c r="H841" s="39"/>
      <c r="I841" s="39"/>
      <c r="J841" s="39"/>
      <c r="K841" s="39"/>
    </row>
    <row r="842">
      <c r="A842" s="39"/>
      <c r="B842" s="145"/>
      <c r="C842" s="39"/>
      <c r="D842" s="39"/>
      <c r="E842" s="39"/>
      <c r="F842" s="146"/>
      <c r="G842" s="39"/>
      <c r="H842" s="39"/>
      <c r="I842" s="39"/>
      <c r="J842" s="39"/>
      <c r="K842" s="39"/>
    </row>
    <row r="843">
      <c r="A843" s="39"/>
      <c r="B843" s="145"/>
      <c r="C843" s="39"/>
      <c r="D843" s="39"/>
      <c r="E843" s="39"/>
      <c r="F843" s="146"/>
      <c r="G843" s="39"/>
      <c r="H843" s="39"/>
      <c r="I843" s="39"/>
      <c r="J843" s="39"/>
      <c r="K843" s="39"/>
    </row>
    <row r="844">
      <c r="A844" s="39"/>
      <c r="B844" s="145"/>
      <c r="C844" s="39"/>
      <c r="D844" s="39"/>
      <c r="E844" s="39"/>
      <c r="F844" s="146"/>
      <c r="G844" s="39"/>
      <c r="H844" s="39"/>
      <c r="I844" s="39"/>
      <c r="J844" s="39"/>
      <c r="K844" s="39"/>
    </row>
    <row r="845">
      <c r="A845" s="39"/>
      <c r="B845" s="145"/>
      <c r="C845" s="39"/>
      <c r="D845" s="39"/>
      <c r="E845" s="39"/>
      <c r="F845" s="146"/>
      <c r="G845" s="39"/>
      <c r="H845" s="39"/>
      <c r="I845" s="39"/>
      <c r="J845" s="39"/>
      <c r="K845" s="39"/>
    </row>
    <row r="846">
      <c r="A846" s="39"/>
      <c r="B846" s="145"/>
      <c r="C846" s="39"/>
      <c r="D846" s="39"/>
      <c r="E846" s="39"/>
      <c r="F846" s="146"/>
      <c r="G846" s="39"/>
      <c r="H846" s="39"/>
      <c r="I846" s="39"/>
      <c r="J846" s="39"/>
      <c r="K846" s="39"/>
    </row>
    <row r="847">
      <c r="A847" s="39"/>
      <c r="B847" s="145"/>
      <c r="C847" s="39"/>
      <c r="D847" s="39"/>
      <c r="E847" s="39"/>
      <c r="F847" s="146"/>
      <c r="G847" s="39"/>
      <c r="H847" s="39"/>
      <c r="I847" s="39"/>
      <c r="J847" s="39"/>
      <c r="K847" s="39"/>
    </row>
    <row r="848">
      <c r="A848" s="39"/>
      <c r="B848" s="145"/>
      <c r="C848" s="39"/>
      <c r="D848" s="39"/>
      <c r="E848" s="39"/>
      <c r="F848" s="146"/>
      <c r="G848" s="39"/>
      <c r="H848" s="39"/>
      <c r="I848" s="39"/>
      <c r="J848" s="39"/>
      <c r="K848" s="39"/>
    </row>
    <row r="849">
      <c r="A849" s="39"/>
      <c r="B849" s="145"/>
      <c r="C849" s="39"/>
      <c r="D849" s="39"/>
      <c r="E849" s="39"/>
      <c r="F849" s="146"/>
      <c r="G849" s="39"/>
      <c r="H849" s="39"/>
      <c r="I849" s="39"/>
      <c r="J849" s="39"/>
      <c r="K849" s="39"/>
    </row>
    <row r="850">
      <c r="A850" s="39"/>
      <c r="B850" s="145"/>
      <c r="C850" s="39"/>
      <c r="D850" s="39"/>
      <c r="E850" s="39"/>
      <c r="F850" s="146"/>
      <c r="G850" s="39"/>
      <c r="H850" s="39"/>
      <c r="I850" s="39"/>
      <c r="J850" s="39"/>
      <c r="K850" s="39"/>
    </row>
    <row r="851">
      <c r="A851" s="39"/>
      <c r="B851" s="145"/>
      <c r="C851" s="39"/>
      <c r="D851" s="39"/>
      <c r="E851" s="39"/>
      <c r="F851" s="146"/>
      <c r="G851" s="39"/>
      <c r="H851" s="39"/>
      <c r="I851" s="39"/>
      <c r="J851" s="39"/>
      <c r="K851" s="39"/>
    </row>
    <row r="852">
      <c r="A852" s="39"/>
      <c r="B852" s="145"/>
      <c r="C852" s="39"/>
      <c r="D852" s="39"/>
      <c r="E852" s="39"/>
      <c r="F852" s="146"/>
      <c r="G852" s="39"/>
      <c r="H852" s="39"/>
      <c r="I852" s="39"/>
      <c r="J852" s="39"/>
      <c r="K852" s="39"/>
    </row>
    <row r="853">
      <c r="A853" s="39"/>
      <c r="B853" s="145"/>
      <c r="C853" s="39"/>
      <c r="D853" s="39"/>
      <c r="E853" s="39"/>
      <c r="F853" s="146"/>
      <c r="G853" s="39"/>
      <c r="H853" s="39"/>
      <c r="I853" s="39"/>
      <c r="J853" s="39"/>
      <c r="K853" s="39"/>
    </row>
    <row r="854">
      <c r="A854" s="39"/>
      <c r="B854" s="145"/>
      <c r="C854" s="39"/>
      <c r="D854" s="39"/>
      <c r="E854" s="39"/>
      <c r="F854" s="146"/>
      <c r="G854" s="39"/>
      <c r="H854" s="39"/>
      <c r="I854" s="39"/>
      <c r="J854" s="39"/>
      <c r="K854" s="39"/>
    </row>
    <row r="855">
      <c r="A855" s="39"/>
      <c r="B855" s="145"/>
      <c r="C855" s="39"/>
      <c r="D855" s="39"/>
      <c r="E855" s="39"/>
      <c r="F855" s="146"/>
      <c r="G855" s="39"/>
      <c r="H855" s="39"/>
      <c r="I855" s="39"/>
      <c r="J855" s="39"/>
      <c r="K855" s="39"/>
    </row>
    <row r="856">
      <c r="A856" s="39"/>
      <c r="B856" s="145"/>
      <c r="C856" s="39"/>
      <c r="D856" s="39"/>
      <c r="E856" s="39"/>
      <c r="F856" s="146"/>
      <c r="G856" s="39"/>
      <c r="H856" s="39"/>
      <c r="I856" s="39"/>
      <c r="J856" s="39"/>
      <c r="K856" s="39"/>
    </row>
    <row r="857">
      <c r="A857" s="39"/>
      <c r="B857" s="145"/>
      <c r="C857" s="39"/>
      <c r="D857" s="39"/>
      <c r="E857" s="39"/>
      <c r="F857" s="146"/>
      <c r="G857" s="39"/>
      <c r="H857" s="39"/>
      <c r="I857" s="39"/>
      <c r="J857" s="39"/>
      <c r="K857" s="39"/>
    </row>
    <row r="858">
      <c r="A858" s="39"/>
      <c r="B858" s="145"/>
      <c r="C858" s="39"/>
      <c r="D858" s="39"/>
      <c r="E858" s="39"/>
      <c r="F858" s="146"/>
      <c r="G858" s="39"/>
      <c r="H858" s="39"/>
      <c r="I858" s="39"/>
      <c r="J858" s="39"/>
      <c r="K858" s="39"/>
    </row>
    <row r="859">
      <c r="A859" s="39"/>
      <c r="B859" s="145"/>
      <c r="C859" s="39"/>
      <c r="D859" s="39"/>
      <c r="E859" s="39"/>
      <c r="F859" s="146"/>
      <c r="G859" s="39"/>
      <c r="H859" s="39"/>
      <c r="I859" s="39"/>
      <c r="J859" s="39"/>
      <c r="K859" s="39"/>
    </row>
    <row r="860">
      <c r="A860" s="39"/>
      <c r="B860" s="145"/>
      <c r="C860" s="39"/>
      <c r="D860" s="39"/>
      <c r="E860" s="39"/>
      <c r="F860" s="146"/>
      <c r="G860" s="39"/>
      <c r="H860" s="39"/>
      <c r="I860" s="39"/>
      <c r="J860" s="39"/>
      <c r="K860" s="39"/>
    </row>
    <row r="861">
      <c r="A861" s="39"/>
      <c r="B861" s="145"/>
      <c r="C861" s="39"/>
      <c r="D861" s="39"/>
      <c r="E861" s="39"/>
      <c r="F861" s="146"/>
      <c r="G861" s="39"/>
      <c r="H861" s="39"/>
      <c r="I861" s="39"/>
      <c r="J861" s="39"/>
      <c r="K861" s="39"/>
    </row>
    <row r="862">
      <c r="A862" s="39"/>
      <c r="B862" s="145"/>
      <c r="C862" s="39"/>
      <c r="D862" s="39"/>
      <c r="E862" s="39"/>
      <c r="F862" s="146"/>
      <c r="G862" s="39"/>
      <c r="H862" s="39"/>
      <c r="I862" s="39"/>
      <c r="J862" s="39"/>
      <c r="K862" s="39"/>
    </row>
    <row r="863">
      <c r="A863" s="39"/>
      <c r="B863" s="145"/>
      <c r="C863" s="39"/>
      <c r="D863" s="39"/>
      <c r="E863" s="39"/>
      <c r="F863" s="146"/>
      <c r="G863" s="39"/>
      <c r="H863" s="39"/>
      <c r="I863" s="39"/>
      <c r="J863" s="39"/>
      <c r="K863" s="39"/>
    </row>
    <row r="864">
      <c r="A864" s="39"/>
      <c r="B864" s="145"/>
      <c r="C864" s="39"/>
      <c r="D864" s="39"/>
      <c r="E864" s="39"/>
      <c r="F864" s="146"/>
      <c r="G864" s="39"/>
      <c r="H864" s="39"/>
      <c r="I864" s="39"/>
      <c r="J864" s="39"/>
      <c r="K864" s="39"/>
    </row>
    <row r="865">
      <c r="A865" s="39"/>
      <c r="B865" s="145"/>
      <c r="C865" s="39"/>
      <c r="D865" s="39"/>
      <c r="E865" s="39"/>
      <c r="F865" s="146"/>
      <c r="G865" s="39"/>
      <c r="H865" s="39"/>
      <c r="I865" s="39"/>
      <c r="J865" s="39"/>
      <c r="K865" s="39"/>
    </row>
    <row r="866">
      <c r="A866" s="39"/>
      <c r="B866" s="145"/>
      <c r="C866" s="39"/>
      <c r="D866" s="39"/>
      <c r="E866" s="39"/>
      <c r="F866" s="146"/>
      <c r="G866" s="39"/>
      <c r="H866" s="39"/>
      <c r="I866" s="39"/>
      <c r="J866" s="39"/>
      <c r="K866" s="39"/>
    </row>
    <row r="867">
      <c r="A867" s="39"/>
      <c r="B867" s="145"/>
      <c r="C867" s="39"/>
      <c r="D867" s="39"/>
      <c r="E867" s="39"/>
      <c r="F867" s="146"/>
      <c r="G867" s="39"/>
      <c r="H867" s="39"/>
      <c r="I867" s="39"/>
      <c r="J867" s="39"/>
      <c r="K867" s="39"/>
    </row>
    <row r="868">
      <c r="A868" s="39"/>
      <c r="B868" s="145"/>
      <c r="C868" s="39"/>
      <c r="D868" s="39"/>
      <c r="E868" s="39"/>
      <c r="F868" s="146"/>
      <c r="G868" s="39"/>
      <c r="H868" s="39"/>
      <c r="I868" s="39"/>
      <c r="J868" s="39"/>
      <c r="K868" s="39"/>
    </row>
    <row r="869">
      <c r="A869" s="39"/>
      <c r="B869" s="145"/>
      <c r="C869" s="39"/>
      <c r="D869" s="39"/>
      <c r="E869" s="39"/>
      <c r="F869" s="146"/>
      <c r="G869" s="39"/>
      <c r="H869" s="39"/>
      <c r="I869" s="39"/>
      <c r="J869" s="39"/>
      <c r="K869" s="39"/>
    </row>
    <row r="870">
      <c r="A870" s="39"/>
      <c r="B870" s="145"/>
      <c r="C870" s="39"/>
      <c r="D870" s="39"/>
      <c r="E870" s="39"/>
      <c r="F870" s="146"/>
      <c r="G870" s="39"/>
      <c r="H870" s="39"/>
      <c r="I870" s="39"/>
      <c r="J870" s="39"/>
      <c r="K870" s="39"/>
    </row>
    <row r="871">
      <c r="A871" s="39"/>
      <c r="B871" s="145"/>
      <c r="C871" s="39"/>
      <c r="D871" s="39"/>
      <c r="E871" s="39"/>
      <c r="F871" s="146"/>
      <c r="G871" s="39"/>
      <c r="H871" s="39"/>
      <c r="I871" s="39"/>
      <c r="J871" s="39"/>
      <c r="K871" s="39"/>
    </row>
    <row r="872">
      <c r="A872" s="39"/>
      <c r="B872" s="145"/>
      <c r="C872" s="39"/>
      <c r="D872" s="39"/>
      <c r="E872" s="39"/>
      <c r="F872" s="146"/>
      <c r="G872" s="39"/>
      <c r="H872" s="39"/>
      <c r="I872" s="39"/>
      <c r="J872" s="39"/>
      <c r="K872" s="39"/>
    </row>
    <row r="873">
      <c r="A873" s="39"/>
      <c r="B873" s="145"/>
      <c r="C873" s="39"/>
      <c r="D873" s="39"/>
      <c r="E873" s="39"/>
      <c r="F873" s="146"/>
      <c r="G873" s="39"/>
      <c r="H873" s="39"/>
      <c r="I873" s="39"/>
      <c r="J873" s="39"/>
      <c r="K873" s="39"/>
    </row>
    <row r="874">
      <c r="A874" s="39"/>
      <c r="B874" s="145"/>
      <c r="C874" s="39"/>
      <c r="D874" s="39"/>
      <c r="E874" s="39"/>
      <c r="F874" s="146"/>
      <c r="G874" s="39"/>
      <c r="H874" s="39"/>
      <c r="I874" s="39"/>
      <c r="J874" s="39"/>
      <c r="K874" s="39"/>
    </row>
    <row r="875">
      <c r="A875" s="39"/>
      <c r="B875" s="145"/>
      <c r="C875" s="39"/>
      <c r="D875" s="39"/>
      <c r="E875" s="39"/>
      <c r="F875" s="146"/>
      <c r="G875" s="39"/>
      <c r="H875" s="39"/>
      <c r="I875" s="39"/>
      <c r="J875" s="39"/>
      <c r="K875" s="39"/>
    </row>
    <row r="876">
      <c r="A876" s="39"/>
      <c r="B876" s="145"/>
      <c r="C876" s="39"/>
      <c r="D876" s="39"/>
      <c r="E876" s="39"/>
      <c r="F876" s="146"/>
      <c r="G876" s="39"/>
      <c r="H876" s="39"/>
      <c r="I876" s="39"/>
      <c r="J876" s="39"/>
      <c r="K876" s="39"/>
    </row>
    <row r="877">
      <c r="A877" s="39"/>
      <c r="B877" s="145"/>
      <c r="C877" s="39"/>
      <c r="D877" s="39"/>
      <c r="E877" s="39"/>
      <c r="F877" s="146"/>
      <c r="G877" s="39"/>
      <c r="H877" s="39"/>
      <c r="I877" s="39"/>
      <c r="J877" s="39"/>
      <c r="K877" s="39"/>
    </row>
    <row r="878">
      <c r="A878" s="39"/>
      <c r="B878" s="145"/>
      <c r="C878" s="39"/>
      <c r="D878" s="39"/>
      <c r="E878" s="39"/>
      <c r="F878" s="146"/>
      <c r="G878" s="39"/>
      <c r="H878" s="39"/>
      <c r="I878" s="39"/>
      <c r="J878" s="39"/>
      <c r="K878" s="39"/>
    </row>
    <row r="879">
      <c r="A879" s="39"/>
      <c r="B879" s="145"/>
      <c r="C879" s="39"/>
      <c r="D879" s="39"/>
      <c r="E879" s="39"/>
      <c r="F879" s="146"/>
      <c r="G879" s="39"/>
      <c r="H879" s="39"/>
      <c r="I879" s="39"/>
      <c r="J879" s="39"/>
      <c r="K879" s="39"/>
    </row>
    <row r="880">
      <c r="A880" s="39"/>
      <c r="B880" s="145"/>
      <c r="C880" s="39"/>
      <c r="D880" s="39"/>
      <c r="E880" s="39"/>
      <c r="F880" s="146"/>
      <c r="G880" s="39"/>
      <c r="H880" s="39"/>
      <c r="I880" s="39"/>
      <c r="J880" s="39"/>
      <c r="K880" s="39"/>
    </row>
    <row r="881">
      <c r="A881" s="39"/>
      <c r="B881" s="145"/>
      <c r="C881" s="39"/>
      <c r="D881" s="39"/>
      <c r="E881" s="39"/>
      <c r="F881" s="146"/>
      <c r="G881" s="39"/>
      <c r="H881" s="39"/>
      <c r="I881" s="39"/>
      <c r="J881" s="39"/>
      <c r="K881" s="39"/>
    </row>
    <row r="882">
      <c r="A882" s="39"/>
      <c r="B882" s="145"/>
      <c r="C882" s="39"/>
      <c r="D882" s="39"/>
      <c r="E882" s="39"/>
      <c r="F882" s="146"/>
      <c r="G882" s="39"/>
      <c r="H882" s="39"/>
      <c r="I882" s="39"/>
      <c r="J882" s="39"/>
      <c r="K882" s="39"/>
    </row>
    <row r="883">
      <c r="A883" s="39"/>
      <c r="B883" s="145"/>
      <c r="C883" s="39"/>
      <c r="D883" s="39"/>
      <c r="E883" s="39"/>
      <c r="F883" s="146"/>
      <c r="G883" s="39"/>
      <c r="H883" s="39"/>
      <c r="I883" s="39"/>
      <c r="J883" s="39"/>
      <c r="K883" s="39"/>
    </row>
    <row r="884">
      <c r="A884" s="39"/>
      <c r="B884" s="145"/>
      <c r="C884" s="39"/>
      <c r="D884" s="39"/>
      <c r="E884" s="39"/>
      <c r="F884" s="146"/>
      <c r="G884" s="39"/>
      <c r="H884" s="39"/>
      <c r="I884" s="39"/>
      <c r="J884" s="39"/>
      <c r="K884" s="39"/>
    </row>
    <row r="885">
      <c r="A885" s="39"/>
      <c r="B885" s="145"/>
      <c r="C885" s="39"/>
      <c r="D885" s="39"/>
      <c r="E885" s="39"/>
      <c r="F885" s="146"/>
      <c r="G885" s="39"/>
      <c r="H885" s="39"/>
      <c r="I885" s="39"/>
      <c r="J885" s="39"/>
      <c r="K885" s="39"/>
    </row>
    <row r="886">
      <c r="A886" s="39"/>
      <c r="B886" s="145"/>
      <c r="C886" s="39"/>
      <c r="D886" s="39"/>
      <c r="E886" s="39"/>
      <c r="F886" s="146"/>
      <c r="G886" s="39"/>
      <c r="H886" s="39"/>
      <c r="I886" s="39"/>
      <c r="J886" s="39"/>
      <c r="K886" s="39"/>
    </row>
    <row r="887">
      <c r="A887" s="39"/>
      <c r="B887" s="145"/>
      <c r="C887" s="39"/>
      <c r="D887" s="39"/>
      <c r="E887" s="39"/>
      <c r="F887" s="146"/>
      <c r="G887" s="39"/>
      <c r="H887" s="39"/>
      <c r="I887" s="39"/>
      <c r="J887" s="39"/>
      <c r="K887" s="39"/>
    </row>
    <row r="888">
      <c r="A888" s="39"/>
      <c r="B888" s="145"/>
      <c r="C888" s="39"/>
      <c r="D888" s="39"/>
      <c r="E888" s="39"/>
      <c r="F888" s="146"/>
      <c r="G888" s="39"/>
      <c r="H888" s="39"/>
      <c r="I888" s="39"/>
      <c r="J888" s="39"/>
      <c r="K888" s="39"/>
    </row>
    <row r="889">
      <c r="A889" s="39"/>
      <c r="B889" s="145"/>
      <c r="C889" s="39"/>
      <c r="D889" s="39"/>
      <c r="E889" s="39"/>
      <c r="F889" s="146"/>
      <c r="G889" s="39"/>
      <c r="H889" s="39"/>
      <c r="I889" s="39"/>
      <c r="J889" s="39"/>
      <c r="K889" s="39"/>
    </row>
    <row r="890">
      <c r="A890" s="39"/>
      <c r="B890" s="145"/>
      <c r="C890" s="39"/>
      <c r="D890" s="39"/>
      <c r="E890" s="39"/>
      <c r="F890" s="146"/>
      <c r="G890" s="39"/>
      <c r="H890" s="39"/>
      <c r="I890" s="39"/>
      <c r="J890" s="39"/>
      <c r="K890" s="39"/>
    </row>
    <row r="891">
      <c r="A891" s="39"/>
      <c r="B891" s="145"/>
      <c r="C891" s="39"/>
      <c r="D891" s="39"/>
      <c r="E891" s="39"/>
      <c r="F891" s="146"/>
      <c r="G891" s="39"/>
      <c r="H891" s="39"/>
      <c r="I891" s="39"/>
      <c r="J891" s="39"/>
      <c r="K891" s="39"/>
    </row>
    <row r="892">
      <c r="A892" s="39"/>
      <c r="B892" s="145"/>
      <c r="C892" s="39"/>
      <c r="D892" s="39"/>
      <c r="E892" s="39"/>
      <c r="F892" s="146"/>
      <c r="G892" s="39"/>
      <c r="H892" s="39"/>
      <c r="I892" s="39"/>
      <c r="J892" s="39"/>
      <c r="K892" s="39"/>
    </row>
    <row r="893">
      <c r="A893" s="39"/>
      <c r="B893" s="145"/>
      <c r="C893" s="39"/>
      <c r="D893" s="39"/>
      <c r="E893" s="39"/>
      <c r="F893" s="146"/>
      <c r="G893" s="39"/>
      <c r="H893" s="39"/>
      <c r="I893" s="39"/>
      <c r="J893" s="39"/>
      <c r="K893" s="39"/>
    </row>
    <row r="894">
      <c r="A894" s="39"/>
      <c r="B894" s="145"/>
      <c r="C894" s="39"/>
      <c r="D894" s="39"/>
      <c r="E894" s="39"/>
      <c r="F894" s="146"/>
      <c r="G894" s="39"/>
      <c r="H894" s="39"/>
      <c r="I894" s="39"/>
      <c r="J894" s="39"/>
      <c r="K894" s="39"/>
    </row>
    <row r="895">
      <c r="A895" s="39"/>
      <c r="B895" s="145"/>
      <c r="C895" s="39"/>
      <c r="D895" s="39"/>
      <c r="E895" s="39"/>
      <c r="F895" s="146"/>
      <c r="G895" s="39"/>
      <c r="H895" s="39"/>
      <c r="I895" s="39"/>
      <c r="J895" s="39"/>
      <c r="K895" s="39"/>
    </row>
    <row r="896">
      <c r="A896" s="39"/>
      <c r="B896" s="145"/>
      <c r="C896" s="39"/>
      <c r="D896" s="39"/>
      <c r="E896" s="39"/>
      <c r="F896" s="146"/>
      <c r="G896" s="39"/>
      <c r="H896" s="39"/>
      <c r="I896" s="39"/>
      <c r="J896" s="39"/>
      <c r="K896" s="39"/>
    </row>
    <row r="897">
      <c r="A897" s="39"/>
      <c r="B897" s="145"/>
      <c r="C897" s="39"/>
      <c r="D897" s="39"/>
      <c r="E897" s="39"/>
      <c r="F897" s="146"/>
      <c r="G897" s="39"/>
      <c r="H897" s="39"/>
      <c r="I897" s="39"/>
      <c r="J897" s="39"/>
      <c r="K897" s="39"/>
    </row>
    <row r="898">
      <c r="A898" s="39"/>
      <c r="B898" s="145"/>
      <c r="C898" s="39"/>
      <c r="D898" s="39"/>
      <c r="E898" s="39"/>
      <c r="F898" s="146"/>
      <c r="G898" s="39"/>
      <c r="H898" s="39"/>
      <c r="I898" s="39"/>
      <c r="J898" s="39"/>
      <c r="K898" s="39"/>
    </row>
    <row r="899">
      <c r="A899" s="39"/>
      <c r="B899" s="145"/>
      <c r="C899" s="39"/>
      <c r="D899" s="39"/>
      <c r="E899" s="39"/>
      <c r="F899" s="146"/>
      <c r="G899" s="39"/>
      <c r="H899" s="39"/>
      <c r="I899" s="39"/>
      <c r="J899" s="39"/>
      <c r="K899" s="39"/>
    </row>
    <row r="900">
      <c r="A900" s="39"/>
      <c r="B900" s="145"/>
      <c r="C900" s="39"/>
      <c r="D900" s="39"/>
      <c r="E900" s="39"/>
      <c r="F900" s="146"/>
      <c r="G900" s="39"/>
      <c r="H900" s="39"/>
      <c r="I900" s="39"/>
      <c r="J900" s="39"/>
      <c r="K900" s="39"/>
    </row>
    <row r="901">
      <c r="A901" s="39"/>
      <c r="B901" s="145"/>
      <c r="C901" s="39"/>
      <c r="D901" s="39"/>
      <c r="E901" s="39"/>
      <c r="F901" s="146"/>
      <c r="G901" s="39"/>
      <c r="H901" s="39"/>
      <c r="I901" s="39"/>
      <c r="J901" s="39"/>
      <c r="K901" s="39"/>
    </row>
    <row r="902">
      <c r="A902" s="39"/>
      <c r="B902" s="145"/>
      <c r="C902" s="39"/>
      <c r="D902" s="39"/>
      <c r="E902" s="39"/>
      <c r="F902" s="146"/>
      <c r="G902" s="39"/>
      <c r="H902" s="39"/>
      <c r="I902" s="39"/>
      <c r="J902" s="39"/>
      <c r="K902" s="39"/>
    </row>
    <row r="903">
      <c r="A903" s="39"/>
      <c r="B903" s="145"/>
      <c r="C903" s="39"/>
      <c r="D903" s="39"/>
      <c r="E903" s="39"/>
      <c r="F903" s="146"/>
      <c r="G903" s="39"/>
      <c r="H903" s="39"/>
      <c r="I903" s="39"/>
      <c r="J903" s="39"/>
      <c r="K903" s="39"/>
    </row>
    <row r="904">
      <c r="A904" s="39"/>
      <c r="B904" s="145"/>
      <c r="C904" s="39"/>
      <c r="D904" s="39"/>
      <c r="E904" s="39"/>
      <c r="F904" s="146"/>
      <c r="G904" s="39"/>
      <c r="H904" s="39"/>
      <c r="I904" s="39"/>
      <c r="J904" s="39"/>
      <c r="K904" s="39"/>
    </row>
    <row r="905">
      <c r="A905" s="39"/>
      <c r="B905" s="145"/>
      <c r="C905" s="39"/>
      <c r="D905" s="39"/>
      <c r="E905" s="39"/>
      <c r="F905" s="146"/>
      <c r="G905" s="39"/>
      <c r="H905" s="39"/>
      <c r="I905" s="39"/>
      <c r="J905" s="39"/>
      <c r="K905" s="39"/>
    </row>
    <row r="906">
      <c r="A906" s="39"/>
      <c r="B906" s="145"/>
      <c r="C906" s="39"/>
      <c r="D906" s="39"/>
      <c r="E906" s="39"/>
      <c r="F906" s="146"/>
      <c r="G906" s="39"/>
      <c r="H906" s="39"/>
      <c r="I906" s="39"/>
      <c r="J906" s="39"/>
      <c r="K906" s="39"/>
    </row>
    <row r="907">
      <c r="A907" s="39"/>
      <c r="B907" s="145"/>
      <c r="C907" s="39"/>
      <c r="D907" s="39"/>
      <c r="E907" s="39"/>
      <c r="F907" s="146"/>
      <c r="G907" s="39"/>
      <c r="H907" s="39"/>
      <c r="I907" s="39"/>
      <c r="J907" s="39"/>
      <c r="K907" s="39"/>
    </row>
    <row r="908">
      <c r="A908" s="39"/>
      <c r="B908" s="145"/>
      <c r="C908" s="39"/>
      <c r="D908" s="39"/>
      <c r="E908" s="39"/>
      <c r="F908" s="146"/>
      <c r="G908" s="39"/>
      <c r="H908" s="39"/>
      <c r="I908" s="39"/>
      <c r="J908" s="39"/>
      <c r="K908" s="39"/>
    </row>
    <row r="909">
      <c r="A909" s="39"/>
      <c r="B909" s="145"/>
      <c r="C909" s="39"/>
      <c r="D909" s="39"/>
      <c r="E909" s="39"/>
      <c r="F909" s="146"/>
      <c r="G909" s="39"/>
      <c r="H909" s="39"/>
      <c r="I909" s="39"/>
      <c r="J909" s="39"/>
      <c r="K909" s="39"/>
    </row>
    <row r="910">
      <c r="A910" s="39"/>
      <c r="B910" s="145"/>
      <c r="C910" s="39"/>
      <c r="D910" s="39"/>
      <c r="E910" s="39"/>
      <c r="F910" s="146"/>
      <c r="G910" s="39"/>
      <c r="H910" s="39"/>
      <c r="I910" s="39"/>
      <c r="J910" s="39"/>
      <c r="K910" s="39"/>
    </row>
    <row r="911">
      <c r="A911" s="39"/>
      <c r="B911" s="145"/>
      <c r="C911" s="39"/>
      <c r="D911" s="39"/>
      <c r="E911" s="39"/>
      <c r="F911" s="146"/>
      <c r="G911" s="39"/>
      <c r="H911" s="39"/>
      <c r="I911" s="39"/>
      <c r="J911" s="39"/>
      <c r="K911" s="39"/>
    </row>
    <row r="912">
      <c r="A912" s="39"/>
      <c r="B912" s="145"/>
      <c r="C912" s="39"/>
      <c r="D912" s="39"/>
      <c r="E912" s="39"/>
      <c r="F912" s="146"/>
      <c r="G912" s="39"/>
      <c r="H912" s="39"/>
      <c r="I912" s="39"/>
      <c r="J912" s="39"/>
      <c r="K912" s="39"/>
    </row>
    <row r="913">
      <c r="A913" s="39"/>
      <c r="B913" s="145"/>
      <c r="C913" s="39"/>
      <c r="D913" s="39"/>
      <c r="E913" s="39"/>
      <c r="F913" s="146"/>
      <c r="G913" s="39"/>
      <c r="H913" s="39"/>
      <c r="I913" s="39"/>
      <c r="J913" s="39"/>
      <c r="K913" s="39"/>
    </row>
    <row r="914">
      <c r="A914" s="39"/>
      <c r="B914" s="145"/>
      <c r="C914" s="39"/>
      <c r="D914" s="39"/>
      <c r="E914" s="39"/>
      <c r="F914" s="146"/>
      <c r="G914" s="39"/>
      <c r="H914" s="39"/>
      <c r="I914" s="39"/>
      <c r="J914" s="39"/>
      <c r="K914" s="39"/>
    </row>
    <row r="915">
      <c r="A915" s="39"/>
      <c r="B915" s="145"/>
      <c r="C915" s="39"/>
      <c r="D915" s="39"/>
      <c r="E915" s="39"/>
      <c r="F915" s="146"/>
      <c r="G915" s="39"/>
      <c r="H915" s="39"/>
      <c r="I915" s="39"/>
      <c r="J915" s="39"/>
      <c r="K915" s="39"/>
    </row>
    <row r="916">
      <c r="A916" s="39"/>
      <c r="B916" s="145"/>
      <c r="C916" s="39"/>
      <c r="D916" s="39"/>
      <c r="E916" s="39"/>
      <c r="F916" s="146"/>
      <c r="G916" s="39"/>
      <c r="H916" s="39"/>
      <c r="I916" s="39"/>
      <c r="J916" s="39"/>
      <c r="K916" s="39"/>
    </row>
    <row r="917">
      <c r="A917" s="39"/>
      <c r="B917" s="145"/>
      <c r="C917" s="39"/>
      <c r="D917" s="39"/>
      <c r="E917" s="39"/>
      <c r="F917" s="146"/>
      <c r="G917" s="39"/>
      <c r="H917" s="39"/>
      <c r="I917" s="39"/>
      <c r="J917" s="39"/>
      <c r="K917" s="39"/>
    </row>
    <row r="918">
      <c r="A918" s="39"/>
      <c r="B918" s="145"/>
      <c r="C918" s="39"/>
      <c r="D918" s="39"/>
      <c r="E918" s="39"/>
      <c r="F918" s="146"/>
      <c r="G918" s="39"/>
      <c r="H918" s="39"/>
      <c r="I918" s="39"/>
      <c r="J918" s="39"/>
      <c r="K918" s="39"/>
    </row>
    <row r="919">
      <c r="A919" s="39"/>
      <c r="B919" s="145"/>
      <c r="C919" s="39"/>
      <c r="D919" s="39"/>
      <c r="E919" s="39"/>
      <c r="F919" s="146"/>
      <c r="G919" s="39"/>
      <c r="H919" s="39"/>
      <c r="I919" s="39"/>
      <c r="J919" s="39"/>
      <c r="K919" s="39"/>
    </row>
    <row r="920">
      <c r="A920" s="39"/>
      <c r="B920" s="145"/>
      <c r="C920" s="39"/>
      <c r="D920" s="39"/>
      <c r="E920" s="39"/>
      <c r="F920" s="146"/>
      <c r="G920" s="39"/>
      <c r="H920" s="39"/>
      <c r="I920" s="39"/>
      <c r="J920" s="39"/>
      <c r="K920" s="39"/>
    </row>
    <row r="921">
      <c r="A921" s="39"/>
      <c r="B921" s="145"/>
      <c r="C921" s="39"/>
      <c r="D921" s="39"/>
      <c r="E921" s="39"/>
      <c r="F921" s="146"/>
      <c r="G921" s="39"/>
      <c r="H921" s="39"/>
      <c r="I921" s="39"/>
      <c r="J921" s="39"/>
      <c r="K921" s="39"/>
    </row>
    <row r="922">
      <c r="A922" s="39"/>
      <c r="B922" s="145"/>
      <c r="C922" s="39"/>
      <c r="D922" s="39"/>
      <c r="E922" s="39"/>
      <c r="F922" s="146"/>
      <c r="G922" s="39"/>
      <c r="H922" s="39"/>
      <c r="I922" s="39"/>
      <c r="J922" s="39"/>
      <c r="K922" s="39"/>
    </row>
    <row r="923">
      <c r="A923" s="39"/>
      <c r="B923" s="145"/>
      <c r="C923" s="39"/>
      <c r="D923" s="39"/>
      <c r="E923" s="39"/>
      <c r="F923" s="146"/>
      <c r="G923" s="39"/>
      <c r="H923" s="39"/>
      <c r="I923" s="39"/>
      <c r="J923" s="39"/>
      <c r="K923" s="39"/>
    </row>
    <row r="924">
      <c r="A924" s="39"/>
      <c r="B924" s="145"/>
      <c r="C924" s="39"/>
      <c r="D924" s="39"/>
      <c r="E924" s="39"/>
      <c r="F924" s="146"/>
      <c r="G924" s="39"/>
      <c r="H924" s="39"/>
      <c r="I924" s="39"/>
      <c r="J924" s="39"/>
      <c r="K924" s="39"/>
    </row>
    <row r="925">
      <c r="A925" s="39"/>
      <c r="B925" s="145"/>
      <c r="C925" s="39"/>
      <c r="D925" s="39"/>
      <c r="E925" s="39"/>
      <c r="F925" s="146"/>
      <c r="G925" s="39"/>
      <c r="H925" s="39"/>
      <c r="I925" s="39"/>
      <c r="J925" s="39"/>
      <c r="K925" s="39"/>
    </row>
    <row r="926">
      <c r="A926" s="39"/>
      <c r="B926" s="145"/>
      <c r="C926" s="39"/>
      <c r="D926" s="39"/>
      <c r="E926" s="39"/>
      <c r="F926" s="146"/>
      <c r="G926" s="39"/>
      <c r="H926" s="39"/>
      <c r="I926" s="39"/>
      <c r="J926" s="39"/>
      <c r="K926" s="39"/>
    </row>
    <row r="927">
      <c r="A927" s="39"/>
      <c r="B927" s="145"/>
      <c r="C927" s="39"/>
      <c r="D927" s="39"/>
      <c r="E927" s="39"/>
      <c r="F927" s="146"/>
      <c r="G927" s="39"/>
      <c r="H927" s="39"/>
      <c r="I927" s="39"/>
      <c r="J927" s="39"/>
      <c r="K927" s="39"/>
    </row>
    <row r="928">
      <c r="A928" s="39"/>
      <c r="B928" s="145"/>
      <c r="C928" s="39"/>
      <c r="D928" s="39"/>
      <c r="E928" s="39"/>
      <c r="F928" s="146"/>
      <c r="G928" s="39"/>
      <c r="H928" s="39"/>
      <c r="I928" s="39"/>
      <c r="J928" s="39"/>
      <c r="K928" s="39"/>
    </row>
    <row r="929">
      <c r="A929" s="39"/>
      <c r="B929" s="145"/>
      <c r="C929" s="39"/>
      <c r="D929" s="39"/>
      <c r="E929" s="39"/>
      <c r="F929" s="146"/>
      <c r="G929" s="39"/>
      <c r="H929" s="39"/>
      <c r="I929" s="39"/>
      <c r="J929" s="39"/>
      <c r="K929" s="39"/>
    </row>
    <row r="930">
      <c r="A930" s="39"/>
      <c r="B930" s="145"/>
      <c r="C930" s="39"/>
      <c r="D930" s="39"/>
      <c r="E930" s="39"/>
      <c r="F930" s="146"/>
      <c r="G930" s="39"/>
      <c r="H930" s="39"/>
      <c r="I930" s="39"/>
      <c r="J930" s="39"/>
      <c r="K930" s="39"/>
    </row>
    <row r="931">
      <c r="A931" s="39"/>
      <c r="B931" s="145"/>
      <c r="C931" s="39"/>
      <c r="D931" s="39"/>
      <c r="E931" s="39"/>
      <c r="F931" s="146"/>
      <c r="G931" s="39"/>
      <c r="H931" s="39"/>
      <c r="I931" s="39"/>
      <c r="J931" s="39"/>
      <c r="K931" s="39"/>
    </row>
    <row r="932">
      <c r="A932" s="39"/>
      <c r="B932" s="145"/>
      <c r="C932" s="39"/>
      <c r="D932" s="39"/>
      <c r="E932" s="39"/>
      <c r="F932" s="146"/>
      <c r="G932" s="39"/>
      <c r="H932" s="39"/>
      <c r="I932" s="39"/>
      <c r="J932" s="39"/>
      <c r="K932" s="39"/>
    </row>
    <row r="933">
      <c r="A933" s="39"/>
      <c r="B933" s="145"/>
      <c r="C933" s="39"/>
      <c r="D933" s="39"/>
      <c r="E933" s="39"/>
      <c r="F933" s="146"/>
      <c r="G933" s="39"/>
      <c r="H933" s="39"/>
      <c r="I933" s="39"/>
      <c r="J933" s="39"/>
      <c r="K933" s="39"/>
    </row>
    <row r="934">
      <c r="A934" s="39"/>
      <c r="B934" s="145"/>
      <c r="C934" s="39"/>
      <c r="D934" s="39"/>
      <c r="E934" s="39"/>
      <c r="F934" s="146"/>
      <c r="G934" s="39"/>
      <c r="H934" s="39"/>
      <c r="I934" s="39"/>
      <c r="J934" s="39"/>
      <c r="K934" s="39"/>
    </row>
    <row r="935">
      <c r="A935" s="39"/>
      <c r="B935" s="145"/>
      <c r="C935" s="39"/>
      <c r="D935" s="39"/>
      <c r="E935" s="39"/>
      <c r="F935" s="146"/>
      <c r="G935" s="39"/>
      <c r="H935" s="39"/>
      <c r="I935" s="39"/>
      <c r="J935" s="39"/>
      <c r="K935" s="39"/>
    </row>
    <row r="936">
      <c r="A936" s="39"/>
      <c r="B936" s="145"/>
      <c r="C936" s="39"/>
      <c r="D936" s="39"/>
      <c r="E936" s="39"/>
      <c r="F936" s="146"/>
      <c r="G936" s="39"/>
      <c r="H936" s="39"/>
      <c r="I936" s="39"/>
      <c r="J936" s="39"/>
      <c r="K936" s="39"/>
    </row>
    <row r="937">
      <c r="A937" s="39"/>
      <c r="B937" s="145"/>
      <c r="C937" s="39"/>
      <c r="D937" s="39"/>
      <c r="E937" s="39"/>
      <c r="F937" s="146"/>
      <c r="G937" s="39"/>
      <c r="H937" s="39"/>
      <c r="I937" s="39"/>
      <c r="J937" s="39"/>
      <c r="K937" s="39"/>
    </row>
    <row r="938">
      <c r="A938" s="39"/>
      <c r="B938" s="145"/>
      <c r="C938" s="39"/>
      <c r="D938" s="39"/>
      <c r="E938" s="39"/>
      <c r="F938" s="146"/>
      <c r="G938" s="39"/>
      <c r="H938" s="39"/>
      <c r="I938" s="39"/>
      <c r="J938" s="39"/>
      <c r="K938" s="39"/>
    </row>
    <row r="939">
      <c r="A939" s="39"/>
      <c r="B939" s="145"/>
      <c r="C939" s="39"/>
      <c r="D939" s="39"/>
      <c r="E939" s="39"/>
      <c r="F939" s="146"/>
      <c r="G939" s="39"/>
      <c r="H939" s="39"/>
      <c r="I939" s="39"/>
      <c r="J939" s="39"/>
      <c r="K939" s="39"/>
    </row>
    <row r="940">
      <c r="A940" s="39"/>
      <c r="B940" s="145"/>
      <c r="C940" s="39"/>
      <c r="D940" s="39"/>
      <c r="E940" s="39"/>
      <c r="F940" s="146"/>
      <c r="G940" s="39"/>
      <c r="H940" s="39"/>
      <c r="I940" s="39"/>
      <c r="J940" s="39"/>
      <c r="K940" s="39"/>
    </row>
    <row r="941">
      <c r="A941" s="39"/>
      <c r="B941" s="145"/>
      <c r="C941" s="39"/>
      <c r="D941" s="39"/>
      <c r="E941" s="39"/>
      <c r="F941" s="146"/>
      <c r="G941" s="39"/>
      <c r="H941" s="39"/>
      <c r="I941" s="39"/>
      <c r="J941" s="39"/>
      <c r="K941" s="39"/>
    </row>
    <row r="942">
      <c r="A942" s="39"/>
      <c r="B942" s="145"/>
      <c r="C942" s="39"/>
      <c r="D942" s="39"/>
      <c r="E942" s="39"/>
      <c r="F942" s="146"/>
      <c r="G942" s="39"/>
      <c r="H942" s="39"/>
      <c r="I942" s="39"/>
      <c r="J942" s="39"/>
      <c r="K942" s="39"/>
    </row>
    <row r="943">
      <c r="A943" s="39"/>
      <c r="B943" s="145"/>
      <c r="C943" s="39"/>
      <c r="D943" s="39"/>
      <c r="E943" s="39"/>
      <c r="F943" s="146"/>
      <c r="G943" s="39"/>
      <c r="H943" s="39"/>
      <c r="I943" s="39"/>
      <c r="J943" s="39"/>
      <c r="K943" s="39"/>
    </row>
    <row r="944">
      <c r="A944" s="39"/>
      <c r="B944" s="145"/>
      <c r="C944" s="39"/>
      <c r="D944" s="39"/>
      <c r="E944" s="39"/>
      <c r="F944" s="146"/>
      <c r="G944" s="39"/>
      <c r="H944" s="39"/>
      <c r="I944" s="39"/>
      <c r="J944" s="39"/>
      <c r="K944" s="39"/>
    </row>
    <row r="945">
      <c r="A945" s="39"/>
      <c r="B945" s="145"/>
      <c r="C945" s="39"/>
      <c r="D945" s="39"/>
      <c r="E945" s="39"/>
      <c r="F945" s="146"/>
      <c r="G945" s="39"/>
      <c r="H945" s="39"/>
      <c r="I945" s="39"/>
      <c r="J945" s="39"/>
      <c r="K945" s="39"/>
    </row>
    <row r="946">
      <c r="A946" s="39"/>
      <c r="B946" s="145"/>
      <c r="C946" s="39"/>
      <c r="D946" s="39"/>
      <c r="E946" s="39"/>
      <c r="F946" s="146"/>
      <c r="G946" s="39"/>
      <c r="H946" s="39"/>
      <c r="I946" s="39"/>
      <c r="J946" s="39"/>
      <c r="K946" s="39"/>
    </row>
    <row r="947">
      <c r="A947" s="39"/>
      <c r="B947" s="145"/>
      <c r="C947" s="39"/>
      <c r="D947" s="39"/>
      <c r="E947" s="39"/>
      <c r="F947" s="146"/>
      <c r="G947" s="39"/>
      <c r="H947" s="39"/>
      <c r="I947" s="39"/>
      <c r="J947" s="39"/>
      <c r="K947" s="39"/>
    </row>
    <row r="948">
      <c r="A948" s="39"/>
      <c r="B948" s="145"/>
      <c r="C948" s="39"/>
      <c r="D948" s="39"/>
      <c r="E948" s="39"/>
      <c r="F948" s="146"/>
      <c r="G948" s="39"/>
      <c r="H948" s="39"/>
      <c r="I948" s="39"/>
      <c r="J948" s="39"/>
      <c r="K948" s="39"/>
    </row>
    <row r="949">
      <c r="A949" s="39"/>
      <c r="B949" s="145"/>
      <c r="C949" s="39"/>
      <c r="D949" s="39"/>
      <c r="E949" s="39"/>
      <c r="F949" s="146"/>
      <c r="G949" s="39"/>
      <c r="H949" s="39"/>
      <c r="I949" s="39"/>
      <c r="J949" s="39"/>
      <c r="K949" s="39"/>
    </row>
    <row r="950">
      <c r="A950" s="39"/>
      <c r="B950" s="145"/>
      <c r="C950" s="39"/>
      <c r="D950" s="39"/>
      <c r="E950" s="39"/>
      <c r="F950" s="146"/>
      <c r="G950" s="39"/>
      <c r="H950" s="39"/>
      <c r="I950" s="39"/>
      <c r="J950" s="39"/>
      <c r="K950" s="39"/>
    </row>
    <row r="951">
      <c r="A951" s="39"/>
      <c r="B951" s="145"/>
      <c r="C951" s="39"/>
      <c r="D951" s="39"/>
      <c r="E951" s="39"/>
      <c r="F951" s="146"/>
      <c r="G951" s="39"/>
      <c r="H951" s="39"/>
      <c r="I951" s="39"/>
      <c r="J951" s="39"/>
      <c r="K951" s="39"/>
    </row>
    <row r="952">
      <c r="A952" s="39"/>
      <c r="B952" s="145"/>
      <c r="C952" s="39"/>
      <c r="D952" s="39"/>
      <c r="E952" s="39"/>
      <c r="F952" s="146"/>
      <c r="G952" s="39"/>
      <c r="H952" s="39"/>
      <c r="I952" s="39"/>
      <c r="J952" s="39"/>
      <c r="K952" s="39"/>
    </row>
    <row r="953">
      <c r="A953" s="39"/>
      <c r="B953" s="145"/>
      <c r="C953" s="39"/>
      <c r="D953" s="39"/>
      <c r="E953" s="39"/>
      <c r="F953" s="146"/>
      <c r="G953" s="39"/>
      <c r="H953" s="39"/>
      <c r="I953" s="39"/>
      <c r="J953" s="39"/>
      <c r="K953" s="39"/>
    </row>
    <row r="954">
      <c r="A954" s="39"/>
      <c r="B954" s="145"/>
      <c r="C954" s="39"/>
      <c r="D954" s="39"/>
      <c r="E954" s="39"/>
      <c r="F954" s="146"/>
      <c r="G954" s="39"/>
      <c r="H954" s="39"/>
      <c r="I954" s="39"/>
      <c r="J954" s="39"/>
      <c r="K954" s="39"/>
    </row>
    <row r="955">
      <c r="A955" s="39"/>
      <c r="B955" s="145"/>
      <c r="C955" s="39"/>
      <c r="D955" s="39"/>
      <c r="E955" s="39"/>
      <c r="F955" s="146"/>
      <c r="G955" s="39"/>
      <c r="H955" s="39"/>
      <c r="I955" s="39"/>
      <c r="J955" s="39"/>
      <c r="K955" s="39"/>
    </row>
    <row r="956">
      <c r="A956" s="39"/>
      <c r="B956" s="145"/>
      <c r="C956" s="39"/>
      <c r="D956" s="39"/>
      <c r="E956" s="39"/>
      <c r="F956" s="146"/>
      <c r="G956" s="39"/>
      <c r="H956" s="39"/>
      <c r="I956" s="39"/>
      <c r="J956" s="39"/>
      <c r="K956" s="39"/>
    </row>
    <row r="957">
      <c r="A957" s="39"/>
      <c r="B957" s="145"/>
      <c r="C957" s="39"/>
      <c r="D957" s="39"/>
      <c r="E957" s="39"/>
      <c r="F957" s="146"/>
      <c r="G957" s="39"/>
      <c r="H957" s="39"/>
      <c r="I957" s="39"/>
      <c r="J957" s="39"/>
      <c r="K957" s="39"/>
    </row>
    <row r="958">
      <c r="A958" s="39"/>
      <c r="B958" s="145"/>
      <c r="C958" s="39"/>
      <c r="D958" s="39"/>
      <c r="E958" s="39"/>
      <c r="F958" s="146"/>
      <c r="G958" s="39"/>
      <c r="H958" s="39"/>
      <c r="I958" s="39"/>
      <c r="J958" s="39"/>
      <c r="K958" s="39"/>
    </row>
    <row r="959">
      <c r="A959" s="39"/>
      <c r="B959" s="145"/>
      <c r="C959" s="39"/>
      <c r="D959" s="39"/>
      <c r="E959" s="39"/>
      <c r="F959" s="146"/>
      <c r="G959" s="39"/>
      <c r="H959" s="39"/>
      <c r="I959" s="39"/>
      <c r="J959" s="39"/>
      <c r="K959" s="39"/>
    </row>
    <row r="960">
      <c r="A960" s="39"/>
      <c r="B960" s="145"/>
      <c r="C960" s="39"/>
      <c r="D960" s="39"/>
      <c r="E960" s="39"/>
      <c r="F960" s="146"/>
      <c r="G960" s="39"/>
      <c r="H960" s="39"/>
      <c r="I960" s="39"/>
      <c r="J960" s="39"/>
      <c r="K960" s="39"/>
    </row>
    <row r="961">
      <c r="A961" s="39"/>
      <c r="B961" s="145"/>
      <c r="C961" s="39"/>
      <c r="D961" s="39"/>
      <c r="E961" s="39"/>
      <c r="F961" s="146"/>
      <c r="G961" s="39"/>
      <c r="H961" s="39"/>
      <c r="I961" s="39"/>
      <c r="J961" s="39"/>
      <c r="K961" s="39"/>
    </row>
    <row r="962">
      <c r="A962" s="39"/>
      <c r="B962" s="145"/>
      <c r="C962" s="39"/>
      <c r="D962" s="39"/>
      <c r="E962" s="39"/>
      <c r="F962" s="146"/>
      <c r="G962" s="39"/>
      <c r="H962" s="39"/>
      <c r="I962" s="39"/>
      <c r="J962" s="39"/>
      <c r="K962" s="39"/>
    </row>
    <row r="963">
      <c r="A963" s="39"/>
      <c r="B963" s="145"/>
      <c r="C963" s="39"/>
      <c r="D963" s="39"/>
      <c r="E963" s="39"/>
      <c r="F963" s="146"/>
      <c r="G963" s="39"/>
      <c r="H963" s="39"/>
      <c r="I963" s="39"/>
      <c r="J963" s="39"/>
      <c r="K963" s="39"/>
    </row>
    <row r="964">
      <c r="A964" s="39"/>
      <c r="B964" s="145"/>
      <c r="C964" s="39"/>
      <c r="D964" s="39"/>
      <c r="E964" s="39"/>
      <c r="F964" s="146"/>
      <c r="G964" s="39"/>
      <c r="H964" s="39"/>
      <c r="I964" s="39"/>
      <c r="J964" s="39"/>
      <c r="K964" s="39"/>
    </row>
    <row r="965">
      <c r="A965" s="39"/>
      <c r="B965" s="145"/>
      <c r="C965" s="39"/>
      <c r="D965" s="39"/>
      <c r="E965" s="39"/>
      <c r="F965" s="146"/>
      <c r="G965" s="39"/>
      <c r="H965" s="39"/>
      <c r="I965" s="39"/>
      <c r="J965" s="39"/>
      <c r="K965" s="39"/>
    </row>
    <row r="966">
      <c r="A966" s="39"/>
      <c r="B966" s="145"/>
      <c r="C966" s="39"/>
      <c r="D966" s="39"/>
      <c r="E966" s="39"/>
      <c r="F966" s="146"/>
      <c r="G966" s="39"/>
      <c r="H966" s="39"/>
      <c r="I966" s="39"/>
      <c r="J966" s="39"/>
      <c r="K966" s="39"/>
    </row>
    <row r="967">
      <c r="A967" s="39"/>
      <c r="B967" s="145"/>
      <c r="C967" s="39"/>
      <c r="D967" s="39"/>
      <c r="E967" s="39"/>
      <c r="F967" s="146"/>
      <c r="G967" s="39"/>
      <c r="H967" s="39"/>
      <c r="I967" s="39"/>
      <c r="J967" s="39"/>
      <c r="K967" s="39"/>
    </row>
    <row r="968">
      <c r="A968" s="39"/>
      <c r="B968" s="145"/>
      <c r="C968" s="39"/>
      <c r="D968" s="39"/>
      <c r="E968" s="39"/>
      <c r="F968" s="146"/>
      <c r="G968" s="39"/>
      <c r="H968" s="39"/>
      <c r="I968" s="39"/>
      <c r="J968" s="39"/>
      <c r="K968" s="39"/>
    </row>
    <row r="969">
      <c r="A969" s="39"/>
      <c r="B969" s="145"/>
      <c r="C969" s="39"/>
      <c r="D969" s="39"/>
      <c r="E969" s="39"/>
      <c r="F969" s="146"/>
      <c r="G969" s="39"/>
      <c r="H969" s="39"/>
      <c r="I969" s="39"/>
      <c r="J969" s="39"/>
      <c r="K969" s="39"/>
    </row>
    <row r="970">
      <c r="A970" s="39"/>
      <c r="B970" s="145"/>
      <c r="C970" s="39"/>
      <c r="D970" s="39"/>
      <c r="E970" s="39"/>
      <c r="F970" s="146"/>
      <c r="G970" s="39"/>
      <c r="H970" s="39"/>
      <c r="I970" s="39"/>
      <c r="J970" s="39"/>
      <c r="K970" s="39"/>
    </row>
    <row r="971">
      <c r="A971" s="39"/>
      <c r="B971" s="145"/>
      <c r="C971" s="39"/>
      <c r="D971" s="39"/>
      <c r="E971" s="39"/>
      <c r="F971" s="146"/>
      <c r="G971" s="39"/>
      <c r="H971" s="39"/>
      <c r="I971" s="39"/>
      <c r="J971" s="39"/>
      <c r="K971" s="39"/>
    </row>
    <row r="972">
      <c r="A972" s="39"/>
      <c r="B972" s="145"/>
      <c r="C972" s="39"/>
      <c r="D972" s="39"/>
      <c r="E972" s="39"/>
      <c r="F972" s="146"/>
      <c r="G972" s="39"/>
      <c r="H972" s="39"/>
      <c r="I972" s="39"/>
      <c r="J972" s="39"/>
      <c r="K972" s="39"/>
    </row>
    <row r="973">
      <c r="A973" s="39"/>
      <c r="B973" s="145"/>
      <c r="C973" s="39"/>
      <c r="D973" s="39"/>
      <c r="E973" s="39"/>
      <c r="F973" s="146"/>
      <c r="G973" s="39"/>
      <c r="H973" s="39"/>
      <c r="I973" s="39"/>
      <c r="J973" s="39"/>
      <c r="K973" s="39"/>
    </row>
    <row r="974">
      <c r="A974" s="39"/>
      <c r="B974" s="145"/>
      <c r="C974" s="39"/>
      <c r="D974" s="39"/>
      <c r="E974" s="39"/>
      <c r="F974" s="146"/>
      <c r="G974" s="39"/>
      <c r="H974" s="39"/>
      <c r="I974" s="39"/>
      <c r="J974" s="39"/>
      <c r="K974" s="39"/>
    </row>
    <row r="975">
      <c r="A975" s="39"/>
      <c r="B975" s="145"/>
      <c r="C975" s="39"/>
      <c r="D975" s="39"/>
      <c r="E975" s="39"/>
      <c r="F975" s="146"/>
      <c r="G975" s="39"/>
      <c r="H975" s="39"/>
      <c r="I975" s="39"/>
      <c r="J975" s="39"/>
      <c r="K975" s="39"/>
    </row>
    <row r="976">
      <c r="A976" s="39"/>
      <c r="B976" s="145"/>
      <c r="C976" s="39"/>
      <c r="D976" s="39"/>
      <c r="E976" s="39"/>
      <c r="F976" s="146"/>
      <c r="G976" s="39"/>
      <c r="H976" s="39"/>
      <c r="I976" s="39"/>
      <c r="J976" s="39"/>
      <c r="K976" s="39"/>
    </row>
    <row r="977">
      <c r="A977" s="39"/>
      <c r="B977" s="145"/>
      <c r="C977" s="39"/>
      <c r="D977" s="39"/>
      <c r="E977" s="39"/>
      <c r="F977" s="146"/>
      <c r="G977" s="39"/>
      <c r="H977" s="39"/>
      <c r="I977" s="39"/>
      <c r="J977" s="39"/>
      <c r="K977" s="39"/>
    </row>
    <row r="978">
      <c r="A978" s="39"/>
      <c r="B978" s="145"/>
      <c r="C978" s="39"/>
      <c r="D978" s="39"/>
      <c r="E978" s="39"/>
      <c r="F978" s="146"/>
      <c r="G978" s="39"/>
      <c r="H978" s="39"/>
      <c r="I978" s="39"/>
      <c r="J978" s="39"/>
      <c r="K978" s="39"/>
    </row>
    <row r="979">
      <c r="A979" s="39"/>
      <c r="B979" s="145"/>
      <c r="C979" s="39"/>
      <c r="D979" s="39"/>
      <c r="E979" s="39"/>
      <c r="F979" s="146"/>
      <c r="G979" s="39"/>
      <c r="H979" s="39"/>
      <c r="I979" s="39"/>
      <c r="J979" s="39"/>
      <c r="K979" s="39"/>
    </row>
    <row r="980">
      <c r="A980" s="39"/>
      <c r="B980" s="145"/>
      <c r="C980" s="39"/>
      <c r="D980" s="39"/>
      <c r="E980" s="39"/>
      <c r="F980" s="146"/>
      <c r="G980" s="39"/>
      <c r="H980" s="39"/>
      <c r="I980" s="39"/>
      <c r="J980" s="39"/>
      <c r="K980" s="39"/>
    </row>
    <row r="981">
      <c r="A981" s="39"/>
      <c r="B981" s="145"/>
      <c r="C981" s="39"/>
      <c r="D981" s="39"/>
      <c r="E981" s="39"/>
      <c r="F981" s="146"/>
      <c r="G981" s="39"/>
      <c r="H981" s="39"/>
      <c r="I981" s="39"/>
      <c r="J981" s="39"/>
      <c r="K981" s="39"/>
    </row>
    <row r="982">
      <c r="A982" s="39"/>
      <c r="B982" s="145"/>
      <c r="C982" s="39"/>
      <c r="D982" s="39"/>
      <c r="E982" s="39"/>
      <c r="F982" s="146"/>
      <c r="G982" s="39"/>
      <c r="H982" s="39"/>
      <c r="I982" s="39"/>
      <c r="J982" s="39"/>
      <c r="K982" s="39"/>
    </row>
    <row r="983">
      <c r="A983" s="39"/>
      <c r="B983" s="145"/>
      <c r="C983" s="39"/>
      <c r="D983" s="39"/>
      <c r="E983" s="39"/>
      <c r="F983" s="146"/>
      <c r="G983" s="39"/>
      <c r="H983" s="39"/>
      <c r="I983" s="39"/>
      <c r="J983" s="39"/>
      <c r="K983" s="39"/>
    </row>
    <row r="984">
      <c r="A984" s="39"/>
      <c r="B984" s="145"/>
      <c r="C984" s="39"/>
      <c r="D984" s="39"/>
      <c r="E984" s="39"/>
      <c r="F984" s="146"/>
      <c r="G984" s="39"/>
      <c r="H984" s="39"/>
      <c r="I984" s="39"/>
      <c r="J984" s="39"/>
      <c r="K984" s="39"/>
    </row>
    <row r="985">
      <c r="A985" s="39"/>
      <c r="B985" s="145"/>
      <c r="C985" s="39"/>
      <c r="D985" s="39"/>
      <c r="E985" s="39"/>
      <c r="F985" s="146"/>
      <c r="G985" s="39"/>
      <c r="H985" s="39"/>
      <c r="I985" s="39"/>
      <c r="J985" s="39"/>
      <c r="K985" s="39"/>
    </row>
    <row r="986">
      <c r="A986" s="39"/>
      <c r="B986" s="145"/>
      <c r="C986" s="39"/>
      <c r="D986" s="39"/>
      <c r="E986" s="39"/>
      <c r="F986" s="146"/>
      <c r="G986" s="39"/>
      <c r="H986" s="39"/>
      <c r="I986" s="39"/>
      <c r="J986" s="39"/>
      <c r="K986" s="39"/>
    </row>
    <row r="987">
      <c r="A987" s="39"/>
      <c r="B987" s="145"/>
      <c r="C987" s="39"/>
      <c r="D987" s="39"/>
      <c r="E987" s="39"/>
      <c r="F987" s="146"/>
      <c r="G987" s="39"/>
      <c r="H987" s="39"/>
      <c r="I987" s="39"/>
      <c r="J987" s="39"/>
      <c r="K987" s="39"/>
    </row>
    <row r="988">
      <c r="A988" s="39"/>
      <c r="B988" s="145"/>
      <c r="C988" s="39"/>
      <c r="D988" s="39"/>
      <c r="E988" s="39"/>
      <c r="F988" s="146"/>
      <c r="G988" s="39"/>
      <c r="H988" s="39"/>
      <c r="I988" s="39"/>
      <c r="J988" s="39"/>
      <c r="K988" s="39"/>
    </row>
    <row r="989">
      <c r="A989" s="39"/>
      <c r="B989" s="145"/>
      <c r="C989" s="39"/>
      <c r="D989" s="39"/>
      <c r="E989" s="39"/>
      <c r="F989" s="146"/>
      <c r="G989" s="39"/>
      <c r="H989" s="39"/>
      <c r="I989" s="39"/>
      <c r="J989" s="39"/>
      <c r="K989" s="39"/>
    </row>
    <row r="990">
      <c r="A990" s="39"/>
      <c r="B990" s="145"/>
      <c r="C990" s="39"/>
      <c r="D990" s="39"/>
      <c r="E990" s="39"/>
      <c r="F990" s="146"/>
      <c r="G990" s="39"/>
      <c r="H990" s="39"/>
      <c r="I990" s="39"/>
      <c r="J990" s="39"/>
      <c r="K990" s="39"/>
    </row>
    <row r="991">
      <c r="A991" s="39"/>
      <c r="B991" s="145"/>
      <c r="C991" s="39"/>
      <c r="D991" s="39"/>
      <c r="E991" s="39"/>
      <c r="F991" s="146"/>
      <c r="G991" s="39"/>
      <c r="H991" s="39"/>
      <c r="I991" s="39"/>
      <c r="J991" s="39"/>
      <c r="K991" s="39"/>
    </row>
    <row r="992">
      <c r="A992" s="39"/>
      <c r="B992" s="145"/>
      <c r="C992" s="39"/>
      <c r="D992" s="39"/>
      <c r="E992" s="39"/>
      <c r="F992" s="146"/>
      <c r="G992" s="39"/>
      <c r="H992" s="39"/>
      <c r="I992" s="39"/>
      <c r="J992" s="39"/>
      <c r="K992" s="39"/>
    </row>
    <row r="993">
      <c r="A993" s="39"/>
      <c r="B993" s="145"/>
      <c r="C993" s="39"/>
      <c r="D993" s="39"/>
      <c r="E993" s="39"/>
      <c r="F993" s="146"/>
      <c r="G993" s="39"/>
      <c r="H993" s="39"/>
      <c r="I993" s="39"/>
      <c r="J993" s="39"/>
      <c r="K993" s="39"/>
    </row>
    <row r="994">
      <c r="A994" s="39"/>
      <c r="B994" s="145"/>
      <c r="C994" s="39"/>
      <c r="D994" s="39"/>
      <c r="E994" s="39"/>
      <c r="F994" s="146"/>
      <c r="G994" s="39"/>
      <c r="H994" s="39"/>
      <c r="I994" s="39"/>
      <c r="J994" s="39"/>
      <c r="K994" s="39"/>
    </row>
    <row r="995">
      <c r="A995" s="39"/>
      <c r="B995" s="145"/>
      <c r="C995" s="39"/>
      <c r="D995" s="39"/>
      <c r="E995" s="39"/>
      <c r="F995" s="146"/>
      <c r="G995" s="39"/>
      <c r="H995" s="39"/>
      <c r="I995" s="39"/>
      <c r="J995" s="39"/>
      <c r="K995" s="39"/>
    </row>
    <row r="996">
      <c r="A996" s="39"/>
      <c r="B996" s="145"/>
      <c r="C996" s="39"/>
      <c r="D996" s="39"/>
      <c r="E996" s="39"/>
      <c r="F996" s="146"/>
      <c r="G996" s="39"/>
      <c r="H996" s="39"/>
      <c r="I996" s="39"/>
      <c r="J996" s="39"/>
      <c r="K996" s="39"/>
    </row>
    <row r="997">
      <c r="A997" s="39"/>
      <c r="B997" s="145"/>
      <c r="C997" s="39"/>
      <c r="D997" s="39"/>
      <c r="E997" s="39"/>
      <c r="F997" s="146"/>
      <c r="G997" s="39"/>
      <c r="H997" s="39"/>
      <c r="I997" s="39"/>
      <c r="J997" s="39"/>
      <c r="K997" s="39"/>
    </row>
    <row r="998">
      <c r="A998" s="39"/>
      <c r="B998" s="145"/>
      <c r="C998" s="39"/>
      <c r="D998" s="39"/>
      <c r="E998" s="39"/>
      <c r="F998" s="146"/>
      <c r="G998" s="39"/>
      <c r="H998" s="39"/>
      <c r="I998" s="39"/>
      <c r="J998" s="39"/>
      <c r="K998" s="39"/>
    </row>
    <row r="999">
      <c r="A999" s="39"/>
      <c r="B999" s="145"/>
      <c r="C999" s="39"/>
      <c r="D999" s="39"/>
      <c r="E999" s="39"/>
      <c r="F999" s="146"/>
      <c r="G999" s="39"/>
      <c r="H999" s="39"/>
      <c r="I999" s="39"/>
      <c r="J999" s="39"/>
      <c r="K999" s="39"/>
    </row>
    <row r="1000">
      <c r="A1000" s="39"/>
      <c r="B1000" s="145"/>
      <c r="C1000" s="39"/>
      <c r="D1000" s="39"/>
      <c r="E1000" s="39"/>
      <c r="F1000" s="146"/>
      <c r="G1000" s="39"/>
      <c r="H1000" s="39"/>
      <c r="I1000" s="39"/>
      <c r="J1000" s="39"/>
      <c r="K1000" s="39"/>
    </row>
    <row r="1001">
      <c r="A1001" s="39"/>
      <c r="B1001" s="145"/>
      <c r="C1001" s="39"/>
      <c r="D1001" s="39"/>
      <c r="E1001" s="39"/>
      <c r="F1001" s="146"/>
      <c r="G1001" s="39"/>
      <c r="H1001" s="39"/>
      <c r="I1001" s="39"/>
      <c r="J1001" s="39"/>
      <c r="K1001" s="39"/>
    </row>
    <row r="1002">
      <c r="A1002" s="39"/>
      <c r="B1002" s="145"/>
      <c r="C1002" s="39"/>
      <c r="D1002" s="39"/>
      <c r="E1002" s="39"/>
      <c r="F1002" s="146"/>
      <c r="G1002" s="39"/>
      <c r="H1002" s="39"/>
      <c r="I1002" s="39"/>
      <c r="J1002" s="39"/>
      <c r="K1002" s="39"/>
    </row>
    <row r="1003">
      <c r="A1003" s="39"/>
      <c r="B1003" s="145"/>
      <c r="C1003" s="39"/>
      <c r="D1003" s="39"/>
      <c r="E1003" s="39"/>
      <c r="F1003" s="146"/>
      <c r="G1003" s="39"/>
      <c r="H1003" s="39"/>
      <c r="I1003" s="39"/>
      <c r="J1003" s="39"/>
      <c r="K1003" s="39"/>
    </row>
    <row r="1004">
      <c r="A1004" s="39"/>
      <c r="B1004" s="145"/>
      <c r="C1004" s="39"/>
      <c r="D1004" s="39"/>
      <c r="E1004" s="39"/>
      <c r="F1004" s="146"/>
      <c r="G1004" s="39"/>
      <c r="H1004" s="39"/>
      <c r="I1004" s="39"/>
      <c r="J1004" s="39"/>
      <c r="K1004" s="39"/>
    </row>
    <row r="1005">
      <c r="A1005" s="39"/>
      <c r="B1005" s="145"/>
      <c r="C1005" s="39"/>
      <c r="D1005" s="39"/>
      <c r="E1005" s="39"/>
      <c r="F1005" s="146"/>
      <c r="G1005" s="39"/>
      <c r="H1005" s="39"/>
      <c r="I1005" s="39"/>
      <c r="J1005" s="39"/>
      <c r="K1005" s="39"/>
    </row>
    <row r="1006">
      <c r="A1006" s="39"/>
      <c r="B1006" s="145"/>
      <c r="C1006" s="39"/>
      <c r="D1006" s="39"/>
      <c r="E1006" s="39"/>
      <c r="F1006" s="146"/>
      <c r="G1006" s="39"/>
      <c r="H1006" s="39"/>
      <c r="I1006" s="39"/>
      <c r="J1006" s="39"/>
      <c r="K1006" s="39"/>
    </row>
    <row r="1007">
      <c r="A1007" s="39"/>
      <c r="B1007" s="145"/>
      <c r="C1007" s="39"/>
      <c r="D1007" s="39"/>
      <c r="E1007" s="39"/>
      <c r="F1007" s="146"/>
      <c r="G1007" s="39"/>
      <c r="H1007" s="39"/>
      <c r="I1007" s="39"/>
      <c r="J1007" s="39"/>
      <c r="K1007" s="39"/>
    </row>
    <row r="1008">
      <c r="A1008" s="39"/>
      <c r="B1008" s="145"/>
      <c r="C1008" s="39"/>
      <c r="D1008" s="39"/>
      <c r="E1008" s="39"/>
      <c r="F1008" s="146"/>
      <c r="G1008" s="39"/>
      <c r="H1008" s="39"/>
      <c r="I1008" s="39"/>
      <c r="J1008" s="39"/>
      <c r="K1008" s="39"/>
    </row>
    <row r="1009">
      <c r="A1009" s="39"/>
      <c r="B1009" s="145"/>
      <c r="C1009" s="39"/>
      <c r="D1009" s="39"/>
      <c r="E1009" s="39"/>
      <c r="F1009" s="146"/>
      <c r="G1009" s="39"/>
      <c r="H1009" s="39"/>
      <c r="I1009" s="39"/>
      <c r="J1009" s="39"/>
      <c r="K1009" s="39"/>
    </row>
    <row r="1010">
      <c r="A1010" s="39"/>
      <c r="B1010" s="145"/>
      <c r="C1010" s="39"/>
      <c r="D1010" s="39"/>
      <c r="E1010" s="39"/>
      <c r="F1010" s="146"/>
      <c r="G1010" s="39"/>
      <c r="H1010" s="39"/>
      <c r="I1010" s="39"/>
      <c r="J1010" s="39"/>
      <c r="K1010" s="39"/>
    </row>
    <row r="1011">
      <c r="A1011" s="39"/>
      <c r="B1011" s="145"/>
      <c r="C1011" s="39"/>
      <c r="D1011" s="39"/>
      <c r="E1011" s="39"/>
      <c r="F1011" s="146"/>
      <c r="G1011" s="39"/>
      <c r="H1011" s="39"/>
      <c r="I1011" s="39"/>
      <c r="J1011" s="39"/>
      <c r="K1011" s="39"/>
    </row>
    <row r="1012">
      <c r="A1012" s="39"/>
      <c r="B1012" s="145"/>
      <c r="C1012" s="39"/>
      <c r="D1012" s="39"/>
      <c r="E1012" s="39"/>
      <c r="F1012" s="146"/>
      <c r="G1012" s="39"/>
      <c r="H1012" s="39"/>
      <c r="I1012" s="39"/>
      <c r="J1012" s="39"/>
      <c r="K1012" s="39"/>
    </row>
    <row r="1013">
      <c r="A1013" s="39"/>
      <c r="B1013" s="145"/>
      <c r="C1013" s="39"/>
      <c r="D1013" s="39"/>
      <c r="E1013" s="39"/>
      <c r="F1013" s="146"/>
      <c r="G1013" s="39"/>
      <c r="H1013" s="39"/>
      <c r="I1013" s="39"/>
      <c r="J1013" s="39"/>
      <c r="K1013" s="39"/>
    </row>
    <row r="1014">
      <c r="A1014" s="39"/>
      <c r="B1014" s="145"/>
      <c r="C1014" s="39"/>
      <c r="D1014" s="39"/>
      <c r="E1014" s="39"/>
      <c r="F1014" s="146"/>
      <c r="G1014" s="39"/>
      <c r="H1014" s="39"/>
      <c r="I1014" s="39"/>
      <c r="J1014" s="39"/>
      <c r="K1014" s="39"/>
    </row>
    <row r="1015">
      <c r="A1015" s="39"/>
      <c r="B1015" s="145"/>
      <c r="C1015" s="39"/>
      <c r="D1015" s="39"/>
      <c r="E1015" s="39"/>
      <c r="F1015" s="146"/>
      <c r="G1015" s="39"/>
      <c r="H1015" s="39"/>
      <c r="I1015" s="39"/>
      <c r="J1015" s="39"/>
      <c r="K1015" s="39"/>
    </row>
    <row r="1016">
      <c r="A1016" s="39"/>
      <c r="B1016" s="145"/>
      <c r="C1016" s="39"/>
      <c r="D1016" s="39"/>
      <c r="E1016" s="39"/>
      <c r="F1016" s="146"/>
      <c r="G1016" s="39"/>
      <c r="H1016" s="39"/>
      <c r="I1016" s="39"/>
      <c r="J1016" s="39"/>
      <c r="K1016" s="39"/>
    </row>
    <row r="1017">
      <c r="A1017" s="39"/>
      <c r="B1017" s="145"/>
      <c r="C1017" s="39"/>
      <c r="D1017" s="39"/>
      <c r="E1017" s="39"/>
      <c r="F1017" s="146"/>
      <c r="G1017" s="39"/>
      <c r="H1017" s="39"/>
      <c r="I1017" s="39"/>
      <c r="J1017" s="39"/>
      <c r="K1017" s="39"/>
    </row>
    <row r="1018">
      <c r="A1018" s="39"/>
      <c r="B1018" s="145"/>
      <c r="C1018" s="39"/>
      <c r="D1018" s="39"/>
      <c r="E1018" s="39"/>
      <c r="F1018" s="146"/>
      <c r="G1018" s="39"/>
      <c r="H1018" s="39"/>
      <c r="I1018" s="39"/>
      <c r="J1018" s="39"/>
      <c r="K1018" s="39"/>
    </row>
    <row r="1019">
      <c r="A1019" s="39"/>
      <c r="B1019" s="145"/>
      <c r="C1019" s="39"/>
      <c r="D1019" s="39"/>
      <c r="E1019" s="39"/>
      <c r="F1019" s="146"/>
      <c r="G1019" s="39"/>
      <c r="H1019" s="39"/>
      <c r="I1019" s="39"/>
      <c r="J1019" s="39"/>
      <c r="K1019" s="39"/>
    </row>
    <row r="1020">
      <c r="A1020" s="39"/>
      <c r="B1020" s="145"/>
      <c r="C1020" s="39"/>
      <c r="D1020" s="39"/>
      <c r="E1020" s="39"/>
      <c r="F1020" s="146"/>
      <c r="G1020" s="39"/>
      <c r="H1020" s="39"/>
      <c r="I1020" s="39"/>
      <c r="J1020" s="39"/>
      <c r="K1020" s="39"/>
    </row>
    <row r="1021">
      <c r="A1021" s="39"/>
      <c r="B1021" s="145"/>
      <c r="C1021" s="39"/>
      <c r="D1021" s="39"/>
      <c r="E1021" s="39"/>
      <c r="F1021" s="146"/>
      <c r="G1021" s="39"/>
      <c r="H1021" s="39"/>
      <c r="I1021" s="39"/>
      <c r="J1021" s="39"/>
      <c r="K1021" s="39"/>
    </row>
    <row r="1022">
      <c r="A1022" s="39"/>
      <c r="B1022" s="145"/>
      <c r="C1022" s="39"/>
      <c r="D1022" s="39"/>
      <c r="E1022" s="39"/>
      <c r="F1022" s="146"/>
      <c r="G1022" s="39"/>
      <c r="H1022" s="39"/>
      <c r="I1022" s="39"/>
      <c r="J1022" s="39"/>
      <c r="K1022" s="39"/>
    </row>
    <row r="1023">
      <c r="A1023" s="39"/>
      <c r="B1023" s="145"/>
      <c r="C1023" s="39"/>
      <c r="D1023" s="39"/>
      <c r="E1023" s="39"/>
      <c r="F1023" s="146"/>
      <c r="G1023" s="39"/>
      <c r="H1023" s="39"/>
      <c r="I1023" s="39"/>
      <c r="J1023" s="39"/>
      <c r="K1023" s="39"/>
    </row>
    <row r="1024">
      <c r="A1024" s="39"/>
      <c r="B1024" s="145"/>
      <c r="C1024" s="39"/>
      <c r="D1024" s="39"/>
      <c r="E1024" s="39"/>
      <c r="F1024" s="146"/>
      <c r="G1024" s="39"/>
      <c r="H1024" s="39"/>
      <c r="I1024" s="39"/>
      <c r="J1024" s="39"/>
      <c r="K1024" s="39"/>
    </row>
    <row r="1025">
      <c r="A1025" s="39"/>
      <c r="B1025" s="145"/>
      <c r="C1025" s="39"/>
      <c r="D1025" s="39"/>
      <c r="E1025" s="39"/>
      <c r="F1025" s="146"/>
      <c r="G1025" s="39"/>
      <c r="H1025" s="39"/>
      <c r="I1025" s="39"/>
      <c r="J1025" s="39"/>
      <c r="K1025" s="39"/>
    </row>
    <row r="1026">
      <c r="A1026" s="39"/>
      <c r="B1026" s="145"/>
      <c r="C1026" s="39"/>
      <c r="D1026" s="39"/>
      <c r="E1026" s="39"/>
      <c r="F1026" s="146"/>
      <c r="G1026" s="39"/>
      <c r="H1026" s="39"/>
      <c r="I1026" s="39"/>
      <c r="J1026" s="39"/>
      <c r="K1026" s="39"/>
    </row>
    <row r="1027">
      <c r="A1027" s="39"/>
      <c r="B1027" s="145"/>
      <c r="C1027" s="39"/>
      <c r="D1027" s="39"/>
      <c r="E1027" s="39"/>
      <c r="F1027" s="146"/>
      <c r="G1027" s="39"/>
      <c r="H1027" s="39"/>
      <c r="I1027" s="39"/>
      <c r="J1027" s="39"/>
      <c r="K1027" s="39"/>
    </row>
    <row r="1028">
      <c r="A1028" s="39"/>
      <c r="B1028" s="145"/>
      <c r="C1028" s="39"/>
      <c r="D1028" s="39"/>
      <c r="E1028" s="39"/>
      <c r="F1028" s="146"/>
      <c r="G1028" s="39"/>
      <c r="H1028" s="39"/>
      <c r="I1028" s="39"/>
      <c r="J1028" s="39"/>
      <c r="K1028" s="39"/>
    </row>
    <row r="1029">
      <c r="A1029" s="39"/>
      <c r="B1029" s="145"/>
      <c r="C1029" s="39"/>
      <c r="D1029" s="39"/>
      <c r="E1029" s="39"/>
      <c r="F1029" s="146"/>
      <c r="G1029" s="39"/>
      <c r="H1029" s="39"/>
      <c r="I1029" s="39"/>
      <c r="J1029" s="39"/>
      <c r="K1029" s="39"/>
    </row>
    <row r="1030">
      <c r="A1030" s="39"/>
      <c r="B1030" s="145"/>
      <c r="C1030" s="39"/>
      <c r="D1030" s="39"/>
      <c r="E1030" s="39"/>
      <c r="F1030" s="146"/>
      <c r="G1030" s="39"/>
      <c r="H1030" s="39"/>
      <c r="I1030" s="39"/>
      <c r="J1030" s="39"/>
      <c r="K1030" s="39"/>
    </row>
    <row r="1031">
      <c r="A1031" s="39"/>
      <c r="B1031" s="145"/>
      <c r="C1031" s="39"/>
      <c r="D1031" s="39"/>
      <c r="E1031" s="39"/>
      <c r="F1031" s="146"/>
      <c r="G1031" s="39"/>
      <c r="H1031" s="39"/>
      <c r="I1031" s="39"/>
      <c r="J1031" s="39"/>
      <c r="K1031" s="39"/>
    </row>
    <row r="1032">
      <c r="A1032" s="39"/>
      <c r="B1032" s="145"/>
      <c r="C1032" s="39"/>
      <c r="D1032" s="39"/>
      <c r="E1032" s="39"/>
      <c r="F1032" s="146"/>
      <c r="G1032" s="39"/>
      <c r="H1032" s="39"/>
      <c r="I1032" s="39"/>
      <c r="J1032" s="39"/>
      <c r="K1032" s="39"/>
    </row>
    <row r="1033">
      <c r="A1033" s="39"/>
      <c r="B1033" s="145"/>
      <c r="C1033" s="39"/>
      <c r="D1033" s="39"/>
      <c r="E1033" s="39"/>
      <c r="F1033" s="146"/>
      <c r="G1033" s="39"/>
      <c r="H1033" s="39"/>
      <c r="I1033" s="39"/>
      <c r="J1033" s="39"/>
      <c r="K1033" s="39"/>
    </row>
    <row r="1034">
      <c r="A1034" s="39"/>
      <c r="B1034" s="145"/>
      <c r="C1034" s="39"/>
      <c r="D1034" s="39"/>
      <c r="E1034" s="39"/>
      <c r="F1034" s="146"/>
      <c r="G1034" s="39"/>
      <c r="H1034" s="39"/>
      <c r="I1034" s="39"/>
      <c r="J1034" s="39"/>
      <c r="K1034" s="39"/>
    </row>
    <row r="1035">
      <c r="A1035" s="39"/>
      <c r="B1035" s="145"/>
      <c r="C1035" s="39"/>
      <c r="D1035" s="39"/>
      <c r="E1035" s="39"/>
      <c r="F1035" s="146"/>
      <c r="G1035" s="39"/>
      <c r="H1035" s="39"/>
      <c r="I1035" s="39"/>
      <c r="J1035" s="39"/>
      <c r="K1035" s="39"/>
    </row>
    <row r="1036">
      <c r="A1036" s="39"/>
      <c r="B1036" s="145"/>
      <c r="C1036" s="39"/>
      <c r="D1036" s="39"/>
      <c r="E1036" s="39"/>
      <c r="F1036" s="146"/>
      <c r="G1036" s="39"/>
      <c r="H1036" s="39"/>
      <c r="I1036" s="39"/>
      <c r="J1036" s="39"/>
      <c r="K1036" s="39"/>
    </row>
    <row r="1037">
      <c r="A1037" s="39"/>
      <c r="B1037" s="145"/>
      <c r="C1037" s="39"/>
      <c r="D1037" s="39"/>
      <c r="E1037" s="39"/>
      <c r="F1037" s="146"/>
      <c r="G1037" s="39"/>
      <c r="H1037" s="39"/>
      <c r="I1037" s="39"/>
      <c r="J1037" s="39"/>
      <c r="K1037" s="39"/>
    </row>
    <row r="1038">
      <c r="A1038" s="39"/>
      <c r="B1038" s="145"/>
      <c r="C1038" s="39"/>
      <c r="D1038" s="39"/>
      <c r="E1038" s="39"/>
      <c r="F1038" s="146"/>
      <c r="G1038" s="39"/>
      <c r="H1038" s="39"/>
      <c r="I1038" s="39"/>
      <c r="J1038" s="39"/>
      <c r="K1038" s="39"/>
    </row>
    <row r="1039">
      <c r="A1039" s="39"/>
      <c r="B1039" s="145"/>
      <c r="C1039" s="39"/>
      <c r="D1039" s="39"/>
      <c r="E1039" s="39"/>
      <c r="F1039" s="146"/>
      <c r="G1039" s="39"/>
      <c r="H1039" s="39"/>
      <c r="I1039" s="39"/>
      <c r="J1039" s="39"/>
      <c r="K1039" s="39"/>
    </row>
    <row r="1040">
      <c r="A1040" s="39"/>
      <c r="B1040" s="145"/>
      <c r="C1040" s="39"/>
      <c r="D1040" s="39"/>
      <c r="E1040" s="39"/>
      <c r="F1040" s="146"/>
      <c r="G1040" s="39"/>
      <c r="H1040" s="39"/>
      <c r="I1040" s="39"/>
      <c r="J1040" s="39"/>
      <c r="K1040" s="39"/>
    </row>
    <row r="1041">
      <c r="A1041" s="39"/>
      <c r="B1041" s="145"/>
      <c r="C1041" s="39"/>
      <c r="D1041" s="39"/>
      <c r="E1041" s="39"/>
      <c r="F1041" s="146"/>
      <c r="G1041" s="39"/>
      <c r="H1041" s="39"/>
      <c r="I1041" s="39"/>
      <c r="J1041" s="39"/>
      <c r="K1041" s="39"/>
    </row>
    <row r="1042">
      <c r="A1042" s="39"/>
      <c r="B1042" s="145"/>
      <c r="C1042" s="39"/>
      <c r="D1042" s="39"/>
      <c r="E1042" s="39"/>
      <c r="F1042" s="146"/>
      <c r="G1042" s="39"/>
      <c r="H1042" s="39"/>
      <c r="I1042" s="39"/>
      <c r="J1042" s="39"/>
      <c r="K1042" s="39"/>
    </row>
    <row r="1043">
      <c r="A1043" s="39"/>
      <c r="B1043" s="145"/>
      <c r="C1043" s="39"/>
      <c r="D1043" s="39"/>
      <c r="E1043" s="39"/>
      <c r="F1043" s="146"/>
      <c r="G1043" s="39"/>
      <c r="H1043" s="39"/>
      <c r="I1043" s="39"/>
      <c r="J1043" s="39"/>
      <c r="K1043" s="39"/>
    </row>
    <row r="1044">
      <c r="A1044" s="39"/>
      <c r="B1044" s="145"/>
      <c r="C1044" s="39"/>
      <c r="D1044" s="39"/>
      <c r="E1044" s="39"/>
      <c r="F1044" s="146"/>
      <c r="G1044" s="39"/>
      <c r="H1044" s="39"/>
      <c r="I1044" s="39"/>
      <c r="J1044" s="39"/>
      <c r="K1044" s="39"/>
    </row>
    <row r="1045">
      <c r="A1045" s="39"/>
      <c r="B1045" s="145"/>
      <c r="C1045" s="39"/>
      <c r="D1045" s="39"/>
      <c r="E1045" s="39"/>
      <c r="F1045" s="146"/>
      <c r="G1045" s="39"/>
      <c r="H1045" s="39"/>
      <c r="I1045" s="39"/>
      <c r="J1045" s="39"/>
      <c r="K1045" s="39"/>
    </row>
    <row r="1046">
      <c r="A1046" s="39"/>
      <c r="B1046" s="145"/>
      <c r="C1046" s="39"/>
      <c r="D1046" s="39"/>
      <c r="E1046" s="39"/>
      <c r="F1046" s="146"/>
      <c r="G1046" s="39"/>
      <c r="H1046" s="39"/>
      <c r="I1046" s="39"/>
      <c r="J1046" s="39"/>
      <c r="K1046" s="39"/>
    </row>
    <row r="1047">
      <c r="A1047" s="39"/>
      <c r="B1047" s="145"/>
      <c r="C1047" s="39"/>
      <c r="D1047" s="39"/>
      <c r="E1047" s="39"/>
      <c r="F1047" s="146"/>
      <c r="G1047" s="39"/>
      <c r="H1047" s="39"/>
      <c r="I1047" s="39"/>
      <c r="J1047" s="39"/>
      <c r="K1047" s="39"/>
    </row>
    <row r="1048">
      <c r="A1048" s="39"/>
      <c r="B1048" s="145"/>
      <c r="C1048" s="39"/>
      <c r="D1048" s="39"/>
      <c r="E1048" s="39"/>
      <c r="F1048" s="146"/>
      <c r="G1048" s="39"/>
      <c r="H1048" s="39"/>
      <c r="I1048" s="39"/>
      <c r="J1048" s="39"/>
      <c r="K1048" s="39"/>
    </row>
    <row r="1049">
      <c r="A1049" s="39"/>
      <c r="B1049" s="145"/>
      <c r="C1049" s="39"/>
      <c r="D1049" s="39"/>
      <c r="E1049" s="39"/>
      <c r="F1049" s="146"/>
      <c r="G1049" s="39"/>
      <c r="H1049" s="39"/>
      <c r="I1049" s="39"/>
      <c r="J1049" s="39"/>
      <c r="K1049" s="39"/>
    </row>
    <row r="1050">
      <c r="A1050" s="39"/>
      <c r="B1050" s="145"/>
      <c r="C1050" s="39"/>
      <c r="D1050" s="39"/>
      <c r="E1050" s="39"/>
      <c r="F1050" s="146"/>
      <c r="G1050" s="39"/>
      <c r="H1050" s="39"/>
      <c r="I1050" s="39"/>
      <c r="J1050" s="39"/>
      <c r="K1050" s="39"/>
    </row>
    <row r="1051">
      <c r="A1051" s="39"/>
      <c r="B1051" s="145"/>
      <c r="C1051" s="39"/>
      <c r="D1051" s="39"/>
      <c r="E1051" s="39"/>
      <c r="F1051" s="146"/>
      <c r="G1051" s="39"/>
      <c r="H1051" s="39"/>
      <c r="I1051" s="39"/>
      <c r="J1051" s="39"/>
      <c r="K1051" s="39"/>
    </row>
    <row r="1052">
      <c r="A1052" s="39"/>
      <c r="B1052" s="145"/>
      <c r="C1052" s="39"/>
      <c r="D1052" s="39"/>
      <c r="E1052" s="39"/>
      <c r="F1052" s="146"/>
      <c r="G1052" s="39"/>
      <c r="H1052" s="39"/>
      <c r="I1052" s="39"/>
      <c r="J1052" s="39"/>
      <c r="K1052" s="39"/>
    </row>
    <row r="1053">
      <c r="A1053" s="39"/>
      <c r="B1053" s="145"/>
      <c r="C1053" s="39"/>
      <c r="D1053" s="39"/>
      <c r="E1053" s="39"/>
      <c r="F1053" s="146"/>
      <c r="G1053" s="39"/>
      <c r="H1053" s="39"/>
      <c r="I1053" s="39"/>
      <c r="J1053" s="39"/>
      <c r="K1053" s="39"/>
    </row>
    <row r="1054">
      <c r="A1054" s="39"/>
      <c r="B1054" s="145"/>
      <c r="C1054" s="39"/>
      <c r="D1054" s="39"/>
      <c r="E1054" s="39"/>
      <c r="F1054" s="146"/>
      <c r="G1054" s="39"/>
      <c r="H1054" s="39"/>
      <c r="I1054" s="39"/>
      <c r="J1054" s="39"/>
      <c r="K1054" s="39"/>
    </row>
    <row r="1055">
      <c r="A1055" s="39"/>
      <c r="B1055" s="145"/>
      <c r="C1055" s="39"/>
      <c r="D1055" s="39"/>
      <c r="E1055" s="39"/>
      <c r="F1055" s="146"/>
      <c r="G1055" s="39"/>
      <c r="H1055" s="39"/>
      <c r="I1055" s="39"/>
      <c r="J1055" s="39"/>
      <c r="K1055" s="39"/>
    </row>
    <row r="1056">
      <c r="A1056" s="39"/>
      <c r="B1056" s="145"/>
      <c r="C1056" s="39"/>
      <c r="D1056" s="39"/>
      <c r="E1056" s="39"/>
      <c r="F1056" s="146"/>
      <c r="G1056" s="39"/>
      <c r="H1056" s="39"/>
      <c r="I1056" s="39"/>
      <c r="J1056" s="39"/>
      <c r="K1056" s="39"/>
    </row>
    <row r="1057">
      <c r="A1057" s="39"/>
      <c r="B1057" s="145"/>
      <c r="C1057" s="39"/>
      <c r="D1057" s="39"/>
      <c r="E1057" s="39"/>
      <c r="F1057" s="146"/>
      <c r="G1057" s="39"/>
      <c r="H1057" s="39"/>
      <c r="I1057" s="39"/>
      <c r="J1057" s="39"/>
      <c r="K1057" s="39"/>
    </row>
    <row r="1058">
      <c r="A1058" s="39"/>
      <c r="B1058" s="145"/>
      <c r="C1058" s="39"/>
      <c r="D1058" s="39"/>
      <c r="E1058" s="39"/>
      <c r="F1058" s="146"/>
      <c r="G1058" s="39"/>
      <c r="H1058" s="39"/>
      <c r="I1058" s="39"/>
      <c r="J1058" s="39"/>
      <c r="K1058" s="39"/>
    </row>
    <row r="1059">
      <c r="A1059" s="39"/>
      <c r="B1059" s="145"/>
      <c r="C1059" s="39"/>
      <c r="D1059" s="39"/>
      <c r="E1059" s="39"/>
      <c r="F1059" s="146"/>
      <c r="G1059" s="39"/>
      <c r="H1059" s="39"/>
      <c r="I1059" s="39"/>
      <c r="J1059" s="39"/>
      <c r="K1059" s="39"/>
    </row>
    <row r="1060">
      <c r="A1060" s="39"/>
      <c r="B1060" s="145"/>
      <c r="C1060" s="39"/>
      <c r="D1060" s="39"/>
      <c r="E1060" s="39"/>
      <c r="F1060" s="146"/>
      <c r="G1060" s="39"/>
      <c r="H1060" s="39"/>
      <c r="I1060" s="39"/>
      <c r="J1060" s="39"/>
      <c r="K1060" s="39"/>
    </row>
    <row r="1061">
      <c r="A1061" s="39"/>
      <c r="B1061" s="145"/>
      <c r="C1061" s="39"/>
      <c r="D1061" s="39"/>
      <c r="E1061" s="39"/>
      <c r="F1061" s="146"/>
      <c r="G1061" s="39"/>
      <c r="H1061" s="39"/>
      <c r="I1061" s="39"/>
      <c r="J1061" s="39"/>
      <c r="K1061" s="39"/>
    </row>
    <row r="1062">
      <c r="A1062" s="39"/>
      <c r="B1062" s="145"/>
      <c r="C1062" s="39"/>
      <c r="D1062" s="39"/>
      <c r="E1062" s="39"/>
      <c r="F1062" s="146"/>
      <c r="G1062" s="39"/>
      <c r="H1062" s="39"/>
      <c r="I1062" s="39"/>
      <c r="J1062" s="39"/>
      <c r="K1062" s="39"/>
    </row>
    <row r="1063">
      <c r="A1063" s="39"/>
      <c r="B1063" s="145"/>
      <c r="C1063" s="39"/>
      <c r="D1063" s="39"/>
      <c r="E1063" s="39"/>
      <c r="F1063" s="146"/>
      <c r="G1063" s="39"/>
      <c r="H1063" s="39"/>
      <c r="I1063" s="39"/>
      <c r="J1063" s="39"/>
      <c r="K1063" s="39"/>
    </row>
    <row r="1064">
      <c r="A1064" s="39"/>
      <c r="B1064" s="145"/>
      <c r="C1064" s="39"/>
      <c r="D1064" s="39"/>
      <c r="E1064" s="39"/>
      <c r="F1064" s="146"/>
      <c r="G1064" s="39"/>
      <c r="H1064" s="39"/>
      <c r="I1064" s="39"/>
      <c r="J1064" s="39"/>
      <c r="K1064" s="39"/>
    </row>
    <row r="1065">
      <c r="A1065" s="39"/>
      <c r="B1065" s="145"/>
      <c r="C1065" s="39"/>
      <c r="D1065" s="39"/>
      <c r="E1065" s="39"/>
      <c r="F1065" s="146"/>
      <c r="G1065" s="39"/>
      <c r="H1065" s="39"/>
      <c r="I1065" s="39"/>
      <c r="J1065" s="39"/>
      <c r="K1065" s="39"/>
    </row>
    <row r="1066">
      <c r="A1066" s="39"/>
      <c r="B1066" s="145"/>
      <c r="C1066" s="39"/>
      <c r="D1066" s="39"/>
      <c r="E1066" s="39"/>
      <c r="F1066" s="146"/>
      <c r="G1066" s="39"/>
      <c r="H1066" s="39"/>
      <c r="I1066" s="39"/>
      <c r="J1066" s="39"/>
      <c r="K1066" s="39"/>
    </row>
    <row r="1067">
      <c r="A1067" s="39"/>
      <c r="B1067" s="145"/>
      <c r="C1067" s="39"/>
      <c r="D1067" s="39"/>
      <c r="E1067" s="39"/>
      <c r="F1067" s="146"/>
      <c r="G1067" s="39"/>
      <c r="H1067" s="39"/>
      <c r="I1067" s="39"/>
      <c r="J1067" s="39"/>
      <c r="K1067" s="39"/>
    </row>
    <row r="1068">
      <c r="A1068" s="39"/>
      <c r="B1068" s="145"/>
      <c r="C1068" s="39"/>
      <c r="D1068" s="39"/>
      <c r="E1068" s="39"/>
      <c r="F1068" s="146"/>
      <c r="G1068" s="39"/>
      <c r="H1068" s="39"/>
      <c r="I1068" s="39"/>
      <c r="J1068" s="39"/>
      <c r="K1068" s="39"/>
    </row>
    <row r="1069">
      <c r="A1069" s="39"/>
      <c r="B1069" s="145"/>
      <c r="C1069" s="39"/>
      <c r="D1069" s="39"/>
      <c r="E1069" s="39"/>
      <c r="F1069" s="146"/>
      <c r="G1069" s="39"/>
      <c r="H1069" s="39"/>
      <c r="I1069" s="39"/>
      <c r="J1069" s="39"/>
      <c r="K1069" s="39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2.5"/>
    <col customWidth="1" min="4" max="4" width="25.0"/>
    <col customWidth="1" min="5" max="5" width="7.63"/>
    <col customWidth="1" min="7" max="7" width="23.13"/>
    <col customWidth="1" min="8" max="8" width="11.88"/>
  </cols>
  <sheetData>
    <row r="1">
      <c r="A1" s="149" t="s">
        <v>1481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E2" s="150"/>
      <c r="F2" s="151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152" t="s">
        <v>1482</v>
      </c>
      <c r="B3" s="153"/>
      <c r="C3" s="39"/>
      <c r="D3" s="154" t="s">
        <v>1483</v>
      </c>
      <c r="E3" s="155"/>
      <c r="F3" s="151"/>
      <c r="G3" s="156" t="s">
        <v>1484</v>
      </c>
      <c r="H3" s="157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158" t="s">
        <v>1485</v>
      </c>
      <c r="B4" s="158" t="s">
        <v>1486</v>
      </c>
      <c r="C4" s="39"/>
      <c r="D4" s="159" t="s">
        <v>1487</v>
      </c>
      <c r="E4" s="160" t="str">
        <f>SUM('STOCK VENDU'!F13,'STOCK VENDU'!F30,'STOCK VENDU'!F79,'STOCK VENDU'!F129,'STOCK VENDU'!F158)</f>
        <v>#REF!</v>
      </c>
      <c r="F4" s="151"/>
      <c r="G4" s="161" t="s">
        <v>1488</v>
      </c>
      <c r="H4" s="162">
        <f>SUM(StockOld!G2:G368)</f>
        <v>2290.68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163" t="s">
        <v>1489</v>
      </c>
      <c r="B5" s="164">
        <v>0.0</v>
      </c>
      <c r="C5" s="39"/>
      <c r="D5" s="165"/>
      <c r="E5" s="166"/>
      <c r="F5" s="151"/>
      <c r="G5" s="157"/>
      <c r="H5" s="157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63" t="s">
        <v>1490</v>
      </c>
      <c r="B6" s="164">
        <v>22.99</v>
      </c>
      <c r="C6" s="39"/>
      <c r="D6" s="159" t="s">
        <v>1491</v>
      </c>
      <c r="E6" s="160" t="str">
        <f>SUM('STOCK VENDU'!H13,'STOCK VENDU'!H30,'STOCK VENDU'!H79,'STOCK VENDU'!H129,'STOCK VENDU'!H158)</f>
        <v>#REF!</v>
      </c>
      <c r="F6" s="151"/>
      <c r="G6" s="157"/>
      <c r="H6" s="157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163" t="s">
        <v>1492</v>
      </c>
      <c r="B7" s="164">
        <v>9.99</v>
      </c>
      <c r="C7" s="39"/>
      <c r="D7" s="159" t="s">
        <v>1493</v>
      </c>
      <c r="E7" s="167" t="str">
        <f>AVERAGE('STOCK VENDU'!I13,'STOCK VENDU'!I30,'STOCK VENDU'!I79,'STOCK VENDU'!I129,'STOCK VENDU'!I158)</f>
        <v>#REF!</v>
      </c>
      <c r="F7" s="151"/>
      <c r="G7" s="157"/>
      <c r="H7" s="157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163" t="s">
        <v>1494</v>
      </c>
      <c r="B8" s="164">
        <v>1.0</v>
      </c>
      <c r="C8" s="39"/>
      <c r="D8" s="159" t="s">
        <v>1495</v>
      </c>
      <c r="E8" s="166"/>
      <c r="F8" s="151"/>
      <c r="G8" s="157"/>
      <c r="H8" s="157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163" t="s">
        <v>1496</v>
      </c>
      <c r="B9" s="164">
        <f>8.01+7.87+8.73+8.95</f>
        <v>33.56</v>
      </c>
      <c r="C9" s="39"/>
      <c r="D9" s="165"/>
      <c r="E9" s="168"/>
      <c r="F9" s="151"/>
      <c r="G9" s="157"/>
      <c r="H9" s="157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163" t="s">
        <v>1497</v>
      </c>
      <c r="B10" s="164">
        <f>12.59+3.86+6.2+4.24+8.68</f>
        <v>35.57</v>
      </c>
      <c r="C10" s="39"/>
      <c r="D10" s="159" t="s">
        <v>1498</v>
      </c>
      <c r="E10" s="160" t="str">
        <f>SUM(E4,E8)</f>
        <v>#REF!</v>
      </c>
      <c r="F10" s="151"/>
      <c r="G10" s="157"/>
      <c r="H10" s="157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63" t="s">
        <v>1499</v>
      </c>
      <c r="B11" s="164">
        <v>50.0</v>
      </c>
      <c r="C11" s="39"/>
      <c r="D11" s="165"/>
      <c r="E11" s="168"/>
      <c r="F11" s="151"/>
      <c r="G11" s="157"/>
      <c r="H11" s="157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163" t="s">
        <v>1500</v>
      </c>
      <c r="B12" s="164">
        <f>128.8+26+15.33+7.66</f>
        <v>177.79</v>
      </c>
      <c r="C12" s="39"/>
      <c r="D12" s="159" t="s">
        <v>1501</v>
      </c>
      <c r="E12" s="160" t="str">
        <f>SUM(E6,E8)</f>
        <v>#REF!</v>
      </c>
      <c r="F12" s="151"/>
      <c r="G12" s="157"/>
      <c r="H12" s="157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163" t="s">
        <v>1502</v>
      </c>
      <c r="B13" s="164">
        <v>16.0</v>
      </c>
      <c r="C13" s="39"/>
      <c r="D13" s="165"/>
      <c r="E13" s="155"/>
      <c r="F13" s="39"/>
      <c r="G13" s="157"/>
      <c r="H13" s="157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163" t="s">
        <v>1503</v>
      </c>
      <c r="B14" s="164">
        <v>30.0</v>
      </c>
      <c r="C14" s="39"/>
      <c r="D14" s="165"/>
      <c r="E14" s="155"/>
      <c r="F14" s="39"/>
      <c r="G14" s="157"/>
      <c r="H14" s="157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163" t="s">
        <v>1504</v>
      </c>
      <c r="B15" s="164">
        <v>50.21</v>
      </c>
      <c r="C15" s="39"/>
      <c r="D15" s="165"/>
      <c r="E15" s="155"/>
      <c r="F15" s="39"/>
      <c r="G15" s="157"/>
      <c r="H15" s="157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163" t="s">
        <v>1505</v>
      </c>
      <c r="B16" s="164">
        <f>17.94+53.85</f>
        <v>71.79</v>
      </c>
      <c r="C16" s="39"/>
      <c r="D16" s="165"/>
      <c r="E16" s="155"/>
      <c r="F16" s="39"/>
      <c r="G16" s="157"/>
      <c r="H16" s="157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163" t="s">
        <v>1506</v>
      </c>
      <c r="B17" s="164">
        <v>30.0</v>
      </c>
      <c r="C17" s="39"/>
      <c r="D17" s="165"/>
      <c r="E17" s="155"/>
      <c r="F17" s="39"/>
      <c r="G17" s="157"/>
      <c r="H17" s="157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158" t="s">
        <v>1507</v>
      </c>
      <c r="B18" s="169">
        <f>SUM(B6:B17)</f>
        <v>528.9</v>
      </c>
      <c r="C18" s="39"/>
      <c r="D18" s="165"/>
      <c r="E18" s="155"/>
      <c r="F18" s="39"/>
      <c r="G18" s="157"/>
      <c r="H18" s="157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150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150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170" t="s">
        <v>1508</v>
      </c>
      <c r="B21" s="171" t="str">
        <f>SUM(E8,E6)</f>
        <v>#REF!</v>
      </c>
      <c r="C21" s="39"/>
      <c r="D21" s="39"/>
      <c r="E21" s="150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170" t="s">
        <v>1509</v>
      </c>
      <c r="B22" s="172" t="str">
        <f>SUM(B21-B18)</f>
        <v>#REF!</v>
      </c>
      <c r="C22" s="39"/>
      <c r="D22" s="39"/>
      <c r="E22" s="150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15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150"/>
      <c r="F24" s="39"/>
      <c r="G24" s="27">
        <v>45904.0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150"/>
      <c r="F25" s="39"/>
      <c r="G25" s="28">
        <v>45899.0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148"/>
      <c r="B26" s="148"/>
      <c r="C26" s="39"/>
      <c r="D26" s="39"/>
      <c r="E26" s="150"/>
      <c r="F26" s="39"/>
      <c r="G26" s="27">
        <v>45906.0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148"/>
      <c r="B27" s="148"/>
      <c r="C27" s="39"/>
      <c r="D27" s="39"/>
      <c r="E27" s="150"/>
      <c r="F27" s="39"/>
      <c r="G27" s="27">
        <v>45924.0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148"/>
      <c r="B28" s="173"/>
      <c r="C28" s="39"/>
      <c r="D28" s="39"/>
      <c r="E28" s="150"/>
      <c r="F28" s="39"/>
      <c r="G28" s="27">
        <v>45960.0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148"/>
      <c r="B29" s="174"/>
      <c r="C29" s="39"/>
      <c r="D29" s="39"/>
      <c r="E29" s="150"/>
      <c r="F29" s="39"/>
      <c r="G29" s="27">
        <v>45960.0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148"/>
      <c r="B30" s="173"/>
      <c r="C30" s="39"/>
      <c r="D30" s="39"/>
      <c r="E30" s="150"/>
      <c r="F30" s="39"/>
      <c r="G30" s="27">
        <v>45960.0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148"/>
      <c r="B31" s="173"/>
      <c r="C31" s="39"/>
      <c r="D31" s="39"/>
      <c r="E31" s="150"/>
      <c r="F31" s="39"/>
      <c r="G31" s="27">
        <v>45960.0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148"/>
      <c r="B32" s="173"/>
      <c r="C32" s="39"/>
      <c r="D32" s="39"/>
      <c r="E32" s="150"/>
      <c r="F32" s="39"/>
      <c r="G32" s="27">
        <v>45960.0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148"/>
      <c r="B33" s="173"/>
      <c r="C33" s="39"/>
      <c r="D33" s="39"/>
      <c r="E33" s="150"/>
      <c r="F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148"/>
      <c r="B34" s="173"/>
      <c r="C34" s="39"/>
      <c r="D34" s="39"/>
      <c r="E34" s="150"/>
      <c r="F34" s="151"/>
      <c r="G34" s="27">
        <v>45960.0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148"/>
      <c r="B35" s="173"/>
      <c r="C35" s="39"/>
      <c r="D35" s="39"/>
      <c r="E35" s="150"/>
      <c r="F35" s="151"/>
      <c r="G35" s="27">
        <v>45960.0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148"/>
      <c r="B36" s="174"/>
      <c r="C36" s="39"/>
      <c r="D36" s="39"/>
      <c r="E36" s="150"/>
      <c r="F36" s="15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148"/>
      <c r="B37" s="173"/>
      <c r="C37" s="39"/>
      <c r="D37" s="39"/>
      <c r="E37" s="150"/>
      <c r="F37" s="15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148"/>
      <c r="B38" s="173"/>
      <c r="C38" s="39"/>
      <c r="D38" s="39"/>
      <c r="E38" s="150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148"/>
      <c r="B39" s="148"/>
      <c r="C39" s="39"/>
      <c r="D39" s="39"/>
      <c r="E39" s="150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148"/>
      <c r="B40" s="148"/>
      <c r="C40" s="39"/>
      <c r="D40" s="39"/>
      <c r="E40" s="150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150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150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150"/>
      <c r="F43" s="39"/>
      <c r="G43" s="21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150"/>
      <c r="F44" s="39"/>
      <c r="G44" s="21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150"/>
      <c r="F45" s="39"/>
      <c r="G45" s="21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150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150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151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151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151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151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151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151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151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151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151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151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151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151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151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151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151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151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</sheetData>
  <drawing r:id="rId1"/>
  <tableParts count="1">
    <tablePart r:id="rId3"/>
  </tableParts>
</worksheet>
</file>